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yu\OneDrive\Documents\PLANILLAS STA ISABEL\PLANILLAS  ADMON SANTA ISABEL 2026-2027\Planillas de Administracion 2026\"/>
    </mc:Choice>
  </mc:AlternateContent>
  <xr:revisionPtr revIDLastSave="0" documentId="13_ncr:1_{DDF82381-4578-4D18-8798-4B3732ACDDDE}" xr6:coauthVersionLast="46" xr6:coauthVersionMax="46" xr10:uidLastSave="{00000000-0000-0000-0000-000000000000}"/>
  <bookViews>
    <workbookView xWindow="-108" yWindow="-108" windowWidth="23256" windowHeight="12456" tabRatio="862" firstSheet="10" activeTab="31" xr2:uid="{00000000-000D-0000-FFFF-FFFF00000000}"/>
  </bookViews>
  <sheets>
    <sheet name="DETALLE ADMON." sheetId="67" r:id="rId1"/>
    <sheet name="Cambio del dia" sheetId="98" r:id="rId2"/>
    <sheet name="FINCA" sheetId="123" state="hidden" r:id="rId3"/>
    <sheet name="H" sheetId="102" state="hidden" r:id="rId4"/>
    <sheet name="ADMON" sheetId="195" r:id="rId5"/>
    <sheet name="Hoja2" sheetId="206" state="hidden" r:id="rId6"/>
    <sheet name="ADMON COM. " sheetId="65" r:id="rId7"/>
    <sheet name="TECNICOS" sheetId="57" state="hidden" r:id="rId8"/>
    <sheet name="FINANCIAMIENTO INSS" sheetId="161" state="hidden" r:id="rId9"/>
    <sheet name="Holman" sheetId="101" state="hidden" r:id="rId10"/>
    <sheet name="FINCA SIN INSS" sheetId="127" r:id="rId11"/>
    <sheet name="FINCA INSS " sheetId="183" state="hidden" r:id="rId12"/>
    <sheet name="BENEFICIO SECO" sheetId="210" state="hidden" r:id="rId13"/>
    <sheet name="Hoja3" sheetId="207" state="hidden" r:id="rId14"/>
    <sheet name="COMPLEMENTO DE SALARIO" sheetId="170" r:id="rId15"/>
    <sheet name="VIATICOS PERS ACOPIO" sheetId="185" state="hidden" r:id="rId16"/>
    <sheet name="BODEGA-ACOPIO" sheetId="194" state="hidden" r:id="rId17"/>
    <sheet name="ACOPIOst" sheetId="97" state="hidden" r:id="rId18"/>
    <sheet name="COMI" sheetId="106" state="hidden" r:id="rId19"/>
    <sheet name="Martin" sheetId="114" state="hidden" r:id="rId20"/>
    <sheet name="PERS-ACOPIO STA ISABEL" sheetId="184" state="hidden" r:id="rId21"/>
    <sheet name="EVENTUAL" sheetId="171" r:id="rId22"/>
    <sheet name="ABISINIA INSS" sheetId="181" r:id="rId23"/>
    <sheet name="ACOP MONTECRISTO" sheetId="199" state="hidden" r:id="rId24"/>
    <sheet name="ACOP LAS MORENAS" sheetId="200" state="hidden" r:id="rId25"/>
    <sheet name="ACOP ABISINIA SIN INSS" sheetId="201" state="hidden" r:id="rId26"/>
    <sheet name="ACOP ESCAMBRAY" sheetId="202" state="hidden" r:id="rId27"/>
    <sheet name="VIATICOS ACOPIO" sheetId="196" state="hidden" r:id="rId28"/>
    <sheet name="ACOP EL CONSUELO" sheetId="203" state="hidden" r:id="rId29"/>
    <sheet name="ACOP LA UNION" sheetId="204" state="hidden" r:id="rId30"/>
    <sheet name="BODEG STA Isabel" sheetId="213" r:id="rId31"/>
    <sheet name="COMISARIATO INSS" sheetId="180" r:id="rId32"/>
    <sheet name="COMISARIATO CON INSS" sheetId="61" state="hidden" r:id="rId33"/>
    <sheet name="COMISARIATO SIN INSS" sheetId="128" r:id="rId34"/>
    <sheet name="HORAS EXTRA " sheetId="212" r:id="rId35"/>
    <sheet name="PARA PAGAR" sheetId="211" state="hidden" r:id="rId36"/>
    <sheet name="HORAS EXTRAS" sheetId="121" state="hidden" r:id="rId37"/>
    <sheet name="ACOPIO STA ISABEL" sheetId="175" state="hidden" r:id="rId38"/>
    <sheet name="COMPLEMENTO COMISARIATO" sheetId="209" state="hidden" r:id="rId39"/>
    <sheet name="Hoja1" sheetId="205" state="hidden" r:id="rId40"/>
    <sheet name="ABEL ABISINIA INSS" sheetId="130" state="hidden" r:id="rId41"/>
    <sheet name="DONAL ESCAMBAY" sheetId="149" state="hidden" r:id="rId42"/>
    <sheet name="ACOPIO ABISINIA" sheetId="178" state="hidden" r:id="rId43"/>
    <sheet name="ACOPIO ESCAMBRAY" sheetId="172" state="hidden" r:id="rId44"/>
    <sheet name="ACOPIO MONTECRISTO" sheetId="173" state="hidden" r:id="rId45"/>
    <sheet name="ACOPIO EL CONSUELO" sheetId="174" state="hidden" r:id="rId46"/>
    <sheet name="ACOPIO LAS MORENAS" sheetId="177" state="hidden" r:id="rId47"/>
    <sheet name="DENISSA  MORENAS (2)" sheetId="163" state="hidden" r:id="rId48"/>
    <sheet name="ABEL ABISINIA" sheetId="153" state="hidden" r:id="rId49"/>
    <sheet name="ACOPIO LAS MORENAS 2" sheetId="179" state="hidden" r:id="rId50"/>
    <sheet name="H-Santa Isabel" sheetId="192" state="hidden" r:id="rId51"/>
    <sheet name="Hora Cmto" sheetId="193" state="hidden" r:id="rId52"/>
    <sheet name="INSS" sheetId="119" state="hidden" r:id="rId53"/>
  </sheets>
  <externalReferences>
    <externalReference r:id="rId54"/>
    <externalReference r:id="rId55"/>
  </externalReferences>
  <definedNames>
    <definedName name="__123Graph_A" localSheetId="22" hidden="1">'ABISINIA INSS'!$A$7:$A$11</definedName>
    <definedName name="__123Graph_A" localSheetId="42" hidden="1">'ACOPIO ABISINIA'!$A$6:$A$9</definedName>
    <definedName name="__123Graph_A" localSheetId="45" hidden="1">'ACOPIO EL CONSUELO'!$A$6:$A$10</definedName>
    <definedName name="__123Graph_A" localSheetId="43" hidden="1">'ACOPIO ESCAMBRAY'!$A$6:$A$9</definedName>
    <definedName name="__123Graph_A" localSheetId="49" hidden="1">'ACOPIO LAS MORENAS 2'!$A$6:$A$9</definedName>
    <definedName name="__123Graph_A" localSheetId="44" hidden="1">'ACOPIO MONTECRISTO'!$A$6:$A$11</definedName>
    <definedName name="__123Graph_A" localSheetId="37" hidden="1">'ACOPIO STA ISABEL'!$A$6:$A$9</definedName>
    <definedName name="__123Graph_A" localSheetId="6" hidden="1">'ADMON COM. '!$A$7:$A$30</definedName>
    <definedName name="__123Graph_A" localSheetId="30" hidden="1">'BODEG STA Isabel'!$A$7:$A$11</definedName>
    <definedName name="__123Graph_A" localSheetId="16" hidden="1">'BODEGA-ACOPIO'!$A$6:$A$10</definedName>
    <definedName name="__123Graph_A" localSheetId="31" hidden="1">'COMISARIATO INSS'!$A$6:$A$12</definedName>
    <definedName name="__123Graph_A" localSheetId="33" hidden="1">'COMISARIATO SIN INSS'!$A$6:$A$14</definedName>
    <definedName name="__123Graph_A" localSheetId="8" hidden="1">'FINANCIAMIENTO INSS'!$A$8:$A$11</definedName>
    <definedName name="__123Graph_A" localSheetId="2" hidden="1">FINCA!$A$5:$A$8</definedName>
    <definedName name="__123Graph_A" localSheetId="11" hidden="1">'FINCA INSS '!$A$8:$A$16</definedName>
    <definedName name="__123Graph_A" localSheetId="10" hidden="1">'FINCA SIN INSS'!$A$7:$A$14</definedName>
    <definedName name="__123Graph_A" localSheetId="20" hidden="1">'PERS-ACOPIO STA ISABEL'!$A$6:$A$18</definedName>
    <definedName name="__123Graph_A" localSheetId="7" hidden="1">TECNICOS!$A$6:$A$10</definedName>
    <definedName name="_xlnm._FilterDatabase" localSheetId="27" hidden="1">'VIATICOS ACOPIO'!$A$5:$G$5</definedName>
    <definedName name="_Key1" localSheetId="22" hidden="1">'ABISINIA INSS'!#REF!</definedName>
    <definedName name="_Key1" localSheetId="42" hidden="1">'ACOPIO ABISINIA'!#REF!</definedName>
    <definedName name="_Key1" localSheetId="45" hidden="1">'ACOPIO EL CONSUELO'!#REF!</definedName>
    <definedName name="_Key1" localSheetId="43" hidden="1">'ACOPIO ESCAMBRAY'!#REF!</definedName>
    <definedName name="_Key1" localSheetId="49" hidden="1">'ACOPIO LAS MORENAS 2'!#REF!</definedName>
    <definedName name="_Key1" localSheetId="44" hidden="1">'ACOPIO MONTECRISTO'!#REF!</definedName>
    <definedName name="_Key1" localSheetId="37" hidden="1">'ACOPIO STA ISABEL'!#REF!</definedName>
    <definedName name="_Key1" localSheetId="6" hidden="1">'ADMON COM. '!#REF!</definedName>
    <definedName name="_Key1" localSheetId="30" hidden="1">'BODEG STA Isabel'!#REF!</definedName>
    <definedName name="_Key1" localSheetId="16" hidden="1">'BODEGA-ACOPIO'!#REF!</definedName>
    <definedName name="_Key1" localSheetId="31" hidden="1">'COMISARIATO INSS'!#REF!</definedName>
    <definedName name="_Key1" localSheetId="33" hidden="1">'COMISARIATO SIN INSS'!#REF!</definedName>
    <definedName name="_Key1" localSheetId="8" hidden="1">'FINANCIAMIENTO INSS'!#REF!</definedName>
    <definedName name="_Key1" localSheetId="2" hidden="1">FINCA!#REF!</definedName>
    <definedName name="_Key1" localSheetId="11" hidden="1">'FINCA INSS '!#REF!</definedName>
    <definedName name="_Key1" localSheetId="10" hidden="1">'FINCA SIN INSS'!#REF!</definedName>
    <definedName name="_Key1" localSheetId="20" hidden="1">'PERS-ACOPIO STA ISABEL'!#REF!</definedName>
    <definedName name="_Key1" localSheetId="7" hidden="1">TECNICOS!#REF!</definedName>
    <definedName name="_Order1" hidden="1">255</definedName>
    <definedName name="A" localSheetId="22" hidden="1">#REF!</definedName>
    <definedName name="A" localSheetId="42" hidden="1">#REF!</definedName>
    <definedName name="A" localSheetId="45" hidden="1">#REF!</definedName>
    <definedName name="A" localSheetId="43" hidden="1">#REF!</definedName>
    <definedName name="A" localSheetId="49" hidden="1">#REF!</definedName>
    <definedName name="A" localSheetId="44" hidden="1">#REF!</definedName>
    <definedName name="A" localSheetId="37" hidden="1">#REF!</definedName>
    <definedName name="A" localSheetId="6" hidden="1">#REF!</definedName>
    <definedName name="A" localSheetId="30" hidden="1">#REF!</definedName>
    <definedName name="A" localSheetId="16" hidden="1">#REF!</definedName>
    <definedName name="A" localSheetId="31" hidden="1">#REF!</definedName>
    <definedName name="A" localSheetId="33" hidden="1">#REF!</definedName>
    <definedName name="A" localSheetId="8" hidden="1">#REF!</definedName>
    <definedName name="A" localSheetId="2" hidden="1">#REF!</definedName>
    <definedName name="A" localSheetId="11" hidden="1">#REF!</definedName>
    <definedName name="A" localSheetId="10" hidden="1">#REF!</definedName>
    <definedName name="A" localSheetId="20" hidden="1">#REF!</definedName>
    <definedName name="A" localSheetId="7" hidden="1">#REF!</definedName>
    <definedName name="A1." localSheetId="22">'ABISINIA INSS'!$A$2213</definedName>
    <definedName name="A1." localSheetId="42">'ACOPIO ABISINIA'!$A$2204</definedName>
    <definedName name="A1." localSheetId="45">'ACOPIO EL CONSUELO'!$A$2205</definedName>
    <definedName name="A1." localSheetId="43">'ACOPIO ESCAMBRAY'!$A$2204</definedName>
    <definedName name="A1." localSheetId="49">'ACOPIO LAS MORENAS 2'!$A$2204</definedName>
    <definedName name="A1." localSheetId="44">'ACOPIO MONTECRISTO'!$A$2206</definedName>
    <definedName name="A1." localSheetId="37">'ACOPIO STA ISABEL'!$A$2204</definedName>
    <definedName name="A1." localSheetId="6">'ADMON COM. '!$A$2300</definedName>
    <definedName name="A1." localSheetId="30">'BODEG STA Isabel'!$A$2213</definedName>
    <definedName name="A1." localSheetId="16">'BODEGA-ACOPIO'!$A$2208</definedName>
    <definedName name="A1." localSheetId="31">'COMISARIATO INSS'!$A$2213</definedName>
    <definedName name="A1." localSheetId="33">'COMISARIATO SIN INSS'!$A$2209</definedName>
    <definedName name="A1." localSheetId="8">'FINANCIAMIENTO INSS'!$A$2211</definedName>
    <definedName name="A1." localSheetId="2">FINCA!$A$2205</definedName>
    <definedName name="A1." localSheetId="11">'FINCA INSS '!$A$2225</definedName>
    <definedName name="A1." localSheetId="10">'FINCA SIN INSS'!$A$2216</definedName>
    <definedName name="A1." localSheetId="20">'PERS-ACOPIO STA ISABEL'!$A$2218</definedName>
    <definedName name="A1." localSheetId="7">TECNICOS!$A$2208</definedName>
    <definedName name="ADMON" localSheetId="22" hidden="1">#REF!</definedName>
    <definedName name="ADMON" localSheetId="42" hidden="1">#REF!</definedName>
    <definedName name="ADMON" localSheetId="45" hidden="1">#REF!</definedName>
    <definedName name="ADMON" localSheetId="43" hidden="1">#REF!</definedName>
    <definedName name="ADMON" localSheetId="49" hidden="1">#REF!</definedName>
    <definedName name="ADMON" localSheetId="44" hidden="1">#REF!</definedName>
    <definedName name="ADMON" localSheetId="37" hidden="1">#REF!</definedName>
    <definedName name="ADMON" localSheetId="6" hidden="1">#REF!</definedName>
    <definedName name="ADMON" localSheetId="30" hidden="1">#REF!</definedName>
    <definedName name="ADMON" localSheetId="16" hidden="1">#REF!</definedName>
    <definedName name="ADMON" localSheetId="31" hidden="1">#REF!</definedName>
    <definedName name="ADMON" localSheetId="33" hidden="1">#REF!</definedName>
    <definedName name="ADMON" localSheetId="8" hidden="1">#REF!</definedName>
    <definedName name="ADMON" localSheetId="2" hidden="1">#REF!</definedName>
    <definedName name="ADMON" localSheetId="11" hidden="1">#REF!</definedName>
    <definedName name="ADMON" localSheetId="10" hidden="1">#REF!</definedName>
    <definedName name="ADMON" localSheetId="20" hidden="1">#REF!</definedName>
    <definedName name="ADMON" localSheetId="7" hidden="1">#REF!</definedName>
    <definedName name="_xlnm.Print_Area" localSheetId="48">'ABEL ABISINIA'!$A$2:$CE$22</definedName>
    <definedName name="_xlnm.Print_Area" localSheetId="22">'ABISINIA INSS'!$A$2:$AH$29</definedName>
    <definedName name="_xlnm.Print_Area" localSheetId="42">'ACOPIO ABISINIA'!$A$2:$AE$20</definedName>
    <definedName name="_xlnm.Print_Area" localSheetId="45">'ACOPIO EL CONSUELO'!$A$2:$AE$21</definedName>
    <definedName name="_xlnm.Print_Area" localSheetId="43">'ACOPIO ESCAMBRAY'!$A$2:$AE$20</definedName>
    <definedName name="_xlnm.Print_Area" localSheetId="49">'ACOPIO LAS MORENAS 2'!$A$2:$AE$20</definedName>
    <definedName name="_xlnm.Print_Area" localSheetId="44">'ACOPIO MONTECRISTO'!$A$2:$AE$22</definedName>
    <definedName name="_xlnm.Print_Area" localSheetId="37">'ACOPIO STA ISABEL'!$A$2:$AE$20</definedName>
    <definedName name="_xlnm.Print_Area" localSheetId="6">'ADMON COM. '!$A$2:$AC$50</definedName>
    <definedName name="_xlnm.Print_Area" localSheetId="30">'BODEG STA Isabel'!$A$2:$AH$29</definedName>
    <definedName name="_xlnm.Print_Area" localSheetId="16">'BODEGA-ACOPIO'!$A$2:$AF$24</definedName>
    <definedName name="_xlnm.Print_Area" localSheetId="32">'COMISARIATO CON INSS'!$A$3:$BZ$21</definedName>
    <definedName name="_xlnm.Print_Area" localSheetId="31">'COMISARIATO INSS'!$A$2:$AJ$29</definedName>
    <definedName name="_xlnm.Print_Area" localSheetId="33">'COMISARIATO SIN INSS'!$A$2:$AE$25</definedName>
    <definedName name="_xlnm.Print_Area" localSheetId="47">'DENISSA  MORENAS (2)'!$A$2:$CD$20</definedName>
    <definedName name="_xlnm.Print_Area" localSheetId="0">'DETALLE ADMON.'!$A$1:$K$35</definedName>
    <definedName name="_xlnm.Print_Area" localSheetId="41">'DONAL ESCAMBAY'!$A$2:$CC$19</definedName>
    <definedName name="_xlnm.Print_Area" localSheetId="8">'FINANCIAMIENTO INSS'!$A$2:$AE$27</definedName>
    <definedName name="_xlnm.Print_Area" localSheetId="2">FINCA!$A$1:$AE$21</definedName>
    <definedName name="_xlnm.Print_Area" localSheetId="11">'FINCA INSS '!$A$1:$AL$41</definedName>
    <definedName name="_xlnm.Print_Area" localSheetId="10">'FINCA SIN INSS'!$A$2:$AE$32</definedName>
    <definedName name="_xlnm.Print_Area" localSheetId="34">'HORAS EXTRA '!$A$1:$F$20</definedName>
    <definedName name="_xlnm.Print_Area" localSheetId="20">'PERS-ACOPIO STA ISABEL'!$A$2:$AD$34</definedName>
    <definedName name="_xlnm.Print_Area" localSheetId="7">TECNICOS!$A$2:$AG$24</definedName>
    <definedName name="ghg" localSheetId="22" hidden="1">#REF!</definedName>
    <definedName name="ghg" localSheetId="42" hidden="1">#REF!</definedName>
    <definedName name="ghg" localSheetId="45" hidden="1">#REF!</definedName>
    <definedName name="ghg" localSheetId="43" hidden="1">#REF!</definedName>
    <definedName name="ghg" localSheetId="49" hidden="1">#REF!</definedName>
    <definedName name="ghg" localSheetId="44" hidden="1">#REF!</definedName>
    <definedName name="ghg" localSheetId="37" hidden="1">#REF!</definedName>
    <definedName name="ghg" localSheetId="6" hidden="1">#REF!</definedName>
    <definedName name="ghg" localSheetId="30" hidden="1">#REF!</definedName>
    <definedName name="ghg" localSheetId="16" hidden="1">#REF!</definedName>
    <definedName name="ghg" localSheetId="31" hidden="1">#REF!</definedName>
    <definedName name="ghg" localSheetId="33" hidden="1">#REF!</definedName>
    <definedName name="ghg" localSheetId="8" hidden="1">#REF!</definedName>
    <definedName name="ghg" localSheetId="2" hidden="1">#REF!</definedName>
    <definedName name="ghg" localSheetId="11" hidden="1">#REF!</definedName>
    <definedName name="ghg" localSheetId="10" hidden="1">#REF!</definedName>
    <definedName name="ghg" localSheetId="20" hidden="1">#REF!</definedName>
    <definedName name="ghg" localSheetId="7" hidden="1">#REF!</definedName>
    <definedName name="m" localSheetId="22" hidden="1">#REF!</definedName>
    <definedName name="m" localSheetId="42" hidden="1">#REF!</definedName>
    <definedName name="m" localSheetId="45" hidden="1">#REF!</definedName>
    <definedName name="m" localSheetId="43" hidden="1">#REF!</definedName>
    <definedName name="m" localSheetId="49" hidden="1">#REF!</definedName>
    <definedName name="m" localSheetId="44" hidden="1">#REF!</definedName>
    <definedName name="m" localSheetId="37" hidden="1">#REF!</definedName>
    <definedName name="m" localSheetId="6" hidden="1">#REF!</definedName>
    <definedName name="m" localSheetId="30" hidden="1">#REF!</definedName>
    <definedName name="m" localSheetId="16" hidden="1">#REF!</definedName>
    <definedName name="m" localSheetId="31" hidden="1">#REF!</definedName>
    <definedName name="m" localSheetId="33" hidden="1">#REF!</definedName>
    <definedName name="m" localSheetId="0" hidden="1">#REF!</definedName>
    <definedName name="m" localSheetId="8" hidden="1">#REF!</definedName>
    <definedName name="m" localSheetId="2" hidden="1">#REF!</definedName>
    <definedName name="m" localSheetId="11" hidden="1">#REF!</definedName>
    <definedName name="m" localSheetId="10" hidden="1">#REF!</definedName>
    <definedName name="m" localSheetId="20" hidden="1">#REF!</definedName>
    <definedName name="m" localSheetId="7" hidden="1">#REF!</definedName>
    <definedName name="MARZO2" localSheetId="22" hidden="1">#REF!</definedName>
    <definedName name="MARZO2" localSheetId="42" hidden="1">#REF!</definedName>
    <definedName name="MARZO2" localSheetId="45" hidden="1">#REF!</definedName>
    <definedName name="MARZO2" localSheetId="43" hidden="1">#REF!</definedName>
    <definedName name="MARZO2" localSheetId="49" hidden="1">#REF!</definedName>
    <definedName name="MARZO2" localSheetId="44" hidden="1">#REF!</definedName>
    <definedName name="MARZO2" localSheetId="37" hidden="1">#REF!</definedName>
    <definedName name="MARZO2" localSheetId="6" hidden="1">#REF!</definedName>
    <definedName name="MARZO2" localSheetId="30" hidden="1">#REF!</definedName>
    <definedName name="MARZO2" localSheetId="16" hidden="1">#REF!</definedName>
    <definedName name="MARZO2" localSheetId="31" hidden="1">#REF!</definedName>
    <definedName name="MARZO2" localSheetId="33" hidden="1">#REF!</definedName>
    <definedName name="MARZO2" localSheetId="8" hidden="1">#REF!</definedName>
    <definedName name="MARZO2" localSheetId="2" hidden="1">#REF!</definedName>
    <definedName name="MARZO2" localSheetId="11" hidden="1">#REF!</definedName>
    <definedName name="MARZO2" localSheetId="10" hidden="1">#REF!</definedName>
    <definedName name="MARZO2" localSheetId="20" hidden="1">#REF!</definedName>
    <definedName name="MARZO2" localSheetId="7" hidden="1">#REF!</definedName>
    <definedName name="Mayo2" localSheetId="22" hidden="1">#REF!</definedName>
    <definedName name="Mayo2" localSheetId="42" hidden="1">#REF!</definedName>
    <definedName name="Mayo2" localSheetId="45" hidden="1">#REF!</definedName>
    <definedName name="Mayo2" localSheetId="43" hidden="1">#REF!</definedName>
    <definedName name="Mayo2" localSheetId="49" hidden="1">#REF!</definedName>
    <definedName name="Mayo2" localSheetId="44" hidden="1">#REF!</definedName>
    <definedName name="Mayo2" localSheetId="37" hidden="1">#REF!</definedName>
    <definedName name="Mayo2" localSheetId="6" hidden="1">#REF!</definedName>
    <definedName name="Mayo2" localSheetId="30" hidden="1">#REF!</definedName>
    <definedName name="Mayo2" localSheetId="16" hidden="1">#REF!</definedName>
    <definedName name="Mayo2" localSheetId="31" hidden="1">#REF!</definedName>
    <definedName name="Mayo2" localSheetId="33" hidden="1">#REF!</definedName>
    <definedName name="Mayo2" localSheetId="8" hidden="1">#REF!</definedName>
    <definedName name="Mayo2" localSheetId="2" hidden="1">#REF!</definedName>
    <definedName name="Mayo2" localSheetId="11" hidden="1">#REF!</definedName>
    <definedName name="Mayo2" localSheetId="10" hidden="1">#REF!</definedName>
    <definedName name="Mayo2" localSheetId="20" hidden="1">#REF!</definedName>
    <definedName name="Mayo2" localSheetId="7" hidden="1">#REF!</definedName>
    <definedName name="OFICINA" localSheetId="22" hidden="1">#REF!</definedName>
    <definedName name="OFICINA" localSheetId="42" hidden="1">#REF!</definedName>
    <definedName name="OFICINA" localSheetId="45" hidden="1">#REF!</definedName>
    <definedName name="OFICINA" localSheetId="43" hidden="1">#REF!</definedName>
    <definedName name="OFICINA" localSheetId="49" hidden="1">#REF!</definedName>
    <definedName name="OFICINA" localSheetId="44" hidden="1">#REF!</definedName>
    <definedName name="OFICINA" localSheetId="37" hidden="1">#REF!</definedName>
    <definedName name="OFICINA" localSheetId="6" hidden="1">#REF!</definedName>
    <definedName name="OFICINA" localSheetId="30" hidden="1">#REF!</definedName>
    <definedName name="OFICINA" localSheetId="16" hidden="1">#REF!</definedName>
    <definedName name="OFICINA" localSheetId="31" hidden="1">#REF!</definedName>
    <definedName name="OFICINA" localSheetId="33" hidden="1">#REF!</definedName>
    <definedName name="OFICINA" localSheetId="8" hidden="1">#REF!</definedName>
    <definedName name="OFICINA" localSheetId="2" hidden="1">#REF!</definedName>
    <definedName name="OFICINA" localSheetId="11" hidden="1">#REF!</definedName>
    <definedName name="OFICINA" localSheetId="10" hidden="1">#REF!</definedName>
    <definedName name="OFICINA" localSheetId="20" hidden="1">#REF!</definedName>
    <definedName name="OFICINA" localSheetId="7" hidden="1">#REF!</definedName>
    <definedName name="PLANILLA" localSheetId="22" hidden="1">#REF!</definedName>
    <definedName name="PLANILLA" localSheetId="42" hidden="1">#REF!</definedName>
    <definedName name="PLANILLA" localSheetId="45" hidden="1">#REF!</definedName>
    <definedName name="PLANILLA" localSheetId="43" hidden="1">#REF!</definedName>
    <definedName name="PLANILLA" localSheetId="49" hidden="1">#REF!</definedName>
    <definedName name="PLANILLA" localSheetId="44" hidden="1">#REF!</definedName>
    <definedName name="PLANILLA" localSheetId="37" hidden="1">#REF!</definedName>
    <definedName name="PLANILLA" localSheetId="6" hidden="1">#REF!</definedName>
    <definedName name="PLANILLA" localSheetId="30" hidden="1">#REF!</definedName>
    <definedName name="PLANILLA" localSheetId="16" hidden="1">#REF!</definedName>
    <definedName name="PLANILLA" localSheetId="31" hidden="1">#REF!</definedName>
    <definedName name="PLANILLA" localSheetId="33" hidden="1">#REF!</definedName>
    <definedName name="PLANILLA" localSheetId="8" hidden="1">#REF!</definedName>
    <definedName name="PLANILLA" localSheetId="2" hidden="1">#REF!</definedName>
    <definedName name="PLANILLA" localSheetId="11" hidden="1">#REF!</definedName>
    <definedName name="PLANILLA" localSheetId="10" hidden="1">#REF!</definedName>
    <definedName name="PLANILLA" localSheetId="20" hidden="1">#REF!</definedName>
    <definedName name="PLANILLA" localSheetId="7" hidden="1">#REF!</definedName>
    <definedName name="PLANILLAS" localSheetId="22" hidden="1">#REF!</definedName>
    <definedName name="PLANILLAS" localSheetId="42" hidden="1">#REF!</definedName>
    <definedName name="PLANILLAS" localSheetId="45" hidden="1">#REF!</definedName>
    <definedName name="PLANILLAS" localSheetId="43" hidden="1">#REF!</definedName>
    <definedName name="PLANILLAS" localSheetId="49" hidden="1">#REF!</definedName>
    <definedName name="PLANILLAS" localSheetId="44" hidden="1">#REF!</definedName>
    <definedName name="PLANILLAS" localSheetId="37" hidden="1">#REF!</definedName>
    <definedName name="PLANILLAS" localSheetId="6" hidden="1">#REF!</definedName>
    <definedName name="PLANILLAS" localSheetId="30" hidden="1">#REF!</definedName>
    <definedName name="PLANILLAS" localSheetId="16" hidden="1">#REF!</definedName>
    <definedName name="PLANILLAS" localSheetId="31" hidden="1">#REF!</definedName>
    <definedName name="PLANILLAS" localSheetId="33" hidden="1">#REF!</definedName>
    <definedName name="PLANILLAS" localSheetId="8" hidden="1">#REF!</definedName>
    <definedName name="PLANILLAS" localSheetId="2" hidden="1">#REF!</definedName>
    <definedName name="PLANILLAS" localSheetId="11" hidden="1">#REF!</definedName>
    <definedName name="PLANILLAS" localSheetId="10" hidden="1">#REF!</definedName>
    <definedName name="PLANILLAS" localSheetId="20" hidden="1">#REF!</definedName>
    <definedName name="PLANILLAS" localSheetId="7" hidden="1">#REF!</definedName>
    <definedName name="_xlnm.Print_Titles" localSheetId="32">'COMISARIATO CON INSS'!$3:$14</definedName>
    <definedName name="vbb" localSheetId="22" hidden="1">#REF!</definedName>
    <definedName name="vbb" localSheetId="42" hidden="1">#REF!</definedName>
    <definedName name="vbb" localSheetId="45" hidden="1">#REF!</definedName>
    <definedName name="vbb" localSheetId="43" hidden="1">#REF!</definedName>
    <definedName name="vbb" localSheetId="49" hidden="1">#REF!</definedName>
    <definedName name="vbb" localSheetId="44" hidden="1">#REF!</definedName>
    <definedName name="vbb" localSheetId="37" hidden="1">#REF!</definedName>
    <definedName name="vbb" localSheetId="6" hidden="1">#REF!</definedName>
    <definedName name="vbb" localSheetId="30" hidden="1">#REF!</definedName>
    <definedName name="vbb" localSheetId="16" hidden="1">#REF!</definedName>
    <definedName name="vbb" localSheetId="31" hidden="1">#REF!</definedName>
    <definedName name="vbb" localSheetId="33" hidden="1">#REF!</definedName>
    <definedName name="vbb" localSheetId="8" hidden="1">#REF!</definedName>
    <definedName name="vbb" localSheetId="2" hidden="1">#REF!</definedName>
    <definedName name="vbb" localSheetId="11" hidden="1">#REF!</definedName>
    <definedName name="vbb" localSheetId="10" hidden="1">#REF!</definedName>
    <definedName name="vbb" localSheetId="20" hidden="1">#REF!</definedName>
    <definedName name="vbb" localSheetId="7" hidden="1">#REF!</definedName>
  </definedNames>
  <calcPr calcId="191029"/>
</workbook>
</file>

<file path=xl/calcChain.xml><?xml version="1.0" encoding="utf-8"?>
<calcChain xmlns="http://schemas.openxmlformats.org/spreadsheetml/2006/main">
  <c r="H13" i="67" l="1"/>
  <c r="E13" i="67"/>
  <c r="C29" i="213"/>
  <c r="J16" i="213"/>
  <c r="I16" i="213"/>
  <c r="I15" i="213"/>
  <c r="AC12" i="213"/>
  <c r="AB12" i="213"/>
  <c r="Y12" i="213"/>
  <c r="X12" i="213"/>
  <c r="U12" i="213"/>
  <c r="O12" i="213"/>
  <c r="M12" i="213"/>
  <c r="J12" i="213"/>
  <c r="H12" i="213"/>
  <c r="N11" i="213"/>
  <c r="R11" i="213" s="1"/>
  <c r="S11" i="213" s="1"/>
  <c r="V11" i="213" s="1"/>
  <c r="W11" i="213" s="1"/>
  <c r="Z11" i="213" s="1"/>
  <c r="L11" i="213"/>
  <c r="K11" i="213"/>
  <c r="I11" i="213"/>
  <c r="P10" i="213"/>
  <c r="Q10" i="213" s="1"/>
  <c r="L10" i="213"/>
  <c r="L12" i="213" s="1"/>
  <c r="K10" i="213"/>
  <c r="K12" i="213" s="1"/>
  <c r="I10" i="213"/>
  <c r="N10" i="213" s="1"/>
  <c r="A5" i="213"/>
  <c r="AG11" i="213" l="1"/>
  <c r="AC10" i="213"/>
  <c r="AD10" i="213"/>
  <c r="R10" i="213"/>
  <c r="N12" i="213"/>
  <c r="I12" i="213"/>
  <c r="AE10" i="213"/>
  <c r="AE12" i="213" s="1"/>
  <c r="Q11" i="213"/>
  <c r="AF10" i="213"/>
  <c r="AF12" i="213" s="1"/>
  <c r="S10" i="213" l="1"/>
  <c r="R12" i="213"/>
  <c r="AD12" i="213"/>
  <c r="AC11" i="213"/>
  <c r="AD11" i="213"/>
  <c r="AH11" i="213" s="1"/>
  <c r="Q12" i="213"/>
  <c r="S12" i="213" l="1"/>
  <c r="V10" i="213"/>
  <c r="V12" i="213" l="1"/>
  <c r="W10" i="213"/>
  <c r="Z10" i="213" l="1"/>
  <c r="W12" i="213"/>
  <c r="Z12" i="213" l="1"/>
  <c r="AG10" i="213"/>
  <c r="AG12" i="213" s="1"/>
  <c r="AH10" i="213"/>
  <c r="AH12" i="213" s="1"/>
  <c r="W13" i="127" l="1"/>
  <c r="M13" i="127"/>
  <c r="L13" i="127" s="1"/>
  <c r="J13" i="127"/>
  <c r="P13" i="127" s="1"/>
  <c r="G13" i="127"/>
  <c r="W14" i="127"/>
  <c r="J14" i="127"/>
  <c r="P14" i="127" s="1"/>
  <c r="Q14" i="127" s="1"/>
  <c r="Q13" i="127" l="1"/>
  <c r="O13" i="127" s="1"/>
  <c r="O14" i="127"/>
  <c r="S14" i="127" s="1"/>
  <c r="M27" i="65"/>
  <c r="A12" i="171"/>
  <c r="H52" i="98"/>
  <c r="I52" i="98"/>
  <c r="J52" i="98" s="1"/>
  <c r="L52" i="98" s="1"/>
  <c r="Q52" i="98" s="1"/>
  <c r="U52" i="98" s="1"/>
  <c r="Y52" i="98" s="1"/>
  <c r="J12" i="127"/>
  <c r="M11" i="127"/>
  <c r="L11" i="127" s="1"/>
  <c r="J11" i="127"/>
  <c r="P11" i="127" s="1"/>
  <c r="Q11" i="127" s="1"/>
  <c r="S13" i="127" l="1"/>
  <c r="X13" i="127"/>
  <c r="Z13" i="127" s="1"/>
  <c r="R13" i="127"/>
  <c r="X14" i="127"/>
  <c r="Z14" i="127" s="1"/>
  <c r="R14" i="127"/>
  <c r="C12" i="171"/>
  <c r="E12" i="171" s="1"/>
  <c r="O11" i="127"/>
  <c r="S11" i="127" s="1"/>
  <c r="W11" i="127" s="1"/>
  <c r="X11" i="127" s="1"/>
  <c r="AB13" i="127" l="1"/>
  <c r="Z11" i="127"/>
  <c r="AB11" i="127" s="1"/>
  <c r="AF11" i="127" s="1"/>
  <c r="R11" i="127"/>
  <c r="AD11" i="127" l="1"/>
  <c r="AJ11" i="127"/>
  <c r="AI11" i="127"/>
  <c r="AM11" i="127"/>
  <c r="AN11" i="127" l="1"/>
  <c r="C8" i="212" l="1"/>
  <c r="E8" i="212" s="1"/>
  <c r="C9" i="212"/>
  <c r="E9" i="212" s="1"/>
  <c r="C7" i="212"/>
  <c r="E7" i="212" s="1"/>
  <c r="C6" i="212"/>
  <c r="C5" i="212"/>
  <c r="E6" i="212"/>
  <c r="K9" i="180"/>
  <c r="AD15" i="195"/>
  <c r="K15" i="195"/>
  <c r="AG15" i="195" s="1"/>
  <c r="E5" i="212"/>
  <c r="D10" i="212"/>
  <c r="B10" i="212"/>
  <c r="P15" i="195" l="1"/>
  <c r="T15" i="195" s="1"/>
  <c r="AF15" i="195" s="1"/>
  <c r="I15" i="195"/>
  <c r="N15" i="195" s="1"/>
  <c r="M15" i="195" s="1"/>
  <c r="AH15" i="195"/>
  <c r="E10" i="212"/>
  <c r="A11" i="171"/>
  <c r="G53" i="98"/>
  <c r="D53" i="98"/>
  <c r="H51" i="98"/>
  <c r="I51" i="98" s="1"/>
  <c r="J51" i="98" s="1"/>
  <c r="L51" i="98" s="1"/>
  <c r="Q51" i="98" s="1"/>
  <c r="U51" i="98" s="1"/>
  <c r="Y51" i="98" s="1"/>
  <c r="W15" i="195" l="1"/>
  <c r="S15" i="195"/>
  <c r="X15" i="195" s="1"/>
  <c r="AA15" i="195" s="1"/>
  <c r="AC15" i="195" s="1"/>
  <c r="AE15" i="195"/>
  <c r="AI15" i="195"/>
  <c r="C11" i="171"/>
  <c r="E11" i="171" s="1"/>
  <c r="A10" i="171" l="1"/>
  <c r="H50" i="98"/>
  <c r="I50" i="98" s="1"/>
  <c r="J50" i="98" s="1"/>
  <c r="L50" i="98" s="1"/>
  <c r="Q50" i="98" s="1"/>
  <c r="U50" i="98" s="1"/>
  <c r="Y50" i="98" s="1"/>
  <c r="AB20" i="195"/>
  <c r="C10" i="171" l="1"/>
  <c r="E10" i="171" s="1"/>
  <c r="F12" i="170"/>
  <c r="J10" i="67" s="1"/>
  <c r="E9" i="170"/>
  <c r="G9" i="170" s="1"/>
  <c r="B11" i="170" l="1"/>
  <c r="E10" i="170"/>
  <c r="G10" i="170" s="1"/>
  <c r="I11" i="199"/>
  <c r="J10" i="180"/>
  <c r="V17" i="195"/>
  <c r="V20" i="195"/>
  <c r="G19" i="67"/>
  <c r="V21" i="195" l="1"/>
  <c r="K19" i="67"/>
  <c r="I19" i="67"/>
  <c r="H18" i="67"/>
  <c r="W11" i="200"/>
  <c r="M11" i="200"/>
  <c r="L11" i="200" s="1"/>
  <c r="I11" i="200"/>
  <c r="J11" i="200" s="1"/>
  <c r="G11" i="200"/>
  <c r="N11" i="180"/>
  <c r="M11" i="180" s="1"/>
  <c r="K11" i="180"/>
  <c r="AH11" i="180" s="1"/>
  <c r="N10" i="180"/>
  <c r="M10" i="180" s="1"/>
  <c r="K10" i="180"/>
  <c r="Q10" i="180" s="1"/>
  <c r="R10" i="180" s="1"/>
  <c r="E8" i="211"/>
  <c r="E5" i="211"/>
  <c r="E20" i="211"/>
  <c r="P11" i="200" l="1"/>
  <c r="Q11" i="200" s="1"/>
  <c r="Q11" i="180"/>
  <c r="R11" i="180" s="1"/>
  <c r="AG11" i="180"/>
  <c r="AG10" i="180"/>
  <c r="P10" i="180"/>
  <c r="T10" i="180" s="1"/>
  <c r="AH10" i="180"/>
  <c r="AB17" i="195"/>
  <c r="H9" i="211"/>
  <c r="C9" i="211"/>
  <c r="C26" i="211"/>
  <c r="E10" i="211"/>
  <c r="F10" i="211"/>
  <c r="C23" i="211"/>
  <c r="E23" i="211"/>
  <c r="F23" i="211"/>
  <c r="H23" i="211"/>
  <c r="A22" i="211"/>
  <c r="A21" i="211"/>
  <c r="A18" i="211"/>
  <c r="A19" i="211"/>
  <c r="A20" i="211"/>
  <c r="A17" i="211"/>
  <c r="H57" i="211"/>
  <c r="H53" i="211"/>
  <c r="H50" i="211"/>
  <c r="H47" i="211"/>
  <c r="H43" i="211"/>
  <c r="E57" i="211"/>
  <c r="F57" i="211"/>
  <c r="F50" i="211"/>
  <c r="E47" i="211"/>
  <c r="F47" i="211"/>
  <c r="E33" i="211"/>
  <c r="F33" i="211"/>
  <c r="E29" i="211"/>
  <c r="F29" i="211"/>
  <c r="A55" i="211"/>
  <c r="A56" i="211"/>
  <c r="A54" i="211"/>
  <c r="F52" i="211"/>
  <c r="F51" i="211"/>
  <c r="E52" i="211"/>
  <c r="E51" i="211"/>
  <c r="A52" i="211"/>
  <c r="A51" i="211"/>
  <c r="E49" i="211"/>
  <c r="E48" i="211"/>
  <c r="A49" i="211"/>
  <c r="A48" i="211"/>
  <c r="A45" i="211"/>
  <c r="A46" i="211"/>
  <c r="A44" i="211"/>
  <c r="F41" i="211"/>
  <c r="F42" i="211"/>
  <c r="F40" i="211"/>
  <c r="E41" i="211"/>
  <c r="E42" i="211"/>
  <c r="E40" i="211"/>
  <c r="A41" i="211"/>
  <c r="A42" i="211"/>
  <c r="A40" i="211"/>
  <c r="F36" i="211"/>
  <c r="F37" i="211"/>
  <c r="F38" i="211"/>
  <c r="F35" i="211"/>
  <c r="E36" i="211"/>
  <c r="E37" i="211"/>
  <c r="E38" i="211"/>
  <c r="E35" i="211"/>
  <c r="A38" i="211"/>
  <c r="A36" i="211"/>
  <c r="A37" i="211"/>
  <c r="A35" i="211"/>
  <c r="A34" i="211"/>
  <c r="A28" i="211"/>
  <c r="A27" i="211"/>
  <c r="E25" i="211"/>
  <c r="E24" i="211"/>
  <c r="A25" i="211"/>
  <c r="A24" i="211"/>
  <c r="E12" i="211"/>
  <c r="F12" i="211" s="1"/>
  <c r="E13" i="211"/>
  <c r="F13" i="211" s="1"/>
  <c r="E14" i="211"/>
  <c r="F14" i="211" s="1"/>
  <c r="E15" i="211"/>
  <c r="F15" i="211" s="1"/>
  <c r="E11" i="211"/>
  <c r="F11" i="211" s="1"/>
  <c r="A12" i="211"/>
  <c r="A13" i="211"/>
  <c r="A14" i="211"/>
  <c r="A15" i="211"/>
  <c r="A11" i="211"/>
  <c r="F5" i="211"/>
  <c r="F6" i="211"/>
  <c r="F7" i="211"/>
  <c r="F8" i="211"/>
  <c r="F4" i="211"/>
  <c r="E6" i="211"/>
  <c r="E7" i="211"/>
  <c r="E4" i="211"/>
  <c r="A10" i="211"/>
  <c r="A5" i="211"/>
  <c r="A6" i="211"/>
  <c r="A7" i="211"/>
  <c r="A8" i="211"/>
  <c r="A4" i="211"/>
  <c r="V14" i="128"/>
  <c r="L14" i="128"/>
  <c r="K14" i="128" s="1"/>
  <c r="V13" i="128"/>
  <c r="L13" i="128"/>
  <c r="K13" i="128" s="1"/>
  <c r="I13" i="128"/>
  <c r="O13" i="128" s="1"/>
  <c r="I11" i="183"/>
  <c r="L14" i="170"/>
  <c r="L17" i="170"/>
  <c r="U10" i="180" l="1"/>
  <c r="X10" i="180" s="1"/>
  <c r="Y10" i="180" s="1"/>
  <c r="AB10" i="180" s="1"/>
  <c r="AI10" i="180" s="1"/>
  <c r="C58" i="211"/>
  <c r="H58" i="211"/>
  <c r="M14" i="170"/>
  <c r="C7" i="170" s="1"/>
  <c r="O11" i="200"/>
  <c r="AB21" i="195"/>
  <c r="J5" i="67" s="1"/>
  <c r="P11" i="180"/>
  <c r="T11" i="180" s="1"/>
  <c r="S10" i="180"/>
  <c r="E9" i="211"/>
  <c r="F9" i="211"/>
  <c r="E53" i="211"/>
  <c r="E39" i="211"/>
  <c r="F43" i="211"/>
  <c r="F39" i="211"/>
  <c r="E50" i="211"/>
  <c r="F53" i="211"/>
  <c r="E43" i="211"/>
  <c r="F26" i="211"/>
  <c r="E26" i="211"/>
  <c r="O14" i="128"/>
  <c r="P14" i="128" s="1"/>
  <c r="P13" i="128"/>
  <c r="N13" i="128" s="1"/>
  <c r="AC16" i="183"/>
  <c r="Z12" i="203"/>
  <c r="Z12" i="199"/>
  <c r="U11" i="180" l="1"/>
  <c r="X11" i="180" s="1"/>
  <c r="Y11" i="180" s="1"/>
  <c r="AB11" i="180" s="1"/>
  <c r="AI11" i="180" s="1"/>
  <c r="S11" i="200"/>
  <c r="X11" i="200"/>
  <c r="R11" i="200"/>
  <c r="E58" i="211"/>
  <c r="S11" i="180"/>
  <c r="AF11" i="180" s="1"/>
  <c r="AF10" i="180"/>
  <c r="AJ10" i="180" s="1"/>
  <c r="AE10" i="180"/>
  <c r="F58" i="211"/>
  <c r="AC17" i="183"/>
  <c r="J8" i="67" s="1"/>
  <c r="R13" i="128"/>
  <c r="X13" i="128"/>
  <c r="AB13" i="128" s="1"/>
  <c r="N14" i="128"/>
  <c r="Q13" i="128"/>
  <c r="AE13" i="128" s="1"/>
  <c r="H13" i="210"/>
  <c r="K13" i="210"/>
  <c r="N13" i="210"/>
  <c r="T13" i="210"/>
  <c r="U13" i="210"/>
  <c r="V13" i="210"/>
  <c r="Y13" i="210"/>
  <c r="H9" i="67" s="1"/>
  <c r="AA13" i="210"/>
  <c r="I12" i="210"/>
  <c r="J12" i="210" s="1"/>
  <c r="P12" i="210" s="1"/>
  <c r="Q12" i="210" s="1"/>
  <c r="J13" i="67"/>
  <c r="H12" i="203"/>
  <c r="K12" i="203"/>
  <c r="N12" i="203"/>
  <c r="T12" i="203"/>
  <c r="U12" i="203"/>
  <c r="V12" i="203"/>
  <c r="Y12" i="203"/>
  <c r="H17" i="67" s="1"/>
  <c r="AA12" i="203"/>
  <c r="I11" i="203"/>
  <c r="J11" i="203" s="1"/>
  <c r="P11" i="203" s="1"/>
  <c r="Q11" i="203" s="1"/>
  <c r="AJ11" i="180" l="1"/>
  <c r="AB11" i="200"/>
  <c r="Z11" i="200"/>
  <c r="AE11" i="180"/>
  <c r="R14" i="128"/>
  <c r="X14" i="128"/>
  <c r="AB14" i="128" s="1"/>
  <c r="Q14" i="128"/>
  <c r="AE14" i="128" s="1"/>
  <c r="O11" i="203"/>
  <c r="X11" i="203" s="1"/>
  <c r="AB11" i="203" l="1"/>
  <c r="B56" i="211"/>
  <c r="O12" i="210"/>
  <c r="X12" i="210" s="1"/>
  <c r="R11" i="203"/>
  <c r="G56" i="211" l="1"/>
  <c r="I56" i="211" s="1"/>
  <c r="D56" i="211"/>
  <c r="AB12" i="210"/>
  <c r="B28" i="211"/>
  <c r="R12" i="210"/>
  <c r="Z12" i="210" s="1"/>
  <c r="I10" i="128"/>
  <c r="O10" i="128" s="1"/>
  <c r="I11" i="210"/>
  <c r="I13" i="210" s="1"/>
  <c r="A4" i="210"/>
  <c r="AD8" i="210"/>
  <c r="AE8" i="210"/>
  <c r="G11" i="210"/>
  <c r="W11" i="210"/>
  <c r="W13" i="210" s="1"/>
  <c r="G13" i="210"/>
  <c r="AD13" i="210"/>
  <c r="AE13" i="210"/>
  <c r="F11" i="196"/>
  <c r="F13" i="196"/>
  <c r="C9" i="209"/>
  <c r="C8" i="209"/>
  <c r="C11" i="209"/>
  <c r="C10" i="209"/>
  <c r="C7" i="209"/>
  <c r="G28" i="211" l="1"/>
  <c r="I28" i="211" s="1"/>
  <c r="D28" i="211"/>
  <c r="P10" i="128"/>
  <c r="L11" i="210"/>
  <c r="L13" i="210" s="1"/>
  <c r="M13" i="210"/>
  <c r="J11" i="210"/>
  <c r="J13" i="210" s="1"/>
  <c r="D12" i="209"/>
  <c r="E11" i="209"/>
  <c r="E9" i="209"/>
  <c r="E8" i="209"/>
  <c r="E7" i="209"/>
  <c r="E10" i="209"/>
  <c r="N10" i="128" l="1"/>
  <c r="Q10" i="128" s="1"/>
  <c r="P11" i="210"/>
  <c r="P13" i="210" s="1"/>
  <c r="E12" i="209"/>
  <c r="C12" i="209"/>
  <c r="Q11" i="210" l="1"/>
  <c r="O11" i="210" l="1"/>
  <c r="O13" i="210" s="1"/>
  <c r="Q13" i="210"/>
  <c r="B38" i="211"/>
  <c r="D38" i="211" l="1"/>
  <c r="G38" i="211"/>
  <c r="I38" i="211" s="1"/>
  <c r="S11" i="210"/>
  <c r="S13" i="210" s="1"/>
  <c r="R11" i="210"/>
  <c r="X11" i="210"/>
  <c r="AB11" i="210" s="1"/>
  <c r="F17" i="196"/>
  <c r="R13" i="210" l="1"/>
  <c r="Z13" i="210" s="1"/>
  <c r="Z11" i="210"/>
  <c r="X13" i="210"/>
  <c r="F9" i="67" s="1"/>
  <c r="B27" i="211"/>
  <c r="AB13" i="210"/>
  <c r="I10" i="199"/>
  <c r="J10" i="199" s="1"/>
  <c r="G27" i="211" l="1"/>
  <c r="D27" i="211"/>
  <c r="B29" i="211"/>
  <c r="D29" i="211" s="1"/>
  <c r="I27" i="211" l="1"/>
  <c r="I29" i="211" s="1"/>
  <c r="G29" i="211"/>
  <c r="B37" i="211"/>
  <c r="E11" i="170"/>
  <c r="G11" i="170" s="1"/>
  <c r="G37" i="211" l="1"/>
  <c r="D37" i="211"/>
  <c r="F15" i="196"/>
  <c r="F9" i="196"/>
  <c r="W12" i="201"/>
  <c r="M12" i="201"/>
  <c r="L12" i="201" s="1"/>
  <c r="I12" i="201"/>
  <c r="J12" i="201" s="1"/>
  <c r="G12" i="201"/>
  <c r="I37" i="211" l="1"/>
  <c r="P12" i="201"/>
  <c r="Q12" i="201" s="1"/>
  <c r="O12" i="201" l="1"/>
  <c r="S12" i="201" s="1"/>
  <c r="R12" i="201"/>
  <c r="X12" i="201" l="1"/>
  <c r="AA12" i="201"/>
  <c r="F8" i="196"/>
  <c r="L18" i="170"/>
  <c r="G9" i="67" l="1"/>
  <c r="C25" i="204"/>
  <c r="H9" i="204"/>
  <c r="I9" i="204" s="1"/>
  <c r="B4" i="204"/>
  <c r="AC10" i="204"/>
  <c r="AB10" i="204"/>
  <c r="Y10" i="204"/>
  <c r="X10" i="204"/>
  <c r="U10" i="204"/>
  <c r="T10" i="204"/>
  <c r="M10" i="204"/>
  <c r="J10" i="204"/>
  <c r="L9" i="204"/>
  <c r="K9" i="204" s="1"/>
  <c r="K10" i="204" s="1"/>
  <c r="B4" i="203"/>
  <c r="B4" i="202"/>
  <c r="C27" i="203"/>
  <c r="AD12" i="203"/>
  <c r="AE12" i="203"/>
  <c r="I10" i="203"/>
  <c r="J10" i="203" s="1"/>
  <c r="P10" i="203" s="1"/>
  <c r="Q10" i="203" s="1"/>
  <c r="I9" i="203"/>
  <c r="G12" i="203"/>
  <c r="W10" i="203"/>
  <c r="M10" i="203"/>
  <c r="L10" i="203" s="1"/>
  <c r="G10" i="203"/>
  <c r="W9" i="203"/>
  <c r="M9" i="203"/>
  <c r="G9" i="203"/>
  <c r="AE6" i="203"/>
  <c r="AD6" i="203"/>
  <c r="R11" i="202"/>
  <c r="S11" i="202"/>
  <c r="T11" i="202"/>
  <c r="W11" i="202"/>
  <c r="X11" i="202"/>
  <c r="L11" i="202"/>
  <c r="I10" i="202"/>
  <c r="J10" i="202" s="1"/>
  <c r="N10" i="202" s="1"/>
  <c r="O10" i="202" s="1"/>
  <c r="I9" i="202"/>
  <c r="J9" i="202" s="1"/>
  <c r="N9" i="202" s="1"/>
  <c r="B5" i="201"/>
  <c r="C26" i="202"/>
  <c r="AB11" i="202"/>
  <c r="AA11" i="202"/>
  <c r="K11" i="202"/>
  <c r="H11" i="202"/>
  <c r="G11" i="202"/>
  <c r="U10" i="202"/>
  <c r="G10" i="202"/>
  <c r="U9" i="202"/>
  <c r="U11" i="202" s="1"/>
  <c r="G9" i="202"/>
  <c r="AB6" i="202"/>
  <c r="AA6" i="202"/>
  <c r="C29" i="201"/>
  <c r="K14" i="201"/>
  <c r="N14" i="201"/>
  <c r="T14" i="201"/>
  <c r="U14" i="201"/>
  <c r="V14" i="201"/>
  <c r="Y14" i="201"/>
  <c r="Z14" i="201"/>
  <c r="H16" i="67" s="1"/>
  <c r="I11" i="201"/>
  <c r="J11" i="201" s="1"/>
  <c r="P11" i="201" s="1"/>
  <c r="Q11" i="201" s="1"/>
  <c r="I10" i="201"/>
  <c r="J10" i="201" s="1"/>
  <c r="P10" i="201" s="1"/>
  <c r="Q10" i="201" s="1"/>
  <c r="H14" i="201"/>
  <c r="C28" i="200"/>
  <c r="AD14" i="201"/>
  <c r="AC14" i="201"/>
  <c r="G14" i="201"/>
  <c r="W11" i="201"/>
  <c r="M11" i="201"/>
  <c r="L11" i="201" s="1"/>
  <c r="G11" i="201"/>
  <c r="W10" i="201"/>
  <c r="M10" i="201"/>
  <c r="L10" i="201" s="1"/>
  <c r="G10" i="201"/>
  <c r="AD7" i="201"/>
  <c r="AC7" i="201"/>
  <c r="B4" i="200"/>
  <c r="B4" i="199"/>
  <c r="I9" i="199"/>
  <c r="J9" i="199" s="1"/>
  <c r="P9" i="199" s="1"/>
  <c r="Q9" i="199" s="1"/>
  <c r="K13" i="200"/>
  <c r="N13" i="200"/>
  <c r="T13" i="200"/>
  <c r="U13" i="200"/>
  <c r="V13" i="200"/>
  <c r="Y13" i="200"/>
  <c r="H15" i="67" s="1"/>
  <c r="AA13" i="200"/>
  <c r="H13" i="200"/>
  <c r="I10" i="200"/>
  <c r="J10" i="200" s="1"/>
  <c r="P10" i="200" s="1"/>
  <c r="Q10" i="200" s="1"/>
  <c r="I12" i="200"/>
  <c r="J12" i="200" s="1"/>
  <c r="P12" i="200" s="1"/>
  <c r="Q12" i="200" s="1"/>
  <c r="I9" i="200"/>
  <c r="AE13" i="200"/>
  <c r="AD13" i="200"/>
  <c r="G13" i="200"/>
  <c r="W12" i="200"/>
  <c r="M12" i="200"/>
  <c r="L12" i="200" s="1"/>
  <c r="G12" i="200"/>
  <c r="W10" i="200"/>
  <c r="M10" i="200"/>
  <c r="L10" i="200" s="1"/>
  <c r="G10" i="200"/>
  <c r="W9" i="200"/>
  <c r="M9" i="200"/>
  <c r="L9" i="200" s="1"/>
  <c r="G9" i="200"/>
  <c r="AE6" i="200"/>
  <c r="AD6" i="200"/>
  <c r="C27" i="199"/>
  <c r="AF12" i="199"/>
  <c r="AE12" i="199"/>
  <c r="K12" i="199"/>
  <c r="N12" i="199"/>
  <c r="T12" i="199"/>
  <c r="U12" i="199"/>
  <c r="V12" i="199"/>
  <c r="Y12" i="199"/>
  <c r="AB12" i="199"/>
  <c r="H12" i="199"/>
  <c r="G12" i="199"/>
  <c r="W11" i="199"/>
  <c r="M11" i="199"/>
  <c r="L11" i="199" s="1"/>
  <c r="J11" i="199"/>
  <c r="P11" i="199" s="1"/>
  <c r="Q11" i="199" s="1"/>
  <c r="G11" i="199"/>
  <c r="W10" i="199"/>
  <c r="M10" i="199"/>
  <c r="L10" i="199" s="1"/>
  <c r="P10" i="199"/>
  <c r="Q10" i="199" s="1"/>
  <c r="G10" i="199"/>
  <c r="W9" i="199"/>
  <c r="W12" i="199" s="1"/>
  <c r="M9" i="199"/>
  <c r="L9" i="199" s="1"/>
  <c r="G9" i="199"/>
  <c r="AF6" i="199"/>
  <c r="AE6" i="199"/>
  <c r="J9" i="194"/>
  <c r="K9" i="194" s="1"/>
  <c r="A3" i="196"/>
  <c r="A5" i="181"/>
  <c r="A3" i="171"/>
  <c r="A4" i="128"/>
  <c r="A4" i="180"/>
  <c r="A4" i="183"/>
  <c r="A4" i="127"/>
  <c r="A4" i="194"/>
  <c r="A5" i="65"/>
  <c r="F7" i="196"/>
  <c r="F6" i="196"/>
  <c r="F10" i="196"/>
  <c r="F14" i="196"/>
  <c r="F16" i="196"/>
  <c r="F12" i="196"/>
  <c r="H14" i="67" l="1"/>
  <c r="J14" i="67"/>
  <c r="I9" i="67"/>
  <c r="K9" i="67" s="1"/>
  <c r="F18" i="196"/>
  <c r="F18" i="67" s="1"/>
  <c r="G18" i="67" s="1"/>
  <c r="I18" i="67" s="1"/>
  <c r="W12" i="203"/>
  <c r="I11" i="202"/>
  <c r="L9" i="203"/>
  <c r="L12" i="203" s="1"/>
  <c r="M12" i="203"/>
  <c r="J9" i="203"/>
  <c r="I12" i="203"/>
  <c r="G21" i="67"/>
  <c r="L12" i="199"/>
  <c r="I10" i="204"/>
  <c r="O9" i="204"/>
  <c r="L13" i="200"/>
  <c r="I13" i="200"/>
  <c r="W13" i="200"/>
  <c r="W14" i="201"/>
  <c r="I14" i="201"/>
  <c r="L14" i="201"/>
  <c r="M14" i="201"/>
  <c r="N11" i="202"/>
  <c r="H10" i="204"/>
  <c r="L10" i="204"/>
  <c r="AE9" i="204"/>
  <c r="AE10" i="204" s="1"/>
  <c r="AF9" i="204"/>
  <c r="AF10" i="204" s="1"/>
  <c r="O10" i="203"/>
  <c r="O9" i="202"/>
  <c r="O11" i="202" s="1"/>
  <c r="J11" i="202"/>
  <c r="M10" i="202"/>
  <c r="J9" i="200"/>
  <c r="P9" i="200" s="1"/>
  <c r="P13" i="200" s="1"/>
  <c r="M13" i="200"/>
  <c r="J14" i="201"/>
  <c r="O10" i="201"/>
  <c r="O11" i="201"/>
  <c r="S11" i="201" s="1"/>
  <c r="Q12" i="199"/>
  <c r="I12" i="199"/>
  <c r="O10" i="200"/>
  <c r="R10" i="200" s="1"/>
  <c r="O12" i="200"/>
  <c r="R12" i="200" s="1"/>
  <c r="J12" i="199"/>
  <c r="P12" i="199"/>
  <c r="M12" i="199"/>
  <c r="O9" i="199"/>
  <c r="S9" i="199" s="1"/>
  <c r="O10" i="199"/>
  <c r="S10" i="199" s="1"/>
  <c r="O11" i="199"/>
  <c r="X17" i="183"/>
  <c r="G16" i="183"/>
  <c r="H16" i="183"/>
  <c r="J16" i="183"/>
  <c r="M16" i="183"/>
  <c r="T16" i="183"/>
  <c r="U16" i="183"/>
  <c r="Z16" i="183"/>
  <c r="AI16" i="183"/>
  <c r="AJ16" i="183"/>
  <c r="S11" i="199" l="1"/>
  <c r="S12" i="199" s="1"/>
  <c r="X11" i="199"/>
  <c r="B42" i="211" s="1"/>
  <c r="R11" i="199"/>
  <c r="AA11" i="199" s="1"/>
  <c r="K18" i="67"/>
  <c r="K21" i="67"/>
  <c r="P9" i="203"/>
  <c r="J12" i="203"/>
  <c r="O10" i="204"/>
  <c r="P9" i="204"/>
  <c r="N9" i="204" s="1"/>
  <c r="R9" i="204" s="1"/>
  <c r="Q9" i="200"/>
  <c r="Q13" i="200" s="1"/>
  <c r="J13" i="200"/>
  <c r="Q9" i="204"/>
  <c r="V9" i="204"/>
  <c r="X10" i="203"/>
  <c r="S10" i="203"/>
  <c r="R10" i="203"/>
  <c r="Q10" i="202"/>
  <c r="V10" i="202"/>
  <c r="M9" i="202"/>
  <c r="P10" i="202"/>
  <c r="S10" i="201"/>
  <c r="X10" i="201"/>
  <c r="B48" i="211" s="1"/>
  <c r="D48" i="211" s="1"/>
  <c r="R10" i="201"/>
  <c r="X11" i="201"/>
  <c r="R11" i="201"/>
  <c r="X12" i="200"/>
  <c r="Z12" i="200" s="1"/>
  <c r="S12" i="200"/>
  <c r="X10" i="200"/>
  <c r="Z10" i="200" s="1"/>
  <c r="S10" i="200"/>
  <c r="O12" i="199"/>
  <c r="X9" i="199"/>
  <c r="B40" i="211" s="1"/>
  <c r="R10" i="199"/>
  <c r="AA10" i="199" s="1"/>
  <c r="AC11" i="199"/>
  <c r="R9" i="199"/>
  <c r="AA9" i="199" s="1"/>
  <c r="X10" i="199"/>
  <c r="D42" i="211" l="1"/>
  <c r="G42" i="211"/>
  <c r="I42" i="211" s="1"/>
  <c r="AB10" i="203"/>
  <c r="B55" i="211"/>
  <c r="D40" i="211"/>
  <c r="G40" i="211"/>
  <c r="I40" i="211" s="1"/>
  <c r="Y10" i="202"/>
  <c r="B52" i="211"/>
  <c r="AB12" i="200"/>
  <c r="B46" i="211"/>
  <c r="AB10" i="200"/>
  <c r="B45" i="211"/>
  <c r="AC10" i="199"/>
  <c r="B41" i="211"/>
  <c r="G48" i="211"/>
  <c r="I48" i="211" s="1"/>
  <c r="AA11" i="201"/>
  <c r="B49" i="211"/>
  <c r="P10" i="204"/>
  <c r="Q9" i="203"/>
  <c r="P12" i="203"/>
  <c r="O9" i="200"/>
  <c r="O13" i="200" s="1"/>
  <c r="P14" i="201"/>
  <c r="B36" i="211"/>
  <c r="P9" i="202"/>
  <c r="P11" i="202" s="1"/>
  <c r="M11" i="202"/>
  <c r="AD9" i="204"/>
  <c r="AD10" i="204" s="1"/>
  <c r="AC9" i="204"/>
  <c r="N10" i="204"/>
  <c r="Q10" i="204"/>
  <c r="W9" i="204"/>
  <c r="Q9" i="202"/>
  <c r="Q11" i="202" s="1"/>
  <c r="V9" i="202"/>
  <c r="AA10" i="201"/>
  <c r="AC9" i="199"/>
  <c r="R12" i="199"/>
  <c r="K16" i="195"/>
  <c r="I16" i="195" s="1"/>
  <c r="N16" i="195" s="1"/>
  <c r="M16" i="195" s="1"/>
  <c r="AD14" i="195"/>
  <c r="K14" i="195"/>
  <c r="X12" i="199" l="1"/>
  <c r="AA12" i="199"/>
  <c r="AC12" i="199" s="1"/>
  <c r="AG14" i="195"/>
  <c r="AH14" i="195" s="1"/>
  <c r="I14" i="195"/>
  <c r="N14" i="195" s="1"/>
  <c r="M14" i="195" s="1"/>
  <c r="G49" i="211"/>
  <c r="I49" i="211" s="1"/>
  <c r="I50" i="211" s="1"/>
  <c r="D49" i="211"/>
  <c r="G55" i="211"/>
  <c r="I55" i="211" s="1"/>
  <c r="D55" i="211"/>
  <c r="G36" i="211"/>
  <c r="I36" i="211" s="1"/>
  <c r="D36" i="211"/>
  <c r="D52" i="211"/>
  <c r="G52" i="211"/>
  <c r="I52" i="211" s="1"/>
  <c r="V11" i="202"/>
  <c r="B51" i="211"/>
  <c r="G46" i="211"/>
  <c r="I46" i="211" s="1"/>
  <c r="D46" i="211"/>
  <c r="G45" i="211"/>
  <c r="D45" i="211"/>
  <c r="D41" i="211"/>
  <c r="B43" i="211"/>
  <c r="G41" i="211"/>
  <c r="B50" i="211"/>
  <c r="G50" i="211"/>
  <c r="F14" i="67"/>
  <c r="G14" i="67" s="1"/>
  <c r="Q12" i="203"/>
  <c r="O9" i="203"/>
  <c r="X9" i="200"/>
  <c r="Z9" i="200" s="1"/>
  <c r="S9" i="200"/>
  <c r="S13" i="200" s="1"/>
  <c r="R9" i="200"/>
  <c r="R13" i="200" s="1"/>
  <c r="S14" i="201"/>
  <c r="O14" i="201"/>
  <c r="Q14" i="201"/>
  <c r="R14" i="201"/>
  <c r="Z9" i="204"/>
  <c r="R10" i="204"/>
  <c r="Y9" i="202"/>
  <c r="Y11" i="202" s="1"/>
  <c r="Q14" i="195"/>
  <c r="R14" i="195"/>
  <c r="I14" i="67" l="1"/>
  <c r="K14" i="67" s="1"/>
  <c r="G13" i="67"/>
  <c r="D51" i="211"/>
  <c r="B53" i="211"/>
  <c r="D53" i="211" s="1"/>
  <c r="G51" i="211"/>
  <c r="AB9" i="200"/>
  <c r="AB13" i="200" s="1"/>
  <c r="B44" i="211"/>
  <c r="B35" i="211"/>
  <c r="I45" i="211"/>
  <c r="I41" i="211"/>
  <c r="I43" i="211" s="1"/>
  <c r="G43" i="211"/>
  <c r="D43" i="211"/>
  <c r="D50" i="211"/>
  <c r="P14" i="195"/>
  <c r="S14" i="195" s="1"/>
  <c r="O12" i="203"/>
  <c r="S9" i="203"/>
  <c r="S12" i="203" s="1"/>
  <c r="X9" i="203"/>
  <c r="B54" i="211" s="1"/>
  <c r="R9" i="203"/>
  <c r="R12" i="203" s="1"/>
  <c r="X13" i="200"/>
  <c r="AA14" i="201"/>
  <c r="X14" i="201"/>
  <c r="F16" i="67" s="1"/>
  <c r="G16" i="67" s="1"/>
  <c r="I16" i="67" s="1"/>
  <c r="AG9" i="204"/>
  <c r="AH9" i="204" s="1"/>
  <c r="S10" i="204"/>
  <c r="F15" i="67" l="1"/>
  <c r="G15" i="67" s="1"/>
  <c r="I15" i="67" s="1"/>
  <c r="Z13" i="200"/>
  <c r="I13" i="67"/>
  <c r="K13" i="67" s="1"/>
  <c r="G54" i="211"/>
  <c r="D54" i="211"/>
  <c r="B57" i="211"/>
  <c r="D57" i="211" s="1"/>
  <c r="G53" i="211"/>
  <c r="I51" i="211"/>
  <c r="I53" i="211" s="1"/>
  <c r="G44" i="211"/>
  <c r="D44" i="211"/>
  <c r="B47" i="211"/>
  <c r="D47" i="211" s="1"/>
  <c r="G35" i="211"/>
  <c r="D35" i="211"/>
  <c r="B39" i="211"/>
  <c r="D39" i="211" s="1"/>
  <c r="T14" i="195"/>
  <c r="W14" i="195" s="1"/>
  <c r="AE14" i="195"/>
  <c r="K16" i="67"/>
  <c r="X12" i="203"/>
  <c r="F17" i="67" s="1"/>
  <c r="G17" i="67" s="1"/>
  <c r="AB9" i="203"/>
  <c r="AB12" i="203" s="1"/>
  <c r="V10" i="204"/>
  <c r="K28" i="65"/>
  <c r="R28" i="65"/>
  <c r="U28" i="65"/>
  <c r="V28" i="65"/>
  <c r="K25" i="65"/>
  <c r="M25" i="65"/>
  <c r="N25" i="65"/>
  <c r="R25" i="65"/>
  <c r="U25" i="65"/>
  <c r="V25" i="65"/>
  <c r="K22" i="65"/>
  <c r="M22" i="65"/>
  <c r="N22" i="65"/>
  <c r="R22" i="65"/>
  <c r="U22" i="65"/>
  <c r="V22" i="65"/>
  <c r="K16" i="65"/>
  <c r="M16" i="65"/>
  <c r="N16" i="65"/>
  <c r="R16" i="65"/>
  <c r="U16" i="65"/>
  <c r="V16" i="65"/>
  <c r="L20" i="195"/>
  <c r="U20" i="195"/>
  <c r="Y20" i="195"/>
  <c r="Z20" i="195"/>
  <c r="H17" i="195"/>
  <c r="L17" i="195"/>
  <c r="Y17" i="195"/>
  <c r="Z17" i="195"/>
  <c r="G17" i="195"/>
  <c r="J19" i="195"/>
  <c r="J20" i="195" s="1"/>
  <c r="J12" i="195"/>
  <c r="K12" i="195" s="1"/>
  <c r="AD16" i="195"/>
  <c r="R17" i="195"/>
  <c r="J29" i="65"/>
  <c r="J10" i="127" s="1"/>
  <c r="X29" i="65"/>
  <c r="H23" i="195"/>
  <c r="AD21" i="195"/>
  <c r="AD19" i="195"/>
  <c r="AD13" i="195"/>
  <c r="J13" i="195"/>
  <c r="K13" i="195" s="1"/>
  <c r="I13" i="195" s="1"/>
  <c r="N13" i="195" s="1"/>
  <c r="M13" i="195" s="1"/>
  <c r="AD12" i="195"/>
  <c r="AD11" i="195"/>
  <c r="J11" i="195"/>
  <c r="K11" i="195" s="1"/>
  <c r="I11" i="195" s="1"/>
  <c r="N11" i="195" s="1"/>
  <c r="M11" i="195" s="1"/>
  <c r="P11" i="195" s="1"/>
  <c r="H17" i="183"/>
  <c r="G17" i="183"/>
  <c r="J17" i="183"/>
  <c r="M17" i="183"/>
  <c r="T17" i="183"/>
  <c r="U17" i="183"/>
  <c r="Z17" i="183"/>
  <c r="AI17" i="183"/>
  <c r="AJ17" i="183"/>
  <c r="L15" i="183"/>
  <c r="K15" i="183" s="1"/>
  <c r="K15" i="67" l="1"/>
  <c r="AG12" i="195"/>
  <c r="I12" i="195"/>
  <c r="N12" i="195" s="1"/>
  <c r="M12" i="195" s="1"/>
  <c r="P12" i="195" s="1"/>
  <c r="T12" i="195" s="1"/>
  <c r="H8" i="67"/>
  <c r="K17" i="67"/>
  <c r="I17" i="67"/>
  <c r="Z21" i="195"/>
  <c r="H5" i="67" s="1"/>
  <c r="X14" i="195"/>
  <c r="G57" i="211"/>
  <c r="I54" i="211"/>
  <c r="I57" i="211" s="1"/>
  <c r="I44" i="211"/>
  <c r="I47" i="211" s="1"/>
  <c r="G47" i="211"/>
  <c r="I35" i="211"/>
  <c r="I39" i="211" s="1"/>
  <c r="G39" i="211"/>
  <c r="AF14" i="195"/>
  <c r="AI14" i="195" s="1"/>
  <c r="W10" i="204"/>
  <c r="L21" i="195"/>
  <c r="Y21" i="195"/>
  <c r="V30" i="65"/>
  <c r="H6" i="67" s="1"/>
  <c r="U30" i="65"/>
  <c r="K30" i="65"/>
  <c r="R30" i="65"/>
  <c r="K17" i="195"/>
  <c r="J17" i="195"/>
  <c r="J21" i="195" s="1"/>
  <c r="K19" i="195"/>
  <c r="AG16" i="195"/>
  <c r="AH16" i="195" s="1"/>
  <c r="M29" i="65"/>
  <c r="N29" i="65"/>
  <c r="AG11" i="195"/>
  <c r="AH12" i="195"/>
  <c r="AG13" i="195"/>
  <c r="P13" i="195"/>
  <c r="T13" i="195" s="1"/>
  <c r="O15" i="183"/>
  <c r="P15" i="183" s="1"/>
  <c r="AC14" i="195" l="1"/>
  <c r="AA14" i="195"/>
  <c r="B7" i="211"/>
  <c r="D7" i="211" s="1"/>
  <c r="G7" i="211" s="1"/>
  <c r="I7" i="211" s="1"/>
  <c r="G20" i="67"/>
  <c r="AG10" i="204"/>
  <c r="Z10" i="204"/>
  <c r="AG17" i="195"/>
  <c r="P16" i="195"/>
  <c r="Q17" i="195"/>
  <c r="Q20" i="195"/>
  <c r="K20" i="195"/>
  <c r="K21" i="195" s="1"/>
  <c r="AG19" i="195"/>
  <c r="R20" i="195"/>
  <c r="R21" i="195" s="1"/>
  <c r="L29" i="65"/>
  <c r="O29" i="65" s="1"/>
  <c r="AE13" i="195"/>
  <c r="S13" i="195"/>
  <c r="AH13" i="195"/>
  <c r="AE11" i="195"/>
  <c r="S11" i="195"/>
  <c r="B4" i="211" s="1"/>
  <c r="T11" i="195"/>
  <c r="AE12" i="195"/>
  <c r="S12" i="195"/>
  <c r="AH11" i="195"/>
  <c r="N15" i="183"/>
  <c r="R15" i="183" s="1"/>
  <c r="S15" i="183" s="1"/>
  <c r="V15" i="183" s="1"/>
  <c r="W15" i="183" s="1"/>
  <c r="D4" i="211" l="1"/>
  <c r="G4" i="211"/>
  <c r="I4" i="211" s="1"/>
  <c r="Y15" i="183"/>
  <c r="K20" i="67"/>
  <c r="AH10" i="204"/>
  <c r="AK15" i="183"/>
  <c r="Q21" i="195"/>
  <c r="S16" i="195"/>
  <c r="T16" i="195"/>
  <c r="AH17" i="195"/>
  <c r="P17" i="195"/>
  <c r="AE16" i="195"/>
  <c r="AE17" i="195" s="1"/>
  <c r="AH19" i="195"/>
  <c r="AH20" i="195" s="1"/>
  <c r="AG20" i="195"/>
  <c r="AG21" i="195" s="1"/>
  <c r="P19" i="195"/>
  <c r="Y29" i="65"/>
  <c r="P29" i="65"/>
  <c r="W29" i="65" s="1"/>
  <c r="AF12" i="195"/>
  <c r="AI12" i="195" s="1"/>
  <c r="W13" i="195"/>
  <c r="X13" i="195" s="1"/>
  <c r="AF13" i="195"/>
  <c r="AI13" i="195" s="1"/>
  <c r="U12" i="195"/>
  <c r="W11" i="195"/>
  <c r="AF11" i="195"/>
  <c r="Q15" i="183"/>
  <c r="U16" i="195" l="1"/>
  <c r="U17" i="195" s="1"/>
  <c r="U21" i="195" s="1"/>
  <c r="B6" i="211"/>
  <c r="AA13" i="195"/>
  <c r="AF16" i="195"/>
  <c r="AF17" i="195" s="1"/>
  <c r="S17" i="195"/>
  <c r="D8" i="211"/>
  <c r="G8" i="211" s="1"/>
  <c r="I8" i="211" s="1"/>
  <c r="AC13" i="195"/>
  <c r="AI16" i="195"/>
  <c r="AH21" i="195"/>
  <c r="Z29" i="65"/>
  <c r="AC29" i="65" s="1"/>
  <c r="S29" i="65"/>
  <c r="T17" i="195"/>
  <c r="W12" i="195"/>
  <c r="X12" i="195" s="1"/>
  <c r="T19" i="195"/>
  <c r="P20" i="195"/>
  <c r="P21" i="195" s="1"/>
  <c r="AE19" i="195"/>
  <c r="AE20" i="195" s="1"/>
  <c r="AE21" i="195" s="1"/>
  <c r="S19" i="195"/>
  <c r="X11" i="195"/>
  <c r="AI11" i="195"/>
  <c r="T29" i="65"/>
  <c r="AH15" i="183"/>
  <c r="AL15" i="183" s="1"/>
  <c r="AG15" i="183"/>
  <c r="W16" i="195" l="1"/>
  <c r="X16" i="195" s="1"/>
  <c r="X17" i="195" s="1"/>
  <c r="AA16" i="195"/>
  <c r="AC16" i="195" s="1"/>
  <c r="B5" i="211"/>
  <c r="AA12" i="195"/>
  <c r="AC11" i="195"/>
  <c r="AA11" i="195"/>
  <c r="D6" i="211"/>
  <c r="G6" i="211"/>
  <c r="I6" i="211" s="1"/>
  <c r="AC12" i="195"/>
  <c r="AI17" i="195"/>
  <c r="W17" i="195"/>
  <c r="T20" i="195"/>
  <c r="T21" i="195" s="1"/>
  <c r="AF19" i="195"/>
  <c r="W19" i="195"/>
  <c r="W20" i="195" s="1"/>
  <c r="S20" i="195"/>
  <c r="S21" i="195" s="1"/>
  <c r="X19" i="195"/>
  <c r="AA19" i="195" s="1"/>
  <c r="AC17" i="195" l="1"/>
  <c r="B9" i="211"/>
  <c r="AA17" i="195"/>
  <c r="B10" i="211"/>
  <c r="D10" i="211" s="1"/>
  <c r="G10" i="211" s="1"/>
  <c r="I10" i="211" s="1"/>
  <c r="AC19" i="195"/>
  <c r="AC20" i="195" s="1"/>
  <c r="D5" i="211"/>
  <c r="D9" i="211" s="1"/>
  <c r="G5" i="211"/>
  <c r="X20" i="195"/>
  <c r="X21" i="195" s="1"/>
  <c r="W21" i="195"/>
  <c r="AI19" i="195"/>
  <c r="AI20" i="195" s="1"/>
  <c r="AI21" i="195" s="1"/>
  <c r="AF20" i="195"/>
  <c r="AF21" i="195" s="1"/>
  <c r="X24" i="65"/>
  <c r="I24" i="65"/>
  <c r="X21" i="65"/>
  <c r="I21" i="65"/>
  <c r="J21" i="65" s="1"/>
  <c r="X20" i="65"/>
  <c r="I20" i="65"/>
  <c r="J20" i="65" s="1"/>
  <c r="L20" i="65" s="1"/>
  <c r="X14" i="65"/>
  <c r="I14" i="65"/>
  <c r="J14" i="65" s="1"/>
  <c r="X13" i="65"/>
  <c r="I13" i="65"/>
  <c r="J13" i="65" s="1"/>
  <c r="L13" i="65" s="1"/>
  <c r="X12" i="65"/>
  <c r="I12" i="65"/>
  <c r="J12" i="65" s="1"/>
  <c r="H11" i="65"/>
  <c r="I11" i="65" s="1"/>
  <c r="X15" i="65"/>
  <c r="I15" i="65"/>
  <c r="J15" i="65" s="1"/>
  <c r="X11" i="65"/>
  <c r="Y15" i="127"/>
  <c r="H7" i="67" s="1"/>
  <c r="AA15" i="127"/>
  <c r="K15" i="127"/>
  <c r="N15" i="127"/>
  <c r="I15" i="127"/>
  <c r="J7" i="67" l="1"/>
  <c r="J22" i="67" s="1"/>
  <c r="AA21" i="195"/>
  <c r="AA20" i="195"/>
  <c r="I5" i="211"/>
  <c r="I9" i="211" s="1"/>
  <c r="G9" i="211"/>
  <c r="J11" i="65"/>
  <c r="J16" i="65" s="1"/>
  <c r="I16" i="65"/>
  <c r="J24" i="65"/>
  <c r="AA24" i="65" s="1"/>
  <c r="AA25" i="65" s="1"/>
  <c r="I25" i="65"/>
  <c r="L21" i="65"/>
  <c r="AA21" i="65"/>
  <c r="Y20" i="65"/>
  <c r="P20" i="65"/>
  <c r="O20" i="65"/>
  <c r="AA20" i="65"/>
  <c r="L14" i="65"/>
  <c r="AA14" i="65"/>
  <c r="Y13" i="65"/>
  <c r="P13" i="65"/>
  <c r="O13" i="65"/>
  <c r="AA13" i="65"/>
  <c r="L12" i="65"/>
  <c r="AA12" i="65"/>
  <c r="L15" i="65"/>
  <c r="AA15" i="65"/>
  <c r="AB15" i="65" s="1"/>
  <c r="D12" i="170"/>
  <c r="H10" i="67" s="1"/>
  <c r="E8" i="170"/>
  <c r="G8" i="170" s="1"/>
  <c r="AC21" i="195" l="1"/>
  <c r="E5" i="67"/>
  <c r="G5" i="67" s="1"/>
  <c r="I5" i="67" s="1"/>
  <c r="L11" i="65"/>
  <c r="Y11" i="65" s="1"/>
  <c r="AA11" i="65"/>
  <c r="AA16" i="65" s="1"/>
  <c r="L24" i="65"/>
  <c r="J25" i="65"/>
  <c r="AB24" i="65"/>
  <c r="AB25" i="65" s="1"/>
  <c r="AB21" i="65"/>
  <c r="Y21" i="65"/>
  <c r="O21" i="65"/>
  <c r="P21" i="65"/>
  <c r="AB20" i="65"/>
  <c r="Z20" i="65"/>
  <c r="S20" i="65"/>
  <c r="T20" i="65" s="1"/>
  <c r="AB14" i="65"/>
  <c r="O14" i="65"/>
  <c r="Y14" i="65"/>
  <c r="P14" i="65"/>
  <c r="Q14" i="65" s="1"/>
  <c r="Z13" i="65"/>
  <c r="Q13" i="65"/>
  <c r="S13" i="65" s="1"/>
  <c r="AB13" i="65"/>
  <c r="AB12" i="65"/>
  <c r="Y15" i="65"/>
  <c r="O15" i="65"/>
  <c r="P15" i="65"/>
  <c r="Q15" i="65" s="1"/>
  <c r="Y12" i="65"/>
  <c r="P12" i="65"/>
  <c r="O12" i="65"/>
  <c r="P11" i="65" l="1"/>
  <c r="P16" i="65" s="1"/>
  <c r="K5" i="67"/>
  <c r="AB11" i="65"/>
  <c r="AB16" i="65" s="1"/>
  <c r="W20" i="65"/>
  <c r="B19" i="211"/>
  <c r="D19" i="211" s="1"/>
  <c r="G19" i="211" s="1"/>
  <c r="I19" i="211" s="1"/>
  <c r="W13" i="65"/>
  <c r="B13" i="211"/>
  <c r="L16" i="65"/>
  <c r="O11" i="65"/>
  <c r="O16" i="65" s="1"/>
  <c r="L25" i="65"/>
  <c r="Y24" i="65"/>
  <c r="Y25" i="65" s="1"/>
  <c r="P24" i="65"/>
  <c r="O24" i="65"/>
  <c r="O25" i="65" s="1"/>
  <c r="Y16" i="65"/>
  <c r="Z21" i="65"/>
  <c r="AC21" i="65" s="1"/>
  <c r="Q21" i="65"/>
  <c r="S21" i="65" s="1"/>
  <c r="T21" i="65" s="1"/>
  <c r="AC20" i="65"/>
  <c r="AC13" i="65"/>
  <c r="Z14" i="65"/>
  <c r="AC14" i="65" s="1"/>
  <c r="S14" i="65"/>
  <c r="T14" i="65" s="1"/>
  <c r="Z12" i="65"/>
  <c r="AC12" i="65" s="1"/>
  <c r="Z15" i="65"/>
  <c r="AC15" i="65" s="1"/>
  <c r="Q12" i="65"/>
  <c r="S12" i="65" s="1"/>
  <c r="T12" i="65" s="1"/>
  <c r="S15" i="65"/>
  <c r="T15" i="65" s="1"/>
  <c r="I14" i="183"/>
  <c r="G11" i="127"/>
  <c r="L12" i="183"/>
  <c r="K12" i="183" s="1"/>
  <c r="I12" i="183"/>
  <c r="O12" i="183" s="1"/>
  <c r="P12" i="183" s="1"/>
  <c r="Z11" i="65" l="1"/>
  <c r="Z16" i="65" s="1"/>
  <c r="Q11" i="65"/>
  <c r="Q16" i="65" s="1"/>
  <c r="W21" i="65"/>
  <c r="B20" i="211"/>
  <c r="D20" i="211" s="1"/>
  <c r="G20" i="211" s="1"/>
  <c r="I20" i="211" s="1"/>
  <c r="W15" i="65"/>
  <c r="B15" i="211"/>
  <c r="W14" i="65"/>
  <c r="B14" i="211"/>
  <c r="W12" i="65"/>
  <c r="B12" i="211"/>
  <c r="D13" i="211"/>
  <c r="G13" i="211"/>
  <c r="I13" i="211" s="1"/>
  <c r="AC11" i="65"/>
  <c r="AC16" i="65" s="1"/>
  <c r="T11" i="65"/>
  <c r="B11" i="211" s="1"/>
  <c r="P25" i="65"/>
  <c r="Z24" i="65"/>
  <c r="Q24" i="65"/>
  <c r="S11" i="65"/>
  <c r="S16" i="65" s="1"/>
  <c r="V10" i="128"/>
  <c r="L10" i="128"/>
  <c r="K10" i="128" s="1"/>
  <c r="D15" i="211" l="1"/>
  <c r="G15" i="211"/>
  <c r="I15" i="211" s="1"/>
  <c r="D14" i="211"/>
  <c r="G14" i="211"/>
  <c r="I14" i="211" s="1"/>
  <c r="D12" i="211"/>
  <c r="G12" i="211"/>
  <c r="I12" i="211" s="1"/>
  <c r="D11" i="211"/>
  <c r="G11" i="211"/>
  <c r="I11" i="211" s="1"/>
  <c r="S24" i="65"/>
  <c r="Q25" i="65"/>
  <c r="Z25" i="65"/>
  <c r="AC24" i="65"/>
  <c r="AC25" i="65" s="1"/>
  <c r="W11" i="65"/>
  <c r="W16" i="65" s="1"/>
  <c r="T16" i="65"/>
  <c r="N12" i="183"/>
  <c r="R12" i="183" s="1"/>
  <c r="S12" i="183" s="1"/>
  <c r="V12" i="183" s="1"/>
  <c r="W12" i="183" s="1"/>
  <c r="Y12" i="183" s="1"/>
  <c r="AB12" i="183" s="1"/>
  <c r="I16" i="211" l="1"/>
  <c r="B16" i="211"/>
  <c r="D16" i="211" s="1"/>
  <c r="AD12" i="183"/>
  <c r="AK12" i="183" s="1"/>
  <c r="B25" i="211"/>
  <c r="D25" i="211" s="1"/>
  <c r="G25" i="211" s="1"/>
  <c r="I25" i="211" s="1"/>
  <c r="T24" i="65"/>
  <c r="B21" i="211" s="1"/>
  <c r="S25" i="65"/>
  <c r="Q12" i="183"/>
  <c r="D14" i="171"/>
  <c r="H11" i="67" s="1"/>
  <c r="G16" i="211" l="1"/>
  <c r="D21" i="211"/>
  <c r="W24" i="65"/>
  <c r="W25" i="65" s="1"/>
  <c r="T25" i="65"/>
  <c r="AH12" i="183"/>
  <c r="AL12" i="183" s="1"/>
  <c r="AG12" i="183"/>
  <c r="R10" i="128"/>
  <c r="X10" i="128"/>
  <c r="AB10" i="128" s="1"/>
  <c r="AE10" i="128"/>
  <c r="D27" i="192"/>
  <c r="W15" i="128"/>
  <c r="W10" i="127"/>
  <c r="H10" i="127"/>
  <c r="G10" i="127"/>
  <c r="V9" i="128"/>
  <c r="L9" i="128"/>
  <c r="K9" i="128" s="1"/>
  <c r="I9" i="128"/>
  <c r="O9" i="128" s="1"/>
  <c r="P9" i="128" s="1"/>
  <c r="J15" i="128"/>
  <c r="H15" i="128"/>
  <c r="I11" i="128"/>
  <c r="I15" i="128" s="1"/>
  <c r="G21" i="211" l="1"/>
  <c r="M10" i="127"/>
  <c r="H15" i="127"/>
  <c r="N9" i="128"/>
  <c r="R9" i="128" s="1"/>
  <c r="J15" i="194"/>
  <c r="I15" i="194"/>
  <c r="C24" i="194"/>
  <c r="W15" i="194"/>
  <c r="V15" i="194"/>
  <c r="S15" i="194"/>
  <c r="O15" i="194"/>
  <c r="L15" i="194"/>
  <c r="G15" i="194"/>
  <c r="AA13" i="194"/>
  <c r="Z13" i="194"/>
  <c r="N13" i="194"/>
  <c r="M13" i="194" s="1"/>
  <c r="K13" i="194"/>
  <c r="AD13" i="194" s="1"/>
  <c r="AE13" i="194" s="1"/>
  <c r="A5" i="194"/>
  <c r="H11" i="194" s="1"/>
  <c r="J11" i="194" s="1"/>
  <c r="Y15" i="128"/>
  <c r="L14" i="183"/>
  <c r="O14" i="183"/>
  <c r="I21" i="211" l="1"/>
  <c r="L10" i="127"/>
  <c r="K14" i="183"/>
  <c r="X9" i="128"/>
  <c r="Q9" i="128"/>
  <c r="AE9" i="128" s="1"/>
  <c r="P13" i="194"/>
  <c r="Q13" i="194" s="1"/>
  <c r="Z11" i="194"/>
  <c r="K11" i="194"/>
  <c r="AA11" i="194"/>
  <c r="H10" i="194"/>
  <c r="J10" i="194" s="1"/>
  <c r="H14" i="194"/>
  <c r="J14" i="194" s="1"/>
  <c r="H9" i="194"/>
  <c r="H12" i="194"/>
  <c r="J12" i="194" s="1"/>
  <c r="P14" i="183"/>
  <c r="N14" i="183" l="1"/>
  <c r="Q14" i="183" s="1"/>
  <c r="AB13" i="194"/>
  <c r="AB9" i="128"/>
  <c r="K14" i="194"/>
  <c r="Z14" i="194"/>
  <c r="AA14" i="194"/>
  <c r="AA9" i="194"/>
  <c r="Z9" i="194"/>
  <c r="K10" i="194"/>
  <c r="AA10" i="194"/>
  <c r="Z10" i="194"/>
  <c r="AD11" i="194"/>
  <c r="AE11" i="194" s="1"/>
  <c r="P11" i="194"/>
  <c r="AA12" i="194"/>
  <c r="Z12" i="194"/>
  <c r="K12" i="194"/>
  <c r="T13" i="194"/>
  <c r="AC13" i="194"/>
  <c r="AF13" i="194" s="1"/>
  <c r="N11" i="181"/>
  <c r="R14" i="183" l="1"/>
  <c r="K15" i="194"/>
  <c r="AD9" i="194"/>
  <c r="U13" i="194"/>
  <c r="X13" i="194"/>
  <c r="R11" i="194"/>
  <c r="Q11" i="194"/>
  <c r="AB11" i="194"/>
  <c r="I11" i="194"/>
  <c r="N11" i="194" s="1"/>
  <c r="M11" i="194" s="1"/>
  <c r="P10" i="194"/>
  <c r="AD10" i="194"/>
  <c r="AE10" i="194" s="1"/>
  <c r="AA15" i="194"/>
  <c r="Z15" i="194"/>
  <c r="P14" i="194"/>
  <c r="AD14" i="194"/>
  <c r="AE14" i="194" s="1"/>
  <c r="AD12" i="194"/>
  <c r="AE12" i="194" s="1"/>
  <c r="P12" i="194"/>
  <c r="Y19" i="184"/>
  <c r="S14" i="183" l="1"/>
  <c r="AE9" i="194"/>
  <c r="AE15" i="194" s="1"/>
  <c r="AD15" i="194"/>
  <c r="N9" i="194"/>
  <c r="I12" i="194"/>
  <c r="N12" i="194" s="1"/>
  <c r="M12" i="194" s="1"/>
  <c r="Q12" i="194"/>
  <c r="R12" i="194" s="1"/>
  <c r="AB12" i="194"/>
  <c r="Q14" i="194"/>
  <c r="R14" i="194" s="1"/>
  <c r="AB14" i="194"/>
  <c r="I14" i="194"/>
  <c r="N14" i="194" s="1"/>
  <c r="M14" i="194" s="1"/>
  <c r="Q10" i="194"/>
  <c r="R10" i="194" s="1"/>
  <c r="AB10" i="194"/>
  <c r="I10" i="194"/>
  <c r="N10" i="194" s="1"/>
  <c r="M10" i="194" s="1"/>
  <c r="AC11" i="194"/>
  <c r="AF11" i="194" s="1"/>
  <c r="T11" i="194"/>
  <c r="W16" i="184"/>
  <c r="M16" i="184"/>
  <c r="L16" i="184" s="1"/>
  <c r="P16" i="184"/>
  <c r="Q16" i="184" s="1"/>
  <c r="G16" i="184"/>
  <c r="V14" i="183" l="1"/>
  <c r="AC10" i="194"/>
  <c r="AF10" i="194" s="1"/>
  <c r="T10" i="194"/>
  <c r="AC14" i="194"/>
  <c r="AF14" i="194" s="1"/>
  <c r="M9" i="194"/>
  <c r="N15" i="194"/>
  <c r="U11" i="194"/>
  <c r="X11" i="194"/>
  <c r="T12" i="194"/>
  <c r="U12" i="194" s="1"/>
  <c r="X12" i="194" s="1"/>
  <c r="AC12" i="194"/>
  <c r="AF12" i="194" s="1"/>
  <c r="O16" i="184"/>
  <c r="W14" i="183" l="1"/>
  <c r="M15" i="194"/>
  <c r="P9" i="194"/>
  <c r="U10" i="194"/>
  <c r="X10" i="194"/>
  <c r="X16" i="184"/>
  <c r="AA16" i="184" s="1"/>
  <c r="S16" i="184"/>
  <c r="R16" i="184"/>
  <c r="Y14" i="183" l="1"/>
  <c r="AD14" i="183"/>
  <c r="P15" i="194"/>
  <c r="AB9" i="194"/>
  <c r="AB15" i="194" s="1"/>
  <c r="R15" i="194"/>
  <c r="B9" i="67"/>
  <c r="T9" i="194" l="1"/>
  <c r="Q15" i="194"/>
  <c r="AC9" i="194"/>
  <c r="AC15" i="194" s="1"/>
  <c r="G18" i="184"/>
  <c r="M18" i="184"/>
  <c r="L18" i="184" s="1"/>
  <c r="P18" i="184"/>
  <c r="Q18" i="184" s="1"/>
  <c r="W18" i="184"/>
  <c r="T15" i="194" l="1"/>
  <c r="U9" i="194"/>
  <c r="AF9" i="194"/>
  <c r="AF15" i="194" s="1"/>
  <c r="O18" i="184"/>
  <c r="R18" i="184" s="1"/>
  <c r="S18" i="184" l="1"/>
  <c r="X18" i="184"/>
  <c r="AA18" i="184" s="1"/>
  <c r="U15" i="194"/>
  <c r="X9" i="194"/>
  <c r="X15" i="194" s="1"/>
  <c r="B30" i="119" l="1"/>
  <c r="W17" i="184" l="1"/>
  <c r="M17" i="184"/>
  <c r="L17" i="184" s="1"/>
  <c r="J17" i="184"/>
  <c r="P17" i="184" s="1"/>
  <c r="G17" i="184"/>
  <c r="W10" i="184"/>
  <c r="M10" i="184"/>
  <c r="L10" i="184" s="1"/>
  <c r="J10" i="184"/>
  <c r="P10" i="184" s="1"/>
  <c r="G10" i="184"/>
  <c r="C21" i="193"/>
  <c r="E15" i="193"/>
  <c r="F15" i="193" s="1"/>
  <c r="E14" i="193"/>
  <c r="F14" i="193" s="1"/>
  <c r="E13" i="193"/>
  <c r="F13" i="193" s="1"/>
  <c r="E12" i="193"/>
  <c r="F12" i="193" s="1"/>
  <c r="E11" i="193"/>
  <c r="F11" i="193" s="1"/>
  <c r="E10" i="193"/>
  <c r="F10" i="193" s="1"/>
  <c r="Q17" i="184" l="1"/>
  <c r="Q10" i="184"/>
  <c r="O10" i="184" s="1"/>
  <c r="F21" i="193"/>
  <c r="O17" i="184" l="1"/>
  <c r="S10" i="184"/>
  <c r="X10" i="184"/>
  <c r="AA10" i="184" s="1"/>
  <c r="R10" i="184"/>
  <c r="S17" i="184" l="1"/>
  <c r="X17" i="184"/>
  <c r="AA17" i="184" s="1"/>
  <c r="R17" i="184"/>
  <c r="L11" i="183"/>
  <c r="K11" i="183" l="1"/>
  <c r="O11" i="183"/>
  <c r="P11" i="183" s="1"/>
  <c r="N11" i="183" l="1"/>
  <c r="Q11" i="183" s="1"/>
  <c r="D30" i="119"/>
  <c r="R11" i="183" l="1"/>
  <c r="S11" i="183" s="1"/>
  <c r="C30" i="119"/>
  <c r="E30" i="119" s="1"/>
  <c r="AH11" i="183"/>
  <c r="AG11" i="183"/>
  <c r="AG16" i="183" s="1"/>
  <c r="AG17" i="183" s="1"/>
  <c r="V11" i="183" l="1"/>
  <c r="J12" i="184"/>
  <c r="C12" i="170" l="1"/>
  <c r="F10" i="67" s="1"/>
  <c r="E7" i="170"/>
  <c r="W11" i="183"/>
  <c r="V12" i="128"/>
  <c r="L12" i="128"/>
  <c r="K12" i="128" s="1"/>
  <c r="I12" i="128"/>
  <c r="C27" i="192"/>
  <c r="E10" i="192"/>
  <c r="E12" i="170" l="1"/>
  <c r="G7" i="170"/>
  <c r="G12" i="170" s="1"/>
  <c r="Y11" i="183"/>
  <c r="AD11" i="183"/>
  <c r="G10" i="67"/>
  <c r="F10" i="192"/>
  <c r="F27" i="192" s="1"/>
  <c r="E27" i="192"/>
  <c r="O12" i="128"/>
  <c r="P12" i="128" s="1"/>
  <c r="B24" i="211" l="1"/>
  <c r="AB11" i="183"/>
  <c r="K10" i="67"/>
  <c r="I10" i="67"/>
  <c r="B26" i="211"/>
  <c r="G24" i="211"/>
  <c r="AK11" i="183"/>
  <c r="N12" i="128"/>
  <c r="I24" i="211" l="1"/>
  <c r="I26" i="211" s="1"/>
  <c r="G26" i="211"/>
  <c r="D26" i="211"/>
  <c r="AL11" i="183"/>
  <c r="R12" i="128"/>
  <c r="X12" i="128"/>
  <c r="AB12" i="128" s="1"/>
  <c r="Q12" i="128"/>
  <c r="AE12" i="128" s="1"/>
  <c r="W15" i="184" l="1"/>
  <c r="M15" i="184"/>
  <c r="L15" i="184" s="1"/>
  <c r="J15" i="184"/>
  <c r="P15" i="184" s="1"/>
  <c r="G15" i="184"/>
  <c r="F5" i="185"/>
  <c r="F6" i="185"/>
  <c r="Q15" i="184" l="1"/>
  <c r="O15" i="184" s="1"/>
  <c r="J48" i="98"/>
  <c r="G13" i="180"/>
  <c r="P12" i="127"/>
  <c r="Q12" i="127" s="1"/>
  <c r="W12" i="127"/>
  <c r="T19" i="184"/>
  <c r="U19" i="184"/>
  <c r="V19" i="184"/>
  <c r="Z19" i="184"/>
  <c r="S15" i="128"/>
  <c r="T15" i="128"/>
  <c r="U15" i="128"/>
  <c r="Z15" i="128"/>
  <c r="AA15" i="128"/>
  <c r="V11" i="128"/>
  <c r="L11" i="128"/>
  <c r="K11" i="128" s="1"/>
  <c r="T15" i="127"/>
  <c r="U15" i="127"/>
  <c r="V15" i="127"/>
  <c r="F7" i="185" l="1"/>
  <c r="X15" i="184"/>
  <c r="AA15" i="184" s="1"/>
  <c r="S15" i="184"/>
  <c r="R15" i="184"/>
  <c r="O12" i="127"/>
  <c r="S12" i="127" s="1"/>
  <c r="O11" i="128"/>
  <c r="R12" i="127" l="1"/>
  <c r="P11" i="128"/>
  <c r="N11" i="128" s="1"/>
  <c r="X11" i="128" s="1"/>
  <c r="X12" i="127"/>
  <c r="Z12" i="127" s="1"/>
  <c r="W14" i="184"/>
  <c r="M14" i="184"/>
  <c r="L14" i="184" s="1"/>
  <c r="J14" i="184"/>
  <c r="P14" i="184" s="1"/>
  <c r="G14" i="184"/>
  <c r="W13" i="184"/>
  <c r="M13" i="184"/>
  <c r="L13" i="184" s="1"/>
  <c r="J13" i="184"/>
  <c r="P13" i="184" s="1"/>
  <c r="G13" i="184"/>
  <c r="W12" i="184"/>
  <c r="M12" i="184"/>
  <c r="L12" i="184" s="1"/>
  <c r="P12" i="184"/>
  <c r="Q12" i="184" s="1"/>
  <c r="G12" i="184"/>
  <c r="W11" i="184"/>
  <c r="M11" i="184"/>
  <c r="L11" i="184" s="1"/>
  <c r="J11" i="184"/>
  <c r="P11" i="184" s="1"/>
  <c r="G11" i="184"/>
  <c r="G9" i="184"/>
  <c r="J9" i="184"/>
  <c r="P9" i="184" s="1"/>
  <c r="M9" i="184"/>
  <c r="L9" i="184" s="1"/>
  <c r="W9" i="184"/>
  <c r="C34" i="184"/>
  <c r="K23" i="184"/>
  <c r="J23" i="184"/>
  <c r="J22" i="184"/>
  <c r="AD19" i="184"/>
  <c r="AC19" i="184"/>
  <c r="N19" i="184"/>
  <c r="K19" i="184"/>
  <c r="F19" i="184"/>
  <c r="G19" i="184"/>
  <c r="AD6" i="184"/>
  <c r="AC6" i="184"/>
  <c r="B32" i="119"/>
  <c r="B33" i="119"/>
  <c r="B31" i="119"/>
  <c r="B26" i="119"/>
  <c r="B27" i="119"/>
  <c r="B28" i="119"/>
  <c r="B16" i="119"/>
  <c r="B17" i="119"/>
  <c r="B18" i="119"/>
  <c r="B19" i="119"/>
  <c r="B20" i="119"/>
  <c r="B7" i="119"/>
  <c r="B8" i="119"/>
  <c r="B9" i="119"/>
  <c r="B10" i="119"/>
  <c r="B11" i="119"/>
  <c r="B12" i="119"/>
  <c r="B13" i="119"/>
  <c r="AB12" i="127" l="1"/>
  <c r="W19" i="184"/>
  <c r="Q9" i="184"/>
  <c r="O9" i="184" s="1"/>
  <c r="J19" i="184"/>
  <c r="R11" i="128"/>
  <c r="Q11" i="128"/>
  <c r="Q15" i="128" s="1"/>
  <c r="Q14" i="184"/>
  <c r="O14" i="184" s="1"/>
  <c r="Q13" i="184"/>
  <c r="O13" i="184" s="1"/>
  <c r="S13" i="184" s="1"/>
  <c r="O12" i="184"/>
  <c r="S12" i="184" s="1"/>
  <c r="Q11" i="184"/>
  <c r="O11" i="184" s="1"/>
  <c r="S11" i="184" s="1"/>
  <c r="H19" i="184"/>
  <c r="M19" i="184"/>
  <c r="L19" i="184"/>
  <c r="J21" i="183"/>
  <c r="I21" i="183"/>
  <c r="I20" i="183"/>
  <c r="AF17" i="183"/>
  <c r="L13" i="183"/>
  <c r="I13" i="183"/>
  <c r="M12" i="127"/>
  <c r="G12" i="127"/>
  <c r="L12" i="127" l="1"/>
  <c r="L15" i="127" s="1"/>
  <c r="M15" i="127"/>
  <c r="L16" i="183"/>
  <c r="L17" i="183" s="1"/>
  <c r="I16" i="183"/>
  <c r="I17" i="183" s="1"/>
  <c r="K13" i="183"/>
  <c r="K16" i="183" s="1"/>
  <c r="O13" i="183"/>
  <c r="O16" i="183" s="1"/>
  <c r="P19" i="184"/>
  <c r="AE11" i="128"/>
  <c r="AB11" i="128"/>
  <c r="S9" i="184"/>
  <c r="Q19" i="184"/>
  <c r="S14" i="184"/>
  <c r="X14" i="184"/>
  <c r="AA14" i="184" s="1"/>
  <c r="X13" i="184"/>
  <c r="AA13" i="184" s="1"/>
  <c r="R14" i="184"/>
  <c r="R13" i="184"/>
  <c r="X12" i="184"/>
  <c r="AA12" i="184" s="1"/>
  <c r="R12" i="184"/>
  <c r="X11" i="184"/>
  <c r="AA11" i="184" s="1"/>
  <c r="X9" i="184"/>
  <c r="R9" i="184"/>
  <c r="R11" i="184"/>
  <c r="P13" i="183" l="1"/>
  <c r="P16" i="183" s="1"/>
  <c r="O17" i="183"/>
  <c r="K17" i="183"/>
  <c r="D31" i="119"/>
  <c r="X19" i="184"/>
  <c r="O19" i="184"/>
  <c r="R19" i="184"/>
  <c r="D32" i="119"/>
  <c r="AA9" i="184"/>
  <c r="AA19" i="184" s="1"/>
  <c r="D33" i="119"/>
  <c r="S19" i="184"/>
  <c r="A9" i="171"/>
  <c r="A31" i="211" s="1"/>
  <c r="A13" i="171"/>
  <c r="A32" i="211" s="1"/>
  <c r="A8" i="171"/>
  <c r="A30" i="211" s="1"/>
  <c r="H12" i="181"/>
  <c r="Y12" i="181"/>
  <c r="L13" i="180"/>
  <c r="J13" i="180"/>
  <c r="L15" i="57"/>
  <c r="I10" i="181"/>
  <c r="AF10" i="181" s="1"/>
  <c r="AF12" i="181" s="1"/>
  <c r="K13" i="57"/>
  <c r="K12" i="180"/>
  <c r="W15" i="57"/>
  <c r="I49" i="98"/>
  <c r="J49" i="98" s="1"/>
  <c r="L49" i="98" s="1"/>
  <c r="Q49" i="98" s="1"/>
  <c r="U49" i="98" s="1"/>
  <c r="H53" i="98"/>
  <c r="I53" i="98" s="1"/>
  <c r="J53" i="98" s="1"/>
  <c r="L53" i="98" s="1"/>
  <c r="Q53" i="98" s="1"/>
  <c r="U53" i="98" s="1"/>
  <c r="N13" i="183" l="1"/>
  <c r="R13" i="183" s="1"/>
  <c r="S13" i="183" s="1"/>
  <c r="S16" i="183" s="1"/>
  <c r="P17" i="183"/>
  <c r="P13" i="57"/>
  <c r="C19" i="119" s="1"/>
  <c r="E19" i="119" s="1"/>
  <c r="C32" i="119"/>
  <c r="E32" i="119" s="1"/>
  <c r="AH14" i="183"/>
  <c r="AG14" i="183"/>
  <c r="Y53" i="98"/>
  <c r="C13" i="171"/>
  <c r="Y49" i="98"/>
  <c r="C9" i="171"/>
  <c r="Q13" i="57"/>
  <c r="AE10" i="181"/>
  <c r="AE12" i="181" s="1"/>
  <c r="C31" i="119" l="1"/>
  <c r="E31" i="119" s="1"/>
  <c r="E9" i="171"/>
  <c r="B31" i="211"/>
  <c r="E13" i="171"/>
  <c r="B32" i="211"/>
  <c r="Q13" i="183"/>
  <c r="Q16" i="183" s="1"/>
  <c r="Q17" i="183" s="1"/>
  <c r="N16" i="183"/>
  <c r="N17" i="183" s="1"/>
  <c r="S17" i="183"/>
  <c r="R16" i="183"/>
  <c r="R17" i="183" s="1"/>
  <c r="AG13" i="183"/>
  <c r="V13" i="183"/>
  <c r="V16" i="183" s="1"/>
  <c r="AK14" i="183"/>
  <c r="AL14" i="183" s="1"/>
  <c r="D27" i="119"/>
  <c r="D26" i="119"/>
  <c r="C33" i="119"/>
  <c r="E33" i="119" s="1"/>
  <c r="G31" i="211" l="1"/>
  <c r="I31" i="211" s="1"/>
  <c r="D31" i="211"/>
  <c r="G32" i="211"/>
  <c r="D32" i="211"/>
  <c r="AH13" i="183"/>
  <c r="AH16" i="183" s="1"/>
  <c r="AH17" i="183" s="1"/>
  <c r="V17" i="183"/>
  <c r="W13" i="183"/>
  <c r="C27" i="119"/>
  <c r="E27" i="119" s="1"/>
  <c r="C26" i="119"/>
  <c r="E26" i="119" s="1"/>
  <c r="J15" i="127"/>
  <c r="I32" i="211" l="1"/>
  <c r="AD13" i="183"/>
  <c r="Y13" i="183"/>
  <c r="W16" i="183"/>
  <c r="Y16" i="183" s="1"/>
  <c r="AB16" i="183" s="1"/>
  <c r="B25" i="119"/>
  <c r="I11" i="181"/>
  <c r="C29" i="181"/>
  <c r="J16" i="181"/>
  <c r="I16" i="181"/>
  <c r="I15" i="181"/>
  <c r="AC12" i="181"/>
  <c r="AB12" i="181"/>
  <c r="X12" i="181"/>
  <c r="U12" i="181"/>
  <c r="M12" i="181"/>
  <c r="J12" i="181"/>
  <c r="L11" i="181"/>
  <c r="K11" i="181" s="1"/>
  <c r="L10" i="181"/>
  <c r="AA13" i="180"/>
  <c r="H22" i="67" s="1"/>
  <c r="Z13" i="180"/>
  <c r="V13" i="180"/>
  <c r="W13" i="180"/>
  <c r="O13" i="180"/>
  <c r="N9" i="180"/>
  <c r="M9" i="180" s="1"/>
  <c r="N12" i="180"/>
  <c r="M12" i="180" s="1"/>
  <c r="Q12" i="180"/>
  <c r="C29" i="180"/>
  <c r="L17" i="180"/>
  <c r="K17" i="180"/>
  <c r="K16" i="180"/>
  <c r="AD13" i="180"/>
  <c r="AE13" i="130"/>
  <c r="AE12" i="130"/>
  <c r="AD16" i="183" l="1"/>
  <c r="W17" i="183"/>
  <c r="Y17" i="183"/>
  <c r="AK13" i="183"/>
  <c r="L12" i="181"/>
  <c r="R12" i="180"/>
  <c r="P12" i="180" s="1"/>
  <c r="C28" i="119" s="1"/>
  <c r="D28" i="119"/>
  <c r="D23" i="119"/>
  <c r="K13" i="180"/>
  <c r="AH9" i="180"/>
  <c r="AH13" i="180" s="1"/>
  <c r="AG9" i="180"/>
  <c r="AG13" i="180" s="1"/>
  <c r="M13" i="180"/>
  <c r="N13" i="180"/>
  <c r="K10" i="181"/>
  <c r="K12" i="181" s="1"/>
  <c r="O12" i="181"/>
  <c r="I12" i="181"/>
  <c r="P10" i="181"/>
  <c r="N10" i="181" s="1"/>
  <c r="C22" i="119" s="1"/>
  <c r="X13" i="61"/>
  <c r="AE12" i="177"/>
  <c r="E8" i="67" l="1"/>
  <c r="G8" i="67" s="1"/>
  <c r="AB17" i="183"/>
  <c r="AD17" i="183" s="1"/>
  <c r="AK16" i="183"/>
  <c r="AK17" i="183" s="1"/>
  <c r="AL13" i="183"/>
  <c r="E28" i="119"/>
  <c r="R11" i="181"/>
  <c r="S11" i="181" s="1"/>
  <c r="V11" i="181" s="1"/>
  <c r="W11" i="181" s="1"/>
  <c r="Z11" i="181" s="1"/>
  <c r="B34" i="211" s="1"/>
  <c r="C23" i="119"/>
  <c r="Q11" i="181"/>
  <c r="AC11" i="181" s="1"/>
  <c r="T12" i="180"/>
  <c r="S12" i="180"/>
  <c r="AF12" i="180" s="1"/>
  <c r="U14" i="130"/>
  <c r="E13" i="177"/>
  <c r="L11" i="174"/>
  <c r="O11" i="174"/>
  <c r="U11" i="174"/>
  <c r="V11" i="174"/>
  <c r="W11" i="174"/>
  <c r="Z11" i="174"/>
  <c r="AA11" i="174"/>
  <c r="J11" i="174"/>
  <c r="K10" i="173"/>
  <c r="N10" i="173"/>
  <c r="M10" i="173" s="1"/>
  <c r="X10" i="173"/>
  <c r="I8" i="67" l="1"/>
  <c r="K8" i="67" s="1"/>
  <c r="G34" i="211"/>
  <c r="I34" i="211" s="1"/>
  <c r="D34" i="211"/>
  <c r="AL16" i="183"/>
  <c r="AL17" i="183" s="1"/>
  <c r="AG11" i="181"/>
  <c r="U12" i="180"/>
  <c r="X12" i="180" s="1"/>
  <c r="Y12" i="180" s="1"/>
  <c r="AB12" i="180" s="1"/>
  <c r="AD11" i="181"/>
  <c r="N12" i="181"/>
  <c r="R10" i="181"/>
  <c r="S10" i="181" s="1"/>
  <c r="S12" i="181" s="1"/>
  <c r="Q10" i="181"/>
  <c r="Q12" i="181" s="1"/>
  <c r="AE12" i="180"/>
  <c r="AE13" i="180"/>
  <c r="Q10" i="173"/>
  <c r="R10" i="173" s="1"/>
  <c r="Z10" i="172"/>
  <c r="AA10" i="172"/>
  <c r="L10" i="172"/>
  <c r="O10" i="172"/>
  <c r="U10" i="172"/>
  <c r="V10" i="172"/>
  <c r="W10" i="172"/>
  <c r="J10" i="172"/>
  <c r="X9" i="172"/>
  <c r="X10" i="172" s="1"/>
  <c r="N9" i="172"/>
  <c r="M9" i="172" s="1"/>
  <c r="M10" i="172" s="1"/>
  <c r="K9" i="172"/>
  <c r="K10" i="172" s="1"/>
  <c r="V14" i="130"/>
  <c r="BN13" i="61"/>
  <c r="BO13" i="61"/>
  <c r="BP13" i="61"/>
  <c r="AW13" i="61"/>
  <c r="AX13" i="61"/>
  <c r="BB13" i="61"/>
  <c r="BJ13" i="61"/>
  <c r="T13" i="61"/>
  <c r="AH11" i="181" l="1"/>
  <c r="AI12" i="180"/>
  <c r="R12" i="181"/>
  <c r="AD10" i="181"/>
  <c r="AD12" i="181" s="1"/>
  <c r="AC10" i="181"/>
  <c r="N10" i="172"/>
  <c r="P10" i="173"/>
  <c r="Q9" i="172"/>
  <c r="AJ12" i="180" l="1"/>
  <c r="V10" i="181"/>
  <c r="R9" i="172"/>
  <c r="R10" i="172" s="1"/>
  <c r="Q10" i="172"/>
  <c r="T10" i="173"/>
  <c r="Y10" i="173"/>
  <c r="AB10" i="173" s="1"/>
  <c r="S10" i="173"/>
  <c r="AE10" i="173" s="1"/>
  <c r="J10" i="175"/>
  <c r="W10" i="181" l="1"/>
  <c r="W12" i="181" s="1"/>
  <c r="V12" i="181"/>
  <c r="P9" i="172"/>
  <c r="Z10" i="181" l="1"/>
  <c r="Z12" i="181" s="1"/>
  <c r="E12" i="67" s="1"/>
  <c r="G12" i="67" s="1"/>
  <c r="I12" i="67" s="1"/>
  <c r="T9" i="172"/>
  <c r="T10" i="172" s="1"/>
  <c r="P10" i="172"/>
  <c r="Y9" i="172"/>
  <c r="S9" i="172"/>
  <c r="K12" i="67" l="1"/>
  <c r="AG10" i="181"/>
  <c r="AG12" i="181" s="1"/>
  <c r="Y10" i="172"/>
  <c r="AB9" i="172"/>
  <c r="AB10" i="172" s="1"/>
  <c r="AE9" i="172"/>
  <c r="S10" i="172"/>
  <c r="AH10" i="181" l="1"/>
  <c r="AH12" i="181" s="1"/>
  <c r="Z10" i="61" l="1"/>
  <c r="AA12" i="161"/>
  <c r="AI12" i="177" l="1"/>
  <c r="X10" i="174"/>
  <c r="N10" i="174"/>
  <c r="M10" i="174" s="1"/>
  <c r="K10" i="174"/>
  <c r="Q10" i="174" s="1"/>
  <c r="R10" i="174" s="1"/>
  <c r="X9" i="174"/>
  <c r="N9" i="174"/>
  <c r="K9" i="174"/>
  <c r="I10" i="175"/>
  <c r="X9" i="175"/>
  <c r="N9" i="175"/>
  <c r="M9" i="175" s="1"/>
  <c r="K9" i="175"/>
  <c r="H18" i="65"/>
  <c r="AQ13" i="177"/>
  <c r="V15" i="57"/>
  <c r="AN13" i="177"/>
  <c r="F13" i="177"/>
  <c r="G13" i="177"/>
  <c r="H13" i="177"/>
  <c r="I13" i="177"/>
  <c r="J13" i="177"/>
  <c r="K13" i="177"/>
  <c r="N13" i="177"/>
  <c r="O13" i="177"/>
  <c r="P13" i="177"/>
  <c r="Q13" i="177"/>
  <c r="R13" i="177"/>
  <c r="S13" i="177"/>
  <c r="T13" i="177"/>
  <c r="U13" i="177"/>
  <c r="V13" i="177"/>
  <c r="Y13" i="177"/>
  <c r="AB13" i="177"/>
  <c r="AC13" i="177"/>
  <c r="AD13" i="177"/>
  <c r="L10" i="175"/>
  <c r="O10" i="175"/>
  <c r="U10" i="175"/>
  <c r="V10" i="175"/>
  <c r="W10" i="175"/>
  <c r="Z10" i="175"/>
  <c r="AA10" i="175"/>
  <c r="Z12" i="173"/>
  <c r="AA12" i="173"/>
  <c r="L12" i="173"/>
  <c r="O12" i="173"/>
  <c r="U12" i="173"/>
  <c r="V12" i="173"/>
  <c r="W12" i="173"/>
  <c r="J12" i="173"/>
  <c r="L10" i="179"/>
  <c r="O10" i="179"/>
  <c r="U10" i="179"/>
  <c r="V10" i="179"/>
  <c r="W10" i="179"/>
  <c r="Z10" i="179"/>
  <c r="AA10" i="179"/>
  <c r="J10" i="179"/>
  <c r="L10" i="178"/>
  <c r="O10" i="178"/>
  <c r="U10" i="178"/>
  <c r="V10" i="178"/>
  <c r="W10" i="178"/>
  <c r="Z10" i="178"/>
  <c r="AA10" i="178"/>
  <c r="J10" i="178"/>
  <c r="C20" i="179"/>
  <c r="AE10" i="179"/>
  <c r="AD10" i="179"/>
  <c r="I10" i="179"/>
  <c r="G10" i="179"/>
  <c r="X9" i="179"/>
  <c r="N9" i="179"/>
  <c r="M9" i="179" s="1"/>
  <c r="K9" i="179"/>
  <c r="Q9" i="179" s="1"/>
  <c r="R9" i="179" s="1"/>
  <c r="C20" i="178"/>
  <c r="AE10" i="178"/>
  <c r="AD10" i="178"/>
  <c r="I10" i="178"/>
  <c r="G10" i="178"/>
  <c r="X9" i="178"/>
  <c r="N9" i="178"/>
  <c r="M9" i="178" s="1"/>
  <c r="K9" i="178"/>
  <c r="Q9" i="178" s="1"/>
  <c r="R9" i="178" s="1"/>
  <c r="AH12" i="177"/>
  <c r="AG12" i="177"/>
  <c r="W12" i="177"/>
  <c r="X12" i="177" s="1"/>
  <c r="L12" i="177"/>
  <c r="M12" i="177" s="1"/>
  <c r="X11" i="173"/>
  <c r="N11" i="173"/>
  <c r="M11" i="173" s="1"/>
  <c r="K11" i="173"/>
  <c r="Q11" i="173" s="1"/>
  <c r="R11" i="173" s="1"/>
  <c r="X9" i="173"/>
  <c r="N9" i="173"/>
  <c r="M9" i="173" s="1"/>
  <c r="K9" i="173"/>
  <c r="Q9" i="173" s="1"/>
  <c r="H47" i="98"/>
  <c r="H48" i="98"/>
  <c r="BA13" i="177"/>
  <c r="AZ13" i="177"/>
  <c r="AV13" i="177"/>
  <c r="AU13" i="177"/>
  <c r="C20" i="175"/>
  <c r="AE10" i="175"/>
  <c r="AD10" i="175"/>
  <c r="G10" i="175"/>
  <c r="C21" i="174"/>
  <c r="AE11" i="174"/>
  <c r="AD11" i="174"/>
  <c r="I11" i="174"/>
  <c r="G11" i="174"/>
  <c r="C22" i="173"/>
  <c r="AE12" i="173"/>
  <c r="AD12" i="173"/>
  <c r="I12" i="173"/>
  <c r="G12" i="173"/>
  <c r="C20" i="172"/>
  <c r="AE10" i="172"/>
  <c r="AD10" i="172"/>
  <c r="I10" i="172"/>
  <c r="G10" i="172"/>
  <c r="AI9" i="149"/>
  <c r="I14" i="130"/>
  <c r="Y9" i="149"/>
  <c r="O9" i="149"/>
  <c r="AK12" i="61"/>
  <c r="W12" i="130"/>
  <c r="X12" i="130" s="1"/>
  <c r="Z11" i="61"/>
  <c r="R13" i="61"/>
  <c r="S13" i="61"/>
  <c r="U13" i="61"/>
  <c r="V13" i="61"/>
  <c r="W13" i="61"/>
  <c r="Q13" i="61"/>
  <c r="I13" i="61"/>
  <c r="J13" i="61"/>
  <c r="K13" i="61"/>
  <c r="L13" i="61"/>
  <c r="M13" i="61"/>
  <c r="N13" i="61"/>
  <c r="H13" i="61"/>
  <c r="X11" i="174" l="1"/>
  <c r="M9" i="174"/>
  <c r="M11" i="174" s="1"/>
  <c r="N11" i="174"/>
  <c r="Q9" i="174"/>
  <c r="K11" i="174"/>
  <c r="AG13" i="177"/>
  <c r="M10" i="179"/>
  <c r="Q9" i="175"/>
  <c r="R9" i="175" s="1"/>
  <c r="M10" i="178"/>
  <c r="X10" i="178"/>
  <c r="R10" i="179"/>
  <c r="AH13" i="177"/>
  <c r="M13" i="177"/>
  <c r="P10" i="174"/>
  <c r="S10" i="174" s="1"/>
  <c r="AE10" i="174" s="1"/>
  <c r="X12" i="173"/>
  <c r="X10" i="175"/>
  <c r="M10" i="175"/>
  <c r="K10" i="179"/>
  <c r="K10" i="178"/>
  <c r="K10" i="175"/>
  <c r="X10" i="179"/>
  <c r="N10" i="178"/>
  <c r="M12" i="173"/>
  <c r="N12" i="173"/>
  <c r="N10" i="179"/>
  <c r="L13" i="177"/>
  <c r="N10" i="175"/>
  <c r="AE13" i="177"/>
  <c r="K12" i="173"/>
  <c r="W13" i="177"/>
  <c r="Q10" i="179"/>
  <c r="P9" i="179"/>
  <c r="T9" i="179" s="1"/>
  <c r="P9" i="178"/>
  <c r="Z12" i="177"/>
  <c r="P11" i="173"/>
  <c r="R9" i="173"/>
  <c r="AI13" i="177"/>
  <c r="X13" i="177"/>
  <c r="Y13" i="61"/>
  <c r="R9" i="174" l="1"/>
  <c r="Q11" i="174"/>
  <c r="P9" i="175"/>
  <c r="T9" i="175" s="1"/>
  <c r="Q12" i="173"/>
  <c r="Z13" i="177"/>
  <c r="T10" i="174"/>
  <c r="Y10" i="174"/>
  <c r="AB10" i="174" s="1"/>
  <c r="Q10" i="175"/>
  <c r="T9" i="178"/>
  <c r="P10" i="179"/>
  <c r="P9" i="173"/>
  <c r="Y9" i="173" s="1"/>
  <c r="R12" i="173"/>
  <c r="R10" i="178"/>
  <c r="Q10" i="178"/>
  <c r="Y9" i="179"/>
  <c r="AB9" i="179" s="1"/>
  <c r="S9" i="179"/>
  <c r="AE9" i="179" s="1"/>
  <c r="Y9" i="178"/>
  <c r="T10" i="179"/>
  <c r="S9" i="178"/>
  <c r="AF12" i="177"/>
  <c r="AA12" i="177"/>
  <c r="T11" i="173"/>
  <c r="Y11" i="173"/>
  <c r="AB11" i="173" s="1"/>
  <c r="S11" i="173"/>
  <c r="AE11" i="173" s="1"/>
  <c r="R11" i="174" l="1"/>
  <c r="P9" i="174"/>
  <c r="Y9" i="175"/>
  <c r="AB9" i="175" s="1"/>
  <c r="S9" i="175"/>
  <c r="AE9" i="175" s="1"/>
  <c r="S9" i="173"/>
  <c r="AE9" i="173" s="1"/>
  <c r="T9" i="173"/>
  <c r="AB9" i="173"/>
  <c r="AE9" i="178"/>
  <c r="Y12" i="173"/>
  <c r="AA13" i="177"/>
  <c r="AB9" i="178"/>
  <c r="P12" i="173"/>
  <c r="AJ12" i="177"/>
  <c r="AF13" i="177"/>
  <c r="P10" i="178"/>
  <c r="R10" i="175"/>
  <c r="S10" i="179"/>
  <c r="AB10" i="179"/>
  <c r="Y10" i="179"/>
  <c r="S9" i="174" l="1"/>
  <c r="P11" i="174"/>
  <c r="Y9" i="174"/>
  <c r="T9" i="174"/>
  <c r="T11" i="174" s="1"/>
  <c r="AJ13" i="177"/>
  <c r="AL12" i="177"/>
  <c r="AL13" i="177" s="1"/>
  <c r="AK12" i="177"/>
  <c r="AK13" i="177" s="1"/>
  <c r="AW12" i="177"/>
  <c r="T12" i="173"/>
  <c r="S12" i="173"/>
  <c r="AB10" i="178"/>
  <c r="T10" i="178"/>
  <c r="AM12" i="177"/>
  <c r="P10" i="175"/>
  <c r="S10" i="175"/>
  <c r="BC13" i="177"/>
  <c r="BB13" i="177"/>
  <c r="Y10" i="175"/>
  <c r="T10" i="175"/>
  <c r="AB12" i="173"/>
  <c r="AJ13" i="61"/>
  <c r="Z12" i="61"/>
  <c r="AA12" i="61" s="1"/>
  <c r="AA11" i="61"/>
  <c r="L48" i="98"/>
  <c r="Q48" i="98" s="1"/>
  <c r="Y11" i="174" l="1"/>
  <c r="AB9" i="174"/>
  <c r="AB11" i="174" s="1"/>
  <c r="AE9" i="174"/>
  <c r="S11" i="174"/>
  <c r="Y10" i="178"/>
  <c r="S10" i="178"/>
  <c r="AO12" i="177"/>
  <c r="AM13" i="177"/>
  <c r="AW13" i="177"/>
  <c r="AB10" i="175"/>
  <c r="U48" i="98"/>
  <c r="Y48" i="98" l="1"/>
  <c r="C8" i="171"/>
  <c r="B30" i="211" s="1"/>
  <c r="AO13" i="177"/>
  <c r="AS12" i="177"/>
  <c r="AY12" i="177"/>
  <c r="AV12" i="177"/>
  <c r="AA10" i="61"/>
  <c r="O11" i="61"/>
  <c r="P11" i="61" s="1"/>
  <c r="O12" i="61"/>
  <c r="P12" i="61" s="1"/>
  <c r="O10" i="61"/>
  <c r="P10" i="61" s="1"/>
  <c r="G30" i="211" l="1"/>
  <c r="D30" i="211"/>
  <c r="B33" i="211"/>
  <c r="D33" i="211" s="1"/>
  <c r="C14" i="171"/>
  <c r="F11" i="67" s="1"/>
  <c r="E8" i="171"/>
  <c r="E14" i="171" s="1"/>
  <c r="AS13" i="177"/>
  <c r="BD12" i="177"/>
  <c r="O13" i="61"/>
  <c r="AA13" i="61"/>
  <c r="Z13" i="61"/>
  <c r="I30" i="211" l="1"/>
  <c r="I33" i="211" s="1"/>
  <c r="G33" i="211"/>
  <c r="G11" i="67"/>
  <c r="I11" i="67" s="1"/>
  <c r="BD13" i="177"/>
  <c r="AY13" i="177"/>
  <c r="AX13" i="177"/>
  <c r="AB10" i="61"/>
  <c r="P13" i="61"/>
  <c r="AD10" i="61"/>
  <c r="K11" i="67" l="1"/>
  <c r="AC10" i="61"/>
  <c r="BR10" i="61"/>
  <c r="AV10" i="61"/>
  <c r="AS10" i="61"/>
  <c r="AP10" i="61"/>
  <c r="AO10" i="61"/>
  <c r="AN10" i="61"/>
  <c r="AK10" i="61"/>
  <c r="AH10" i="61"/>
  <c r="AI10" i="61" s="1"/>
  <c r="AL10" i="61"/>
  <c r="C9" i="119" l="1"/>
  <c r="E9" i="119" s="1"/>
  <c r="AR10" i="61"/>
  <c r="AQ10" i="61"/>
  <c r="AT10" i="61"/>
  <c r="AM10" i="61"/>
  <c r="AN11" i="61"/>
  <c r="AN12" i="61"/>
  <c r="AN13" i="61" l="1"/>
  <c r="BC10" i="61"/>
  <c r="AU10" i="61"/>
  <c r="L27" i="161"/>
  <c r="AF13" i="61"/>
  <c r="AY10" i="61" l="1"/>
  <c r="BA10" i="61"/>
  <c r="BE10" i="61" l="1"/>
  <c r="AI12" i="130"/>
  <c r="C13" i="119" l="1"/>
  <c r="E13" i="119" s="1"/>
  <c r="BD10" i="61"/>
  <c r="BF10" i="61"/>
  <c r="BG10" i="61" l="1"/>
  <c r="BH10" i="61" s="1"/>
  <c r="B23" i="119"/>
  <c r="B22" i="119"/>
  <c r="B6" i="119"/>
  <c r="I47" i="98"/>
  <c r="J47" i="98" s="1"/>
  <c r="L47" i="98" s="1"/>
  <c r="Q47" i="98" s="1"/>
  <c r="P10" i="127" l="1"/>
  <c r="BI10" i="61"/>
  <c r="BU10" i="61"/>
  <c r="AZ10" i="61"/>
  <c r="BT10" i="61"/>
  <c r="U47" i="98"/>
  <c r="AD12" i="61"/>
  <c r="L12" i="130"/>
  <c r="M12" i="130" s="1"/>
  <c r="W13" i="130"/>
  <c r="X13" i="130" s="1"/>
  <c r="L13" i="130"/>
  <c r="AV12" i="61"/>
  <c r="AS12" i="61"/>
  <c r="AP12" i="61"/>
  <c r="AR12" i="61" s="1"/>
  <c r="AO12" i="61"/>
  <c r="AQ12" i="61" s="1"/>
  <c r="AH12" i="61"/>
  <c r="AI12" i="61" s="1"/>
  <c r="AV11" i="61"/>
  <c r="AS11" i="61"/>
  <c r="AP11" i="61"/>
  <c r="AO11" i="61"/>
  <c r="AK11" i="61"/>
  <c r="AK13" i="61" s="1"/>
  <c r="AH11" i="61"/>
  <c r="AI11" i="61" s="1"/>
  <c r="Q10" i="127" l="1"/>
  <c r="Q15" i="127" s="1"/>
  <c r="P15" i="127"/>
  <c r="AP13" i="61"/>
  <c r="AO13" i="61"/>
  <c r="AS13" i="61"/>
  <c r="AV13" i="61"/>
  <c r="AQ11" i="61"/>
  <c r="AQ13" i="61" s="1"/>
  <c r="AR11" i="61"/>
  <c r="AR13" i="61" s="1"/>
  <c r="BK10" i="61"/>
  <c r="Y47" i="98"/>
  <c r="AB11" i="61"/>
  <c r="AA12" i="130"/>
  <c r="AL12" i="61"/>
  <c r="AT12" i="61" s="1"/>
  <c r="BC12" i="61" s="1"/>
  <c r="O10" i="127" l="1"/>
  <c r="R10" i="127" s="1"/>
  <c r="R15" i="127" s="1"/>
  <c r="C12" i="119"/>
  <c r="E12" i="119" s="1"/>
  <c r="BL10" i="61"/>
  <c r="AF12" i="130"/>
  <c r="AD11" i="61"/>
  <c r="AB12" i="61"/>
  <c r="AC12" i="61" s="1"/>
  <c r="AM12" i="61"/>
  <c r="AM11" i="61"/>
  <c r="AL11" i="61"/>
  <c r="AL13" i="61" s="1"/>
  <c r="X10" i="127" l="1"/>
  <c r="S10" i="127"/>
  <c r="O15" i="127"/>
  <c r="AM13" i="61"/>
  <c r="AT11" i="61"/>
  <c r="AT13" i="61" s="1"/>
  <c r="AC11" i="61"/>
  <c r="AD13" i="61"/>
  <c r="AB13" i="61"/>
  <c r="BM10" i="61"/>
  <c r="BQ10" i="61"/>
  <c r="BY10" i="61"/>
  <c r="AU12" i="61"/>
  <c r="AB10" i="127" l="1"/>
  <c r="Z10" i="127"/>
  <c r="AE13" i="61"/>
  <c r="AC13" i="61"/>
  <c r="BZ10" i="61"/>
  <c r="BA12" i="61"/>
  <c r="AY12" i="61"/>
  <c r="BC11" i="61"/>
  <c r="BC13" i="61" s="1"/>
  <c r="BE12" i="61" l="1"/>
  <c r="BF12" i="61" s="1"/>
  <c r="BG12" i="61" s="1"/>
  <c r="AU11" i="61"/>
  <c r="AU13" i="61" s="1"/>
  <c r="BD12" i="61" l="1"/>
  <c r="BA11" i="61"/>
  <c r="BA13" i="61" s="1"/>
  <c r="AY11" i="61"/>
  <c r="BH12" i="61" l="1"/>
  <c r="BI12" i="61" s="1"/>
  <c r="BK12" i="61" s="1"/>
  <c r="BL12" i="61" s="1"/>
  <c r="BQ12" i="61" s="1"/>
  <c r="BX13" i="61"/>
  <c r="BE11" i="61"/>
  <c r="BE13" i="61" s="1"/>
  <c r="AY13" i="61"/>
  <c r="BD11" i="61" l="1"/>
  <c r="BD13" i="61" s="1"/>
  <c r="BM12" i="61"/>
  <c r="AZ12" i="61"/>
  <c r="BF11" i="61"/>
  <c r="BF13" i="61" s="1"/>
  <c r="B10" i="67"/>
  <c r="BG11" i="61" l="1"/>
  <c r="BG13" i="61" s="1"/>
  <c r="BH11" i="61" l="1"/>
  <c r="BH13" i="61" s="1"/>
  <c r="AZ11" i="61" l="1"/>
  <c r="AZ13" i="61" s="1"/>
  <c r="BI11" i="61"/>
  <c r="BI13" i="61" s="1"/>
  <c r="Z9" i="163"/>
  <c r="AA9" i="163" s="1"/>
  <c r="M13" i="130"/>
  <c r="F15" i="127"/>
  <c r="BX7" i="61"/>
  <c r="BW7" i="61"/>
  <c r="AE15" i="127"/>
  <c r="AD15" i="127"/>
  <c r="AE7" i="127"/>
  <c r="AD7" i="127"/>
  <c r="A5" i="57"/>
  <c r="H14" i="57" s="1"/>
  <c r="BK11" i="61" l="1"/>
  <c r="BK13" i="61" s="1"/>
  <c r="M15" i="128"/>
  <c r="P9" i="163"/>
  <c r="AI9" i="163"/>
  <c r="BL11" i="61" l="1"/>
  <c r="BL13" i="61" s="1"/>
  <c r="Z10" i="153"/>
  <c r="AA10" i="153" s="1"/>
  <c r="BM11" i="61" l="1"/>
  <c r="BM13" i="61" s="1"/>
  <c r="BQ11" i="61"/>
  <c r="BQ13" i="61" s="1"/>
  <c r="Z11" i="153"/>
  <c r="AA11" i="153" s="1"/>
  <c r="P11" i="153"/>
  <c r="P10" i="153"/>
  <c r="Q9" i="163"/>
  <c r="Z9" i="149"/>
  <c r="P9" i="149"/>
  <c r="AB9" i="149" l="1"/>
  <c r="AC9" i="163"/>
  <c r="AB9" i="163"/>
  <c r="Q6" i="170" l="1"/>
  <c r="A2" i="163" l="1"/>
  <c r="U18" i="163"/>
  <c r="CA10" i="163"/>
  <c r="BU10" i="163"/>
  <c r="BT10" i="163"/>
  <c r="BS10" i="163"/>
  <c r="BR10" i="163"/>
  <c r="BQ10" i="163"/>
  <c r="BO10" i="163"/>
  <c r="BL10" i="163"/>
  <c r="BK10" i="163"/>
  <c r="BC10" i="163"/>
  <c r="AH10" i="163"/>
  <c r="AE10" i="163"/>
  <c r="AA10" i="163"/>
  <c r="Z10" i="163"/>
  <c r="Y10" i="163"/>
  <c r="X10" i="163"/>
  <c r="W10" i="163"/>
  <c r="V10" i="163"/>
  <c r="U10" i="163"/>
  <c r="T10" i="163"/>
  <c r="S10" i="163"/>
  <c r="R10" i="163"/>
  <c r="Q10" i="163"/>
  <c r="P10" i="163"/>
  <c r="O10" i="163"/>
  <c r="N10" i="163"/>
  <c r="M10" i="163"/>
  <c r="L10" i="163"/>
  <c r="K10" i="163"/>
  <c r="J10" i="163"/>
  <c r="I10" i="163"/>
  <c r="H10" i="163"/>
  <c r="D10" i="163"/>
  <c r="BW9" i="163"/>
  <c r="BN9" i="163"/>
  <c r="BP9" i="163" s="1"/>
  <c r="BB9" i="163"/>
  <c r="BB10" i="163" s="1"/>
  <c r="AZ9" i="163"/>
  <c r="BA9" i="163" s="1"/>
  <c r="AW9" i="163"/>
  <c r="AR9" i="163"/>
  <c r="AR10" i="163" s="1"/>
  <c r="AO9" i="163"/>
  <c r="AQ9" i="163" s="1"/>
  <c r="AQ10" i="163" s="1"/>
  <c r="AN9" i="163"/>
  <c r="AN10" i="163" s="1"/>
  <c r="AL9" i="163"/>
  <c r="AL10" i="163" s="1"/>
  <c r="AK9" i="163"/>
  <c r="AF9" i="163"/>
  <c r="AG9" i="163" s="1"/>
  <c r="AJ9" i="163"/>
  <c r="AI10" i="163"/>
  <c r="A4" i="163"/>
  <c r="I12" i="153"/>
  <c r="J12" i="153"/>
  <c r="K12" i="153"/>
  <c r="L12" i="153"/>
  <c r="M12" i="153"/>
  <c r="N12" i="153"/>
  <c r="O12" i="153"/>
  <c r="P12" i="153"/>
  <c r="Q12" i="153"/>
  <c r="R12" i="153"/>
  <c r="S12" i="153"/>
  <c r="T12" i="153"/>
  <c r="U12" i="153"/>
  <c r="V12" i="153"/>
  <c r="W12" i="153"/>
  <c r="X12" i="153"/>
  <c r="Y12" i="153"/>
  <c r="Z12" i="153"/>
  <c r="AA12" i="153"/>
  <c r="AF12" i="153"/>
  <c r="AI12" i="153"/>
  <c r="BD12" i="153"/>
  <c r="BL12" i="153"/>
  <c r="BM12" i="153"/>
  <c r="BP12" i="153"/>
  <c r="BR12" i="153"/>
  <c r="BS12" i="153"/>
  <c r="BT12" i="153"/>
  <c r="BU12" i="153"/>
  <c r="BV12" i="153"/>
  <c r="H12" i="153"/>
  <c r="W10" i="149"/>
  <c r="BR13" i="61"/>
  <c r="AZ10" i="163" l="1"/>
  <c r="BN10" i="163"/>
  <c r="AB10" i="163"/>
  <c r="AM9" i="163"/>
  <c r="AM10" i="163" s="1"/>
  <c r="AY9" i="163"/>
  <c r="AY10" i="163" s="1"/>
  <c r="AF10" i="163"/>
  <c r="AP9" i="163"/>
  <c r="AP10" i="163" s="1"/>
  <c r="AG10" i="163"/>
  <c r="AC10" i="163"/>
  <c r="AO10" i="163"/>
  <c r="BA10" i="163"/>
  <c r="AJ10" i="163"/>
  <c r="BP10" i="163"/>
  <c r="AK10" i="163"/>
  <c r="AW10" i="163"/>
  <c r="AU9" i="163"/>
  <c r="AU10" i="163" s="1"/>
  <c r="AD9" i="163"/>
  <c r="AV9" i="163" s="1"/>
  <c r="AX9" i="163" s="1"/>
  <c r="BI9" i="163" s="1"/>
  <c r="Z12" i="161"/>
  <c r="C27" i="161"/>
  <c r="L16" i="161"/>
  <c r="K16" i="161"/>
  <c r="K15" i="161"/>
  <c r="AD12" i="161"/>
  <c r="W12" i="161"/>
  <c r="V12" i="161"/>
  <c r="O12" i="161"/>
  <c r="I12" i="161"/>
  <c r="G12" i="161"/>
  <c r="N11" i="161"/>
  <c r="M11" i="161" s="1"/>
  <c r="J11" i="161"/>
  <c r="K11" i="161" s="1"/>
  <c r="N10" i="149"/>
  <c r="M10" i="149"/>
  <c r="L10" i="149"/>
  <c r="J10" i="149"/>
  <c r="I10" i="149"/>
  <c r="H10" i="149"/>
  <c r="G10" i="149"/>
  <c r="J12" i="161" l="1"/>
  <c r="AV10" i="163"/>
  <c r="AS9" i="163"/>
  <c r="AS10" i="163" s="1"/>
  <c r="AT9" i="163"/>
  <c r="AT10" i="163" s="1"/>
  <c r="BZ9" i="163"/>
  <c r="BZ10" i="163" s="1"/>
  <c r="BD9" i="163"/>
  <c r="BH9" i="163" s="1"/>
  <c r="BG9" i="163" s="1"/>
  <c r="BM9" i="163"/>
  <c r="AD10" i="163"/>
  <c r="AX10" i="163"/>
  <c r="M12" i="161"/>
  <c r="R12" i="161"/>
  <c r="N12" i="161"/>
  <c r="AH11" i="161" l="1"/>
  <c r="P11" i="161"/>
  <c r="AG11" i="161"/>
  <c r="Q12" i="161"/>
  <c r="BF9" i="163"/>
  <c r="BE9" i="163" s="1"/>
  <c r="BJ9" i="163"/>
  <c r="BI10" i="163"/>
  <c r="CB9" i="163"/>
  <c r="CB10" i="163" s="1"/>
  <c r="BV9" i="163"/>
  <c r="BY9" i="163"/>
  <c r="BY10" i="163" s="1"/>
  <c r="S11" i="161" l="1"/>
  <c r="T11" i="161"/>
  <c r="U11" i="161" s="1"/>
  <c r="BJ10" i="163"/>
  <c r="BM10" i="163"/>
  <c r="BD10" i="163"/>
  <c r="CC9" i="163"/>
  <c r="CC10" i="163" s="1"/>
  <c r="U20" i="153"/>
  <c r="BH10" i="163" l="1"/>
  <c r="BG10" i="163"/>
  <c r="BV10" i="163"/>
  <c r="AE12" i="161"/>
  <c r="AE11" i="161"/>
  <c r="AF11" i="161"/>
  <c r="BE10" i="163" l="1"/>
  <c r="BF10" i="163"/>
  <c r="X11" i="161"/>
  <c r="Y11" i="161" l="1"/>
  <c r="BX10" i="153"/>
  <c r="BO10" i="153"/>
  <c r="BC10" i="153"/>
  <c r="BA10" i="153"/>
  <c r="AX10" i="153"/>
  <c r="AS10" i="153"/>
  <c r="AP10" i="153"/>
  <c r="AO10" i="153"/>
  <c r="AM10" i="153"/>
  <c r="AL10" i="153"/>
  <c r="AJ10" i="153"/>
  <c r="AG10" i="153"/>
  <c r="AC10" i="153"/>
  <c r="AB10" i="153"/>
  <c r="AB11" i="161" l="1"/>
  <c r="AH10" i="153"/>
  <c r="BB10" i="153"/>
  <c r="AR10" i="153"/>
  <c r="BQ10" i="153"/>
  <c r="AK10" i="153"/>
  <c r="AD10" i="153"/>
  <c r="AQ10" i="153"/>
  <c r="AZ10" i="153"/>
  <c r="AN10" i="153"/>
  <c r="AE10" i="153"/>
  <c r="AV10" i="153"/>
  <c r="AT10" i="153" l="1"/>
  <c r="AW10" i="153"/>
  <c r="AU10" i="153"/>
  <c r="AI11" i="161"/>
  <c r="AG13" i="130"/>
  <c r="AG12" i="130"/>
  <c r="AY10" i="153" l="1"/>
  <c r="AJ11" i="161"/>
  <c r="BJ10" i="153" l="1"/>
  <c r="CB12" i="153"/>
  <c r="D12" i="153"/>
  <c r="BX11" i="153"/>
  <c r="BO11" i="153"/>
  <c r="BC11" i="153"/>
  <c r="BC12" i="153" s="1"/>
  <c r="BA11" i="153"/>
  <c r="BA12" i="153" s="1"/>
  <c r="AX11" i="153"/>
  <c r="AX12" i="153" s="1"/>
  <c r="AS11" i="153"/>
  <c r="AS12" i="153" s="1"/>
  <c r="AP11" i="153"/>
  <c r="AO11" i="153"/>
  <c r="AO12" i="153" s="1"/>
  <c r="AM11" i="153"/>
  <c r="AM12" i="153" s="1"/>
  <c r="AL11" i="153"/>
  <c r="AL12" i="153" s="1"/>
  <c r="AJ11" i="153"/>
  <c r="AJ12" i="153" s="1"/>
  <c r="AG11" i="153"/>
  <c r="AG12" i="153" s="1"/>
  <c r="AC11" i="153"/>
  <c r="AC12" i="153" s="1"/>
  <c r="AB11" i="153"/>
  <c r="AB12" i="153" s="1"/>
  <c r="A4" i="153"/>
  <c r="A4" i="149"/>
  <c r="BZ10" i="149"/>
  <c r="AE10" i="149"/>
  <c r="AH10" i="149"/>
  <c r="BC10" i="149"/>
  <c r="BK10" i="149"/>
  <c r="BL10" i="149"/>
  <c r="BO10" i="149"/>
  <c r="BQ10" i="149"/>
  <c r="BR10" i="149"/>
  <c r="BS10" i="149"/>
  <c r="BT10" i="149"/>
  <c r="X10" i="149"/>
  <c r="V10" i="149"/>
  <c r="U10" i="149"/>
  <c r="S10" i="149"/>
  <c r="R10" i="149"/>
  <c r="Q10" i="149"/>
  <c r="AK9" i="149"/>
  <c r="BV9" i="149"/>
  <c r="BN9" i="149"/>
  <c r="BB9" i="149"/>
  <c r="AZ9" i="149"/>
  <c r="AW9" i="149"/>
  <c r="AR9" i="149"/>
  <c r="AO9" i="149"/>
  <c r="AQ9" i="149" s="1"/>
  <c r="AN9" i="149"/>
  <c r="AF9" i="149"/>
  <c r="AG9" i="149" s="1"/>
  <c r="BQ11" i="153" l="1"/>
  <c r="BQ12" i="153" s="1"/>
  <c r="BO12" i="153"/>
  <c r="AR11" i="153"/>
  <c r="AR12" i="153" s="1"/>
  <c r="AP12" i="153"/>
  <c r="BN10" i="153"/>
  <c r="CA10" i="153"/>
  <c r="BE10" i="153"/>
  <c r="AK11" i="153"/>
  <c r="AK12" i="153" s="1"/>
  <c r="AD11" i="153"/>
  <c r="AN11" i="153"/>
  <c r="AN12" i="153" s="1"/>
  <c r="AE11" i="153"/>
  <c r="AQ11" i="153"/>
  <c r="AQ12" i="153" s="1"/>
  <c r="BB11" i="153"/>
  <c r="BB12" i="153" s="1"/>
  <c r="AZ11" i="153"/>
  <c r="AZ12" i="153" s="1"/>
  <c r="AH11" i="153"/>
  <c r="AH12" i="153" s="1"/>
  <c r="AV11" i="153"/>
  <c r="AV12" i="153" s="1"/>
  <c r="AQ10" i="149"/>
  <c r="Z10" i="149"/>
  <c r="Y10" i="149"/>
  <c r="AN10" i="149"/>
  <c r="AI10" i="149"/>
  <c r="AG10" i="149"/>
  <c r="BB10" i="149"/>
  <c r="AR10" i="149"/>
  <c r="AW10" i="149"/>
  <c r="AO10" i="149"/>
  <c r="BN10" i="149"/>
  <c r="AZ10" i="149"/>
  <c r="AF10" i="149"/>
  <c r="AP9" i="149"/>
  <c r="BA9" i="149"/>
  <c r="BA10" i="149" s="1"/>
  <c r="BP9" i="149"/>
  <c r="BP10" i="149" s="1"/>
  <c r="O10" i="149"/>
  <c r="AY9" i="149"/>
  <c r="AI13" i="130"/>
  <c r="AD12" i="153" l="1"/>
  <c r="AE12" i="153"/>
  <c r="CC10" i="153"/>
  <c r="BW10" i="153"/>
  <c r="BI10" i="153"/>
  <c r="P10" i="149"/>
  <c r="AK10" i="149"/>
  <c r="AT11" i="153"/>
  <c r="AT12" i="153" s="1"/>
  <c r="AU11" i="153"/>
  <c r="AU12" i="153" s="1"/>
  <c r="AW11" i="153"/>
  <c r="AW12" i="153" s="1"/>
  <c r="CA12" i="153"/>
  <c r="AP10" i="149"/>
  <c r="AY10" i="149"/>
  <c r="AS9" i="149"/>
  <c r="AL9" i="149"/>
  <c r="AL10" i="149" s="1"/>
  <c r="AA9" i="149"/>
  <c r="AC9" i="149" l="1"/>
  <c r="BH10" i="153"/>
  <c r="BG10" i="153" s="1"/>
  <c r="BK10" i="153"/>
  <c r="BZ10" i="153"/>
  <c r="CD10" i="153"/>
  <c r="BZ12" i="153"/>
  <c r="CC12" i="153"/>
  <c r="AY11" i="153"/>
  <c r="AY12" i="153" s="1"/>
  <c r="AS10" i="149"/>
  <c r="AU9" i="149"/>
  <c r="AU10" i="149" s="1"/>
  <c r="AJ9" i="149"/>
  <c r="AJ10" i="149" s="1"/>
  <c r="AB10" i="149"/>
  <c r="AA10" i="149"/>
  <c r="AM9" i="149"/>
  <c r="BF10" i="153" l="1"/>
  <c r="AM10" i="149"/>
  <c r="AD10" i="149"/>
  <c r="BJ11" i="153"/>
  <c r="BJ12" i="153" s="1"/>
  <c r="CD12" i="153"/>
  <c r="AV9" i="149"/>
  <c r="AV10" i="149" s="1"/>
  <c r="AT9" i="149"/>
  <c r="AT10" i="149" s="1"/>
  <c r="CA11" i="153" l="1"/>
  <c r="BE11" i="153"/>
  <c r="BE12" i="153" s="1"/>
  <c r="BN11" i="153"/>
  <c r="BN12" i="153" s="1"/>
  <c r="AX9" i="149"/>
  <c r="AX10" i="149" s="1"/>
  <c r="V15" i="128"/>
  <c r="K15" i="128" l="1"/>
  <c r="L15" i="128"/>
  <c r="BI11" i="153"/>
  <c r="BI12" i="153" s="1"/>
  <c r="CC11" i="153"/>
  <c r="BW11" i="153"/>
  <c r="BW12" i="153" s="1"/>
  <c r="BI9" i="149"/>
  <c r="O15" i="128" l="1"/>
  <c r="BH11" i="153"/>
  <c r="BH12" i="153" s="1"/>
  <c r="BZ11" i="153"/>
  <c r="BK11" i="153"/>
  <c r="BK12" i="153" s="1"/>
  <c r="CD11" i="153"/>
  <c r="BI10" i="149"/>
  <c r="BY9" i="149"/>
  <c r="BY10" i="149" s="1"/>
  <c r="BD9" i="149"/>
  <c r="BD10" i="149" s="1"/>
  <c r="P15" i="128" l="1"/>
  <c r="BG11" i="153"/>
  <c r="BG12" i="153" s="1"/>
  <c r="BH9" i="149"/>
  <c r="BF11" i="153" l="1"/>
  <c r="BF12" i="153" s="1"/>
  <c r="BH10" i="149"/>
  <c r="BX9" i="149"/>
  <c r="BX10" i="149" s="1"/>
  <c r="BG9" i="149"/>
  <c r="BG10" i="149" s="1"/>
  <c r="BJ9" i="149"/>
  <c r="BJ10" i="149" s="1"/>
  <c r="X15" i="128" l="1"/>
  <c r="N15" i="128"/>
  <c r="R15" i="128"/>
  <c r="BF9" i="149"/>
  <c r="BF10" i="149" s="1"/>
  <c r="AB15" i="128" l="1"/>
  <c r="BE9" i="149"/>
  <c r="BE10" i="149" s="1"/>
  <c r="BM9" i="149"/>
  <c r="BM10" i="149" l="1"/>
  <c r="CA9" i="149"/>
  <c r="CA10" i="149" s="1"/>
  <c r="BU9" i="149"/>
  <c r="BU10" i="149" l="1"/>
  <c r="CB9" i="149"/>
  <c r="CB10" i="149" s="1"/>
  <c r="AH13" i="130" l="1"/>
  <c r="BB13" i="130"/>
  <c r="AZ14" i="130"/>
  <c r="AY14" i="130"/>
  <c r="AU14" i="130"/>
  <c r="AT14" i="130"/>
  <c r="AN14" i="130"/>
  <c r="AE14" i="130"/>
  <c r="AD14" i="130"/>
  <c r="AC14" i="130"/>
  <c r="Y14" i="130"/>
  <c r="X14" i="130"/>
  <c r="T14" i="130"/>
  <c r="S14" i="130"/>
  <c r="R14" i="130"/>
  <c r="Q14" i="130"/>
  <c r="P14" i="130"/>
  <c r="O14" i="130"/>
  <c r="N14" i="130"/>
  <c r="M14" i="130"/>
  <c r="K14" i="130"/>
  <c r="J14" i="130"/>
  <c r="H14" i="130"/>
  <c r="G14" i="130"/>
  <c r="F14" i="130"/>
  <c r="E14" i="130"/>
  <c r="AH12" i="130"/>
  <c r="AH14" i="130" l="1"/>
  <c r="AJ12" i="130"/>
  <c r="AA13" i="130"/>
  <c r="AF13" i="130"/>
  <c r="AI14" i="130"/>
  <c r="W14" i="130"/>
  <c r="AG14" i="130"/>
  <c r="Z14" i="130"/>
  <c r="L14" i="130"/>
  <c r="AG17" i="101"/>
  <c r="E22" i="119" l="1"/>
  <c r="AM12" i="130"/>
  <c r="AJ13" i="130"/>
  <c r="AM13" i="130" s="1"/>
  <c r="AR13" i="130" s="1"/>
  <c r="AK13" i="130"/>
  <c r="AA14" i="130"/>
  <c r="BA12" i="130"/>
  <c r="BB12" i="130" s="1"/>
  <c r="AV12" i="130"/>
  <c r="AF14" i="130"/>
  <c r="AM14" i="130" l="1"/>
  <c r="AL13" i="130"/>
  <c r="AL14" i="130" s="1"/>
  <c r="AK14" i="130"/>
  <c r="AJ14" i="130"/>
  <c r="AX13" i="130"/>
  <c r="AB14" i="130"/>
  <c r="AO14" i="130"/>
  <c r="AV13" i="130"/>
  <c r="AV14" i="130" s="1"/>
  <c r="E23" i="119" l="1"/>
  <c r="BC13" i="130"/>
  <c r="AU13" i="130"/>
  <c r="AR12" i="130"/>
  <c r="AR14" i="130" s="1"/>
  <c r="AX12" i="130"/>
  <c r="AU12" i="130"/>
  <c r="BA14" i="130"/>
  <c r="BB14" i="130"/>
  <c r="BC12" i="130" l="1"/>
  <c r="BC14" i="130" s="1"/>
  <c r="AW14" i="130" l="1"/>
  <c r="AX14" i="130"/>
  <c r="AE17" i="101" l="1"/>
  <c r="H32" i="65" l="1"/>
  <c r="W15" i="127" l="1"/>
  <c r="G14" i="127"/>
  <c r="G15" i="127" l="1"/>
  <c r="C25" i="128"/>
  <c r="AD15" i="128"/>
  <c r="M14" i="127" l="1"/>
  <c r="AE15" i="128"/>
  <c r="L14" i="127" l="1"/>
  <c r="K19" i="127" l="1"/>
  <c r="J19" i="127"/>
  <c r="J18" i="127"/>
  <c r="AH17" i="101" l="1"/>
  <c r="BW13" i="61" l="1"/>
  <c r="D8" i="123"/>
  <c r="I19" i="65"/>
  <c r="X19" i="65"/>
  <c r="J19" i="65" l="1"/>
  <c r="AA19" i="65" s="1"/>
  <c r="AB19" i="65" s="1"/>
  <c r="O15" i="57"/>
  <c r="S15" i="57"/>
  <c r="L19" i="65" l="1"/>
  <c r="C7" i="119" l="1"/>
  <c r="E7" i="119" s="1"/>
  <c r="Y19" i="65"/>
  <c r="O19" i="65"/>
  <c r="P19" i="65"/>
  <c r="C21" i="123"/>
  <c r="X9" i="123"/>
  <c r="W9" i="123"/>
  <c r="V9" i="123"/>
  <c r="S9" i="123"/>
  <c r="O9" i="123"/>
  <c r="L9" i="123"/>
  <c r="G9" i="123"/>
  <c r="A4" i="123"/>
  <c r="A3" i="123"/>
  <c r="Q19" i="65" l="1"/>
  <c r="S19" i="65" s="1"/>
  <c r="Z19" i="65"/>
  <c r="AC19" i="65" s="1"/>
  <c r="H8" i="123"/>
  <c r="J8" i="123" s="1"/>
  <c r="K8" i="123" s="1"/>
  <c r="T19" i="65" l="1"/>
  <c r="J9" i="123"/>
  <c r="AA8" i="123"/>
  <c r="AA9" i="123" s="1"/>
  <c r="AB8" i="123"/>
  <c r="AB9" i="123" s="1"/>
  <c r="W19" i="65" l="1"/>
  <c r="B18" i="211"/>
  <c r="D18" i="211" s="1"/>
  <c r="G18" i="211" s="1"/>
  <c r="I18" i="211" s="1"/>
  <c r="K9" i="123"/>
  <c r="I8" i="123"/>
  <c r="I9" i="123" l="1"/>
  <c r="N9" i="123" s="1"/>
  <c r="M9" i="123" s="1"/>
  <c r="N8" i="123"/>
  <c r="M8" i="123" s="1"/>
  <c r="P8" i="123" s="1"/>
  <c r="Y8" i="123" s="1"/>
  <c r="AC8" i="123" l="1"/>
  <c r="AC9" i="123" s="1"/>
  <c r="P9" i="123"/>
  <c r="Q9" i="123" l="1"/>
  <c r="AD8" i="123"/>
  <c r="AD9" i="123" s="1"/>
  <c r="R9" i="123"/>
  <c r="AE8" i="123" l="1"/>
  <c r="AE9" i="123" s="1"/>
  <c r="T8" i="123"/>
  <c r="U8" i="123" l="1"/>
  <c r="U9" i="123" s="1"/>
  <c r="T9" i="123"/>
  <c r="Y9" i="123"/>
  <c r="Z17" i="101" l="1"/>
  <c r="D10" i="121"/>
  <c r="A2" i="121"/>
  <c r="AB17" i="101" l="1"/>
  <c r="B15" i="119" l="1"/>
  <c r="X15" i="57" l="1"/>
  <c r="N17" i="101" l="1"/>
  <c r="AA17" i="101" l="1"/>
  <c r="AC17" i="101" l="1"/>
  <c r="Q9" i="97" l="1"/>
  <c r="R9" i="97"/>
  <c r="S9" i="97"/>
  <c r="T9" i="97"/>
  <c r="U9" i="97"/>
  <c r="V9" i="97"/>
  <c r="W9" i="97"/>
  <c r="P9" i="97"/>
  <c r="H9" i="97"/>
  <c r="I9" i="97"/>
  <c r="J9" i="97"/>
  <c r="K9" i="97"/>
  <c r="L9" i="97"/>
  <c r="M9" i="97"/>
  <c r="G9" i="97"/>
  <c r="C15" i="97"/>
  <c r="BQ11" i="97"/>
  <c r="BK11" i="97"/>
  <c r="BH11" i="97"/>
  <c r="BA11" i="97"/>
  <c r="AW11" i="97"/>
  <c r="AV11" i="97"/>
  <c r="AI11" i="97"/>
  <c r="B14" i="97" s="1"/>
  <c r="AE11" i="97"/>
  <c r="AD11" i="97"/>
  <c r="X11" i="97"/>
  <c r="W11" i="97"/>
  <c r="V11" i="97"/>
  <c r="U11" i="97"/>
  <c r="T11" i="97"/>
  <c r="S11" i="97"/>
  <c r="R11" i="97"/>
  <c r="Q11" i="97"/>
  <c r="P11" i="97"/>
  <c r="M11" i="97"/>
  <c r="L11" i="97"/>
  <c r="K11" i="97"/>
  <c r="I11" i="97"/>
  <c r="H11" i="97"/>
  <c r="G11" i="97"/>
  <c r="BM10" i="97"/>
  <c r="AU10" i="97"/>
  <c r="AU11" i="97" s="1"/>
  <c r="AQ10" i="97"/>
  <c r="AQ11" i="97" s="1"/>
  <c r="AN10" i="97"/>
  <c r="AN11" i="97" s="1"/>
  <c r="AM10" i="97"/>
  <c r="AO10" i="97" s="1"/>
  <c r="AO11" i="97" s="1"/>
  <c r="AF10" i="97"/>
  <c r="AF11" i="97" s="1"/>
  <c r="Y10" i="97"/>
  <c r="Z10" i="97" s="1"/>
  <c r="N10" i="97"/>
  <c r="N11" i="97" s="1"/>
  <c r="X7" i="97"/>
  <c r="W7" i="97"/>
  <c r="V7" i="97"/>
  <c r="U7" i="97"/>
  <c r="T7" i="97"/>
  <c r="S7" i="97"/>
  <c r="R7" i="97"/>
  <c r="Q7" i="97"/>
  <c r="P7" i="97"/>
  <c r="M7" i="97"/>
  <c r="L7" i="97"/>
  <c r="K7" i="97"/>
  <c r="J7" i="97"/>
  <c r="I7" i="97"/>
  <c r="H7" i="97"/>
  <c r="G7" i="97"/>
  <c r="BG21" i="97"/>
  <c r="AM11" i="97" l="1"/>
  <c r="AK10" i="97"/>
  <c r="AK11" i="97" s="1"/>
  <c r="Z11" i="97"/>
  <c r="AG10" i="97"/>
  <c r="AG11" i="97" s="1"/>
  <c r="AP10" i="97"/>
  <c r="AP11" i="97" s="1"/>
  <c r="O10" i="97"/>
  <c r="AA10" i="97" s="1"/>
  <c r="AA11" i="97" s="1"/>
  <c r="Y11" i="97"/>
  <c r="AB10" i="97" l="1"/>
  <c r="AC10" i="97" s="1"/>
  <c r="O11" i="97"/>
  <c r="AJ10" i="97"/>
  <c r="AB11" i="97" l="1"/>
  <c r="AJ11" i="97"/>
  <c r="AS10" i="97"/>
  <c r="AS11" i="97" s="1"/>
  <c r="L14" i="97" s="1"/>
  <c r="AL10" i="97"/>
  <c r="AR10" i="97" s="1"/>
  <c r="BF10" i="97" l="1"/>
  <c r="BI10" i="97" s="1"/>
  <c r="AC11" i="97"/>
  <c r="AT10" i="97"/>
  <c r="AZ10" i="97" s="1"/>
  <c r="AL11" i="97"/>
  <c r="G14" i="97" s="1"/>
  <c r="AX10" i="97" l="1"/>
  <c r="BC10" i="97" s="1"/>
  <c r="AT11" i="97"/>
  <c r="AZ11" i="97"/>
  <c r="AR11" i="97"/>
  <c r="I14" i="97" s="1"/>
  <c r="BI11" i="97"/>
  <c r="AX11" i="97" l="1"/>
  <c r="BB10" i="97"/>
  <c r="BB11" i="97" l="1"/>
  <c r="BC11" i="97"/>
  <c r="T14" i="97" s="1"/>
  <c r="BD11" i="97" l="1"/>
  <c r="AC14" i="97" s="1"/>
  <c r="BE11" i="97" l="1"/>
  <c r="AI14" i="97" s="1"/>
  <c r="BO10" i="97" l="1"/>
  <c r="BF11" i="97"/>
  <c r="AS14" i="97" s="1"/>
  <c r="BP10" i="97"/>
  <c r="BP11" i="97" s="1"/>
  <c r="BJ10" i="97"/>
  <c r="BG10" i="97"/>
  <c r="BG11" i="97" s="1"/>
  <c r="AY10" i="97"/>
  <c r="AY11" i="97" s="1"/>
  <c r="BJ11" i="97" l="1"/>
  <c r="BR10" i="97"/>
  <c r="BR11" i="97" s="1"/>
  <c r="BL10" i="97"/>
  <c r="BL11" i="97" l="1"/>
  <c r="G15" i="97" s="1"/>
  <c r="BS10" i="97"/>
  <c r="BS11" i="97" s="1"/>
  <c r="BV13" i="61" l="1"/>
  <c r="D6" i="67" l="1"/>
  <c r="X30" i="65"/>
  <c r="C24" i="57" l="1"/>
  <c r="A4" i="57" l="1"/>
  <c r="A4" i="184" l="1"/>
  <c r="AB13" i="57"/>
  <c r="AA13" i="57"/>
  <c r="A4" i="179"/>
  <c r="A4" i="178"/>
  <c r="A4" i="175"/>
  <c r="A4" i="173"/>
  <c r="A4" i="174"/>
  <c r="A4" i="172"/>
  <c r="A4" i="161"/>
  <c r="BR12" i="61"/>
  <c r="AE13" i="57" l="1"/>
  <c r="AF13" i="57" s="1"/>
  <c r="AK15" i="102"/>
  <c r="AS15" i="102"/>
  <c r="AC13" i="57" l="1"/>
  <c r="N13" i="57"/>
  <c r="M13" i="57" s="1"/>
  <c r="I18" i="65"/>
  <c r="I22" i="65" s="1"/>
  <c r="X18" i="65"/>
  <c r="Y17" i="114"/>
  <c r="M17" i="114"/>
  <c r="C10" i="119" l="1"/>
  <c r="E10" i="119" s="1"/>
  <c r="AD13" i="57"/>
  <c r="AG13" i="57" s="1"/>
  <c r="T13" i="57"/>
  <c r="Y13" i="57" s="1"/>
  <c r="J18" i="65"/>
  <c r="J22" i="65" s="1"/>
  <c r="C11" i="119"/>
  <c r="E11" i="119" s="1"/>
  <c r="U13" i="57" l="1"/>
  <c r="AA18" i="65"/>
  <c r="AA22" i="65" s="1"/>
  <c r="L18" i="65"/>
  <c r="L22" i="65" l="1"/>
  <c r="O18" i="65"/>
  <c r="O22" i="65" s="1"/>
  <c r="AB18" i="65"/>
  <c r="AB22" i="65" s="1"/>
  <c r="P18" i="65"/>
  <c r="P22" i="65" s="1"/>
  <c r="Y18" i="65"/>
  <c r="Y22" i="65" s="1"/>
  <c r="C6" i="119"/>
  <c r="E6" i="119" s="1"/>
  <c r="AC15" i="102"/>
  <c r="R15" i="102"/>
  <c r="Z18" i="65" l="1"/>
  <c r="Z22" i="65" s="1"/>
  <c r="Q18" i="65"/>
  <c r="Q22" i="65" s="1"/>
  <c r="AC18" i="65" l="1"/>
  <c r="AC22" i="65" s="1"/>
  <c r="S18" i="65"/>
  <c r="S22" i="65" s="1"/>
  <c r="T18" i="65"/>
  <c r="BU12" i="61"/>
  <c r="H12" i="57"/>
  <c r="J12" i="57" s="1"/>
  <c r="J14" i="57"/>
  <c r="BT12" i="61"/>
  <c r="H10" i="57"/>
  <c r="H11" i="57"/>
  <c r="H9" i="57"/>
  <c r="J9" i="57" s="1"/>
  <c r="K12" i="102"/>
  <c r="T22" i="65" l="1"/>
  <c r="B17" i="211"/>
  <c r="D17" i="211" s="1"/>
  <c r="G17" i="211" s="1"/>
  <c r="I17" i="211" s="1"/>
  <c r="W18" i="65"/>
  <c r="W22" i="65" s="1"/>
  <c r="AA14" i="57"/>
  <c r="K14" i="57"/>
  <c r="AB14" i="57"/>
  <c r="AB12" i="57"/>
  <c r="K12" i="57"/>
  <c r="AA12" i="57"/>
  <c r="BY12" i="61" l="1"/>
  <c r="P14" i="57"/>
  <c r="AE14" i="57"/>
  <c r="AF14" i="57" s="1"/>
  <c r="P12" i="57"/>
  <c r="AE12" i="57"/>
  <c r="AF12" i="57" s="1"/>
  <c r="C20" i="119" l="1"/>
  <c r="E20" i="119" s="1"/>
  <c r="R14" i="57"/>
  <c r="C18" i="119"/>
  <c r="E18" i="119" s="1"/>
  <c r="Q12" i="57"/>
  <c r="R12" i="57" s="1"/>
  <c r="T12" i="57" s="1"/>
  <c r="Q14" i="57"/>
  <c r="BZ12" i="61"/>
  <c r="I14" i="57"/>
  <c r="N14" i="57" s="1"/>
  <c r="M14" i="57" s="1"/>
  <c r="I12" i="57"/>
  <c r="N12" i="57" s="1"/>
  <c r="M12" i="57" s="1"/>
  <c r="AC12" i="57"/>
  <c r="AC14" i="57"/>
  <c r="T14" i="57" l="1"/>
  <c r="Y14" i="57" s="1"/>
  <c r="AD12" i="57"/>
  <c r="AG12" i="57" s="1"/>
  <c r="AD14" i="57"/>
  <c r="AG14" i="57" s="1"/>
  <c r="U12" i="57"/>
  <c r="Y12" i="57" s="1"/>
  <c r="U14" i="57" l="1"/>
  <c r="BL17" i="114"/>
  <c r="AS17" i="114"/>
  <c r="AP17" i="114"/>
  <c r="AM17" i="114"/>
  <c r="AO17" i="114" s="1"/>
  <c r="AL17" i="114"/>
  <c r="AH17" i="114"/>
  <c r="AG17" i="114"/>
  <c r="N17" i="114"/>
  <c r="X17" i="114" s="1"/>
  <c r="V16" i="114"/>
  <c r="U16" i="114"/>
  <c r="T16" i="114"/>
  <c r="S16" i="114"/>
  <c r="R16" i="114"/>
  <c r="Q16" i="114"/>
  <c r="O16" i="114"/>
  <c r="L16" i="114"/>
  <c r="K16" i="114"/>
  <c r="J16" i="114"/>
  <c r="I16" i="114"/>
  <c r="H16" i="114"/>
  <c r="F16" i="114"/>
  <c r="A8" i="114"/>
  <c r="AN17" i="114" l="1"/>
  <c r="AB17" i="114"/>
  <c r="Z17" i="114"/>
  <c r="AA17" i="114" l="1"/>
  <c r="AD17" i="114" s="1"/>
  <c r="AJ17" i="114"/>
  <c r="AQ17" i="114" l="1"/>
  <c r="AK17" i="114"/>
  <c r="AZ17" i="114" s="1"/>
  <c r="AC17" i="114"/>
  <c r="AR17" i="114"/>
  <c r="F14" i="114"/>
  <c r="AV17" i="114" l="1"/>
  <c r="AX17" i="114"/>
  <c r="BB17" i="114" l="1"/>
  <c r="BC17" i="114" s="1"/>
  <c r="BD17" i="114" s="1"/>
  <c r="BE17" i="114" s="1"/>
  <c r="AW17" i="114" l="1"/>
  <c r="BF17" i="114"/>
  <c r="BA17" i="114"/>
  <c r="BI17" i="114"/>
  <c r="BK17" i="114" s="1"/>
  <c r="W14" i="114" l="1"/>
  <c r="B7" i="67" l="1"/>
  <c r="A8" i="101" l="1"/>
  <c r="G15" i="57"/>
  <c r="B5" i="130" l="1"/>
  <c r="B5" i="177"/>
  <c r="I16" i="102"/>
  <c r="C6" i="67" s="1"/>
  <c r="B6" i="67" l="1"/>
  <c r="V14" i="102" l="1"/>
  <c r="W14" i="102"/>
  <c r="X14" i="102"/>
  <c r="Y14" i="102"/>
  <c r="Z14" i="102"/>
  <c r="AA14" i="102"/>
  <c r="AB14" i="102"/>
  <c r="T14" i="102"/>
  <c r="M14" i="102"/>
  <c r="N14" i="102"/>
  <c r="O14" i="102"/>
  <c r="P14" i="102"/>
  <c r="Q14" i="102"/>
  <c r="K14" i="102"/>
  <c r="BJ16" i="106" l="1"/>
  <c r="AQ16" i="106"/>
  <c r="AN16" i="106"/>
  <c r="AK16" i="106"/>
  <c r="AM16" i="106" s="1"/>
  <c r="AJ16" i="106"/>
  <c r="AF16" i="106"/>
  <c r="AE16" i="106"/>
  <c r="X16" i="106"/>
  <c r="Y16" i="106" s="1"/>
  <c r="M16" i="106"/>
  <c r="N16" i="106" s="1"/>
  <c r="AL16" i="106" l="1"/>
  <c r="Z16" i="106"/>
  <c r="AH16" i="106"/>
  <c r="AO16" i="106" s="1"/>
  <c r="AA16" i="106"/>
  <c r="AB16" i="106" l="1"/>
  <c r="AP16" i="106" s="1"/>
  <c r="AT16" i="106" s="1"/>
  <c r="AI16" i="106"/>
  <c r="AX16" i="106" s="1"/>
  <c r="AV16" i="106" l="1"/>
  <c r="AZ16" i="106"/>
  <c r="BA16" i="106" s="1"/>
  <c r="BB16" i="106" s="1"/>
  <c r="BC16" i="106" s="1"/>
  <c r="AU16" i="106" l="1"/>
  <c r="AY16" i="106"/>
  <c r="BG16" i="106"/>
  <c r="BI16" i="106" s="1"/>
  <c r="BD16" i="106"/>
  <c r="G18" i="106"/>
  <c r="H18" i="106"/>
  <c r="I18" i="106"/>
  <c r="J18" i="106"/>
  <c r="K18" i="106"/>
  <c r="L18" i="106"/>
  <c r="O18" i="106"/>
  <c r="P18" i="106"/>
  <c r="Q18" i="106"/>
  <c r="R18" i="106"/>
  <c r="S18" i="106"/>
  <c r="T18" i="106"/>
  <c r="U18" i="106"/>
  <c r="V18" i="106"/>
  <c r="W18" i="106"/>
  <c r="AC18" i="106"/>
  <c r="AD18" i="106"/>
  <c r="AG18" i="106"/>
  <c r="AS18" i="106"/>
  <c r="AW18" i="106"/>
  <c r="BE18" i="106"/>
  <c r="BF18" i="106"/>
  <c r="BH18" i="106"/>
  <c r="F18" i="106"/>
  <c r="BJ15" i="106" l="1"/>
  <c r="AQ15" i="106"/>
  <c r="AN15" i="106"/>
  <c r="AK15" i="106"/>
  <c r="AJ15" i="106"/>
  <c r="AF15" i="106"/>
  <c r="AE15" i="106"/>
  <c r="X15" i="106"/>
  <c r="M15" i="106"/>
  <c r="N15" i="106" s="1"/>
  <c r="AM15" i="106" l="1"/>
  <c r="AL15" i="106"/>
  <c r="Y15" i="106"/>
  <c r="AH15" i="106" l="1"/>
  <c r="AI15" i="106" s="1"/>
  <c r="Z15" i="106"/>
  <c r="AA15" i="106"/>
  <c r="AX15" i="106" l="1"/>
  <c r="AB15" i="106"/>
  <c r="AO15" i="106"/>
  <c r="AF17" i="106"/>
  <c r="AF18" i="106" s="1"/>
  <c r="AP15" i="106" l="1"/>
  <c r="AT15" i="106" l="1"/>
  <c r="AV15" i="106"/>
  <c r="AZ15" i="106" l="1"/>
  <c r="BA15" i="106" l="1"/>
  <c r="BB15" i="106" l="1"/>
  <c r="BC15" i="106" l="1"/>
  <c r="AU15" i="106"/>
  <c r="BG15" i="106" l="1"/>
  <c r="AY15" i="106"/>
  <c r="BD15" i="106"/>
  <c r="BI15" i="106" l="1"/>
  <c r="BJ17" i="106" l="1"/>
  <c r="AN17" i="106"/>
  <c r="AN18" i="106" s="1"/>
  <c r="AK17" i="106"/>
  <c r="AJ17" i="106"/>
  <c r="AJ18" i="106" s="1"/>
  <c r="AE17" i="106"/>
  <c r="AE18" i="106" s="1"/>
  <c r="X17" i="106"/>
  <c r="M17" i="106"/>
  <c r="W12" i="106"/>
  <c r="A11" i="106"/>
  <c r="AQ17" i="106" s="1"/>
  <c r="AM17" i="106" l="1"/>
  <c r="AM18" i="106" s="1"/>
  <c r="AK18" i="106"/>
  <c r="Y17" i="106"/>
  <c r="Y18" i="106" s="1"/>
  <c r="X18" i="106"/>
  <c r="AR18" i="106"/>
  <c r="AQ18" i="106"/>
  <c r="N17" i="106"/>
  <c r="N18" i="106" s="1"/>
  <c r="M18" i="106"/>
  <c r="AL17" i="106"/>
  <c r="AL18" i="106" s="1"/>
  <c r="AH17" i="106" l="1"/>
  <c r="AO17" i="106" s="1"/>
  <c r="AO18" i="106" s="1"/>
  <c r="AA17" i="106"/>
  <c r="AA18" i="106" s="1"/>
  <c r="Z17" i="106"/>
  <c r="Z18" i="106" s="1"/>
  <c r="J11" i="57"/>
  <c r="A11" i="102"/>
  <c r="AI17" i="106" l="1"/>
  <c r="AI18" i="106" s="1"/>
  <c r="AH18" i="106"/>
  <c r="K11" i="57"/>
  <c r="AA11" i="57"/>
  <c r="AB11" i="57"/>
  <c r="AB17" i="106"/>
  <c r="AP17" i="106" s="1"/>
  <c r="AT17" i="106" s="1"/>
  <c r="AX17" i="106" l="1"/>
  <c r="AX18" i="106" s="1"/>
  <c r="P11" i="57"/>
  <c r="C17" i="119" s="1"/>
  <c r="E17" i="119" s="1"/>
  <c r="AE11" i="57"/>
  <c r="AF11" i="57" s="1"/>
  <c r="AB18" i="106"/>
  <c r="AZ17" i="106"/>
  <c r="AZ18" i="106" s="1"/>
  <c r="AT18" i="106"/>
  <c r="AV17" i="106"/>
  <c r="AV18" i="106" s="1"/>
  <c r="AP18" i="106"/>
  <c r="Q11" i="57" l="1"/>
  <c r="R11" i="57" s="1"/>
  <c r="T11" i="57" s="1"/>
  <c r="AC11" i="57"/>
  <c r="I11" i="57"/>
  <c r="N11" i="57" s="1"/>
  <c r="M11" i="57" s="1"/>
  <c r="BA17" i="106"/>
  <c r="BB17" i="106" s="1"/>
  <c r="BB18" i="106" s="1"/>
  <c r="AD11" i="57" l="1"/>
  <c r="AG11" i="57" s="1"/>
  <c r="BA18" i="106"/>
  <c r="Y11" i="57"/>
  <c r="AU17" i="106"/>
  <c r="AU18" i="106" s="1"/>
  <c r="U11" i="57"/>
  <c r="BC17" i="106"/>
  <c r="AY17" i="106" s="1"/>
  <c r="AY18" i="106" s="1"/>
  <c r="BD17" i="106" l="1"/>
  <c r="BD18" i="106" s="1"/>
  <c r="BG17" i="106"/>
  <c r="BI17" i="106" s="1"/>
  <c r="BI18" i="106" s="1"/>
  <c r="BC18" i="106"/>
  <c r="BG18" i="106" l="1"/>
  <c r="AA12" i="102" l="1"/>
  <c r="V14" i="114" s="1"/>
  <c r="Z12" i="102"/>
  <c r="U14" i="114" s="1"/>
  <c r="L12" i="102"/>
  <c r="G14" i="114" s="1"/>
  <c r="BR11" i="61" l="1"/>
  <c r="AI13" i="61" l="1"/>
  <c r="AH13" i="61"/>
  <c r="BU11" i="61" l="1"/>
  <c r="BU13" i="61" s="1"/>
  <c r="BT11" i="61"/>
  <c r="M12" i="102"/>
  <c r="H14" i="114" s="1"/>
  <c r="N12" i="102"/>
  <c r="I14" i="114" s="1"/>
  <c r="O12" i="102"/>
  <c r="J14" i="114" s="1"/>
  <c r="P12" i="102"/>
  <c r="K14" i="114" s="1"/>
  <c r="D15" i="102" l="1"/>
  <c r="E15" i="102" s="1"/>
  <c r="F15" i="102" s="1"/>
  <c r="B15" i="102" s="1"/>
  <c r="AV15" i="102" s="1"/>
  <c r="U12" i="102"/>
  <c r="P14" i="114" s="1"/>
  <c r="V12" i="102"/>
  <c r="Q14" i="114" s="1"/>
  <c r="W12" i="102"/>
  <c r="R14" i="114" s="1"/>
  <c r="X12" i="102"/>
  <c r="S14" i="114" s="1"/>
  <c r="Y12" i="102"/>
  <c r="T14" i="114" s="1"/>
  <c r="T12" i="102"/>
  <c r="O14" i="114" s="1"/>
  <c r="Q12" i="102"/>
  <c r="L14" i="114" s="1"/>
  <c r="BQ15" i="102"/>
  <c r="AP15" i="102"/>
  <c r="AR15" i="102" s="1"/>
  <c r="AO15" i="102"/>
  <c r="AJ15" i="102"/>
  <c r="AD15" i="102"/>
  <c r="S15" i="102"/>
  <c r="AF15" i="102" l="1"/>
  <c r="AE15" i="102"/>
  <c r="AQ15" i="102"/>
  <c r="AM15" i="102"/>
  <c r="AT15" i="102" s="1"/>
  <c r="BY11" i="61" l="1"/>
  <c r="BY13" i="61" s="1"/>
  <c r="AN15" i="102"/>
  <c r="BC15" i="102" s="1"/>
  <c r="AG15" i="102"/>
  <c r="AU15" i="102" s="1"/>
  <c r="BA15" i="102" s="1"/>
  <c r="BL17" i="101"/>
  <c r="AS17" i="101"/>
  <c r="AP17" i="101"/>
  <c r="AM17" i="101"/>
  <c r="AO17" i="101" s="1"/>
  <c r="AL17" i="101"/>
  <c r="BZ11" i="61" l="1"/>
  <c r="BZ13" i="61" s="1"/>
  <c r="AY15" i="102"/>
  <c r="BE15" i="102" s="1"/>
  <c r="AN17" i="101"/>
  <c r="BQ15" i="61" l="1"/>
  <c r="AR17" i="101"/>
  <c r="BJ15" i="102"/>
  <c r="BH15" i="102"/>
  <c r="AJ17" i="101"/>
  <c r="AQ17" i="101" s="1"/>
  <c r="AK17" i="101" l="1"/>
  <c r="AZ17" i="101" s="1"/>
  <c r="AX17" i="101"/>
  <c r="AV17" i="101"/>
  <c r="BB17" i="101" l="1"/>
  <c r="BC17" i="101" l="1"/>
  <c r="BD17" i="101" s="1"/>
  <c r="BE17" i="101" s="1"/>
  <c r="BF17" i="101" l="1"/>
  <c r="BA17" i="101"/>
  <c r="BI17" i="101"/>
  <c r="AW17" i="101"/>
  <c r="X27" i="65" l="1"/>
  <c r="A4" i="61" l="1"/>
  <c r="A6" i="102" l="1"/>
  <c r="A3" i="97"/>
  <c r="B4" i="119" s="1"/>
  <c r="BK15" i="61" l="1"/>
  <c r="BS13" i="61"/>
  <c r="J10" i="57" l="1"/>
  <c r="J15" i="57" s="1"/>
  <c r="K10" i="57" l="1"/>
  <c r="AE10" i="57" s="1"/>
  <c r="AF10" i="57" s="1"/>
  <c r="K9" i="57"/>
  <c r="I27" i="65"/>
  <c r="I28" i="65" s="1"/>
  <c r="I30" i="65" s="1"/>
  <c r="K15" i="57" l="1"/>
  <c r="AE9" i="57"/>
  <c r="I9" i="57"/>
  <c r="AE15" i="57" l="1"/>
  <c r="AF9" i="57"/>
  <c r="AF15" i="57" s="1"/>
  <c r="AB10" i="57" l="1"/>
  <c r="AA9" i="57"/>
  <c r="AA10" i="57"/>
  <c r="P10" i="57" l="1"/>
  <c r="C16" i="119" s="1"/>
  <c r="E16" i="119" s="1"/>
  <c r="Q10" i="57" l="1"/>
  <c r="R10" i="57" s="1"/>
  <c r="AC10" i="57"/>
  <c r="I10" i="57"/>
  <c r="I15" i="57" s="1"/>
  <c r="N10" i="57" l="1"/>
  <c r="M10" i="57" s="1"/>
  <c r="AD10" i="57"/>
  <c r="AG10" i="57" s="1"/>
  <c r="T10" i="57"/>
  <c r="Y10" i="57" l="1"/>
  <c r="U10" i="57"/>
  <c r="AB9" i="57" l="1"/>
  <c r="AA15" i="57"/>
  <c r="AB15" i="57" l="1"/>
  <c r="F15" i="61" l="1"/>
  <c r="H15" i="61" l="1"/>
  <c r="J15" i="61" l="1"/>
  <c r="M15" i="61"/>
  <c r="T15" i="61" l="1"/>
  <c r="Q15" i="61"/>
  <c r="AA15" i="61"/>
  <c r="AK15" i="61" l="1"/>
  <c r="BT13" i="61" l="1"/>
  <c r="BD15" i="61" l="1"/>
  <c r="BI15" i="102" l="1"/>
  <c r="AZ15" i="102" l="1"/>
  <c r="N9" i="57" l="1"/>
  <c r="M9" i="57" l="1"/>
  <c r="N15" i="57"/>
  <c r="P9" i="57" l="1"/>
  <c r="P15" i="57" s="1"/>
  <c r="M15" i="57"/>
  <c r="AC9" i="57" l="1"/>
  <c r="AC15" i="57" s="1"/>
  <c r="Q9" i="57"/>
  <c r="C15" i="119"/>
  <c r="E15" i="119" s="1"/>
  <c r="AD9" i="57" l="1"/>
  <c r="AD15" i="57" s="1"/>
  <c r="Q15" i="57"/>
  <c r="R9" i="57"/>
  <c r="R15" i="57" s="1"/>
  <c r="T9" i="57" l="1"/>
  <c r="Y9" i="57" s="1"/>
  <c r="Y15" i="57" s="1"/>
  <c r="AG9" i="57"/>
  <c r="AG15" i="57" s="1"/>
  <c r="T15" i="57" l="1"/>
  <c r="U9" i="57"/>
  <c r="U15" i="57" s="1"/>
  <c r="BN15" i="102" l="1"/>
  <c r="BK15" i="102"/>
  <c r="BG15" i="102" s="1"/>
  <c r="BD15" i="102"/>
  <c r="BP15" i="102" l="1"/>
  <c r="F6" i="67" s="1"/>
  <c r="G16" i="114" l="1"/>
  <c r="L14" i="102"/>
  <c r="P16" i="114"/>
  <c r="U14" i="102" l="1"/>
  <c r="S15" i="127" l="1"/>
  <c r="X15" i="127" l="1"/>
  <c r="Z15" i="127" s="1"/>
  <c r="I7" i="67" s="1"/>
  <c r="AB14" i="127"/>
  <c r="AB15" i="127" s="1"/>
  <c r="F7" i="67" l="1"/>
  <c r="F22" i="67" s="1"/>
  <c r="AH12" i="161"/>
  <c r="AG12" i="161"/>
  <c r="K12" i="161"/>
  <c r="G7" i="67" l="1"/>
  <c r="T12" i="161"/>
  <c r="S12" i="161"/>
  <c r="AF12" i="161"/>
  <c r="P12" i="161"/>
  <c r="K7" i="67" l="1"/>
  <c r="U12" i="161"/>
  <c r="X12" i="161"/>
  <c r="Y12" i="161" l="1"/>
  <c r="AB12" i="161" l="1"/>
  <c r="AI12" i="161"/>
  <c r="AJ12" i="161" l="1"/>
  <c r="D25" i="119" l="1"/>
  <c r="Q13" i="180"/>
  <c r="R9" i="180"/>
  <c r="R13" i="180" l="1"/>
  <c r="P9" i="180"/>
  <c r="C25" i="119" l="1"/>
  <c r="E25" i="119" s="1"/>
  <c r="T9" i="180"/>
  <c r="P13" i="180"/>
  <c r="S9" i="180"/>
  <c r="S13" i="180" l="1"/>
  <c r="AF9" i="180"/>
  <c r="AF13" i="180" s="1"/>
  <c r="AE9" i="180"/>
  <c r="U9" i="180"/>
  <c r="T13" i="180"/>
  <c r="X9" i="180" l="1"/>
  <c r="U13" i="180"/>
  <c r="Y9" i="180" l="1"/>
  <c r="X13" i="180"/>
  <c r="AB9" i="180" l="1"/>
  <c r="Y13" i="180"/>
  <c r="AI9" i="180" l="1"/>
  <c r="AI13" i="180" s="1"/>
  <c r="AB13" i="180"/>
  <c r="AJ9" i="180" l="1"/>
  <c r="AJ13" i="180" s="1"/>
  <c r="AA27" i="65" l="1"/>
  <c r="AB27" i="65" s="1"/>
  <c r="AB28" i="65" s="1"/>
  <c r="AB30" i="65" s="1"/>
  <c r="J28" i="65"/>
  <c r="J30" i="65" s="1"/>
  <c r="AA28" i="65" l="1"/>
  <c r="AA30" i="65" s="1"/>
  <c r="Y27" i="65"/>
  <c r="Y28" i="65" s="1"/>
  <c r="Y30" i="65" s="1"/>
  <c r="N27" i="65"/>
  <c r="N28" i="65" s="1"/>
  <c r="N30" i="65" s="1"/>
  <c r="P27" i="65"/>
  <c r="Q27" i="65" s="1"/>
  <c r="Q28" i="65" s="1"/>
  <c r="Q30" i="65" s="1"/>
  <c r="L28" i="65"/>
  <c r="L30" i="65" s="1"/>
  <c r="C8" i="119"/>
  <c r="E8" i="119" s="1"/>
  <c r="E34" i="119" s="1"/>
  <c r="O27" i="65" l="1"/>
  <c r="O28" i="65" s="1"/>
  <c r="O30" i="65" s="1"/>
  <c r="M28" i="65"/>
  <c r="M30" i="65" s="1"/>
  <c r="P28" i="65"/>
  <c r="P30" i="65" s="1"/>
  <c r="S27" i="65"/>
  <c r="Z27" i="65"/>
  <c r="S28" i="65" l="1"/>
  <c r="S30" i="65" s="1"/>
  <c r="T27" i="65"/>
  <c r="Z28" i="65"/>
  <c r="Z30" i="65" s="1"/>
  <c r="AC27" i="65"/>
  <c r="AC28" i="65" s="1"/>
  <c r="AC30" i="65" s="1"/>
  <c r="T28" i="65" l="1"/>
  <c r="T30" i="65" s="1"/>
  <c r="E6" i="67" s="1"/>
  <c r="W27" i="65"/>
  <c r="W28" i="65" s="1"/>
  <c r="W30" i="65" s="1"/>
  <c r="B22" i="211"/>
  <c r="B23" i="211" l="1"/>
  <c r="B58" i="211" s="1"/>
  <c r="D22" i="211"/>
  <c r="G6" i="67"/>
  <c r="E22" i="67"/>
  <c r="G22" i="67" l="1"/>
  <c r="N26" i="67" s="1"/>
  <c r="I6" i="67"/>
  <c r="I22" i="67" s="1"/>
  <c r="K6" i="67"/>
  <c r="K22" i="67" s="1"/>
  <c r="G22" i="211"/>
  <c r="D23" i="211"/>
  <c r="D58" i="211" s="1"/>
  <c r="I22" i="211" l="1"/>
  <c r="I23" i="211" s="1"/>
  <c r="I58" i="211" s="1"/>
  <c r="G23" i="211"/>
  <c r="G58" i="211" s="1"/>
</calcChain>
</file>

<file path=xl/sharedStrings.xml><?xml version="1.0" encoding="utf-8"?>
<sst xmlns="http://schemas.openxmlformats.org/spreadsheetml/2006/main" count="4683" uniqueCount="544">
  <si>
    <t>AGRICOLA SANTA ISABEL</t>
  </si>
  <si>
    <t>JINOTEGA NICARAGUA</t>
  </si>
  <si>
    <t>No</t>
  </si>
  <si>
    <t>INSS</t>
  </si>
  <si>
    <t>NUMERO DE CEDULA</t>
  </si>
  <si>
    <t xml:space="preserve"> </t>
  </si>
  <si>
    <t>NOMBRES Y APELLIDOS</t>
  </si>
  <si>
    <t>CARGO</t>
  </si>
  <si>
    <t>SALARIO
MENSUAL</t>
  </si>
  <si>
    <t>I N G R E S O S</t>
  </si>
  <si>
    <t>RETENCIONES</t>
  </si>
  <si>
    <t>SALARIO
DEVENGADO</t>
  </si>
  <si>
    <t>FIRMAS</t>
  </si>
  <si>
    <t>INSS
PATRONAL</t>
  </si>
  <si>
    <t>INATEC
2%</t>
  </si>
  <si>
    <t>TOTAL
GASTOS
NOMINAS</t>
  </si>
  <si>
    <t>DIAS LABORADOS</t>
  </si>
  <si>
    <t>TOTAL INGRESOS</t>
  </si>
  <si>
    <t>INSS LABORAL</t>
  </si>
  <si>
    <t>IR</t>
  </si>
  <si>
    <t>TOTAL
RETENCION</t>
  </si>
  <si>
    <t>241-260465-0010G</t>
  </si>
  <si>
    <t>Técnico de acopio</t>
  </si>
  <si>
    <t>ELABORADO POR:</t>
  </si>
  <si>
    <t>REVISADO POR:</t>
  </si>
  <si>
    <t>AUTORIZADO POR:</t>
  </si>
  <si>
    <t>Lic. Pastor de Jesús Chavarría Herrera</t>
  </si>
  <si>
    <t>Lic. Osman Gregorio Gutiérrez Moreno</t>
  </si>
  <si>
    <t>PASTOR DE  JESUS CHAVARRIA HERRERA</t>
  </si>
  <si>
    <t>TOTAL</t>
  </si>
  <si>
    <t>ACOPIO</t>
  </si>
  <si>
    <t>ALIMENTACION</t>
  </si>
  <si>
    <t>M</t>
  </si>
  <si>
    <t>L</t>
  </si>
  <si>
    <t>S</t>
  </si>
  <si>
    <t>V</t>
  </si>
  <si>
    <t>J</t>
  </si>
  <si>
    <t>D</t>
  </si>
  <si>
    <t>RECIBIDO CONFORME</t>
  </si>
  <si>
    <t>DEDUCCIONES</t>
  </si>
  <si>
    <t>Total Deven</t>
  </si>
  <si>
    <t>13vo. Mes</t>
  </si>
  <si>
    <t>Vacac.</t>
  </si>
  <si>
    <t>Sept Días</t>
  </si>
  <si>
    <t>Sal Bas</t>
  </si>
  <si>
    <t>Actividad</t>
  </si>
  <si>
    <t>Nombres y Apellidos</t>
  </si>
  <si>
    <t>No. INSS</t>
  </si>
  <si>
    <t>241-250163-0005Q</t>
  </si>
  <si>
    <t>NELLY DEL CARMEN  SOBALVARRO THOMAS</t>
  </si>
  <si>
    <t>INSS PATRONAL</t>
  </si>
  <si>
    <t>INATEC</t>
  </si>
  <si>
    <t>VACASIONES</t>
  </si>
  <si>
    <t>13VO MES</t>
  </si>
  <si>
    <t>AYUDANTE COMISARIATO</t>
  </si>
  <si>
    <t>Tarifa</t>
  </si>
  <si>
    <t>HORA</t>
  </si>
  <si>
    <t>LABORADO</t>
  </si>
  <si>
    <t>FERIADOS</t>
  </si>
  <si>
    <t>EXTRAS</t>
  </si>
  <si>
    <t>TRABAJ</t>
  </si>
  <si>
    <t xml:space="preserve">DE UNA </t>
  </si>
  <si>
    <t>DE DIA</t>
  </si>
  <si>
    <t>GASTOS NOMINA</t>
  </si>
  <si>
    <t xml:space="preserve">INSS PATRONAL </t>
  </si>
  <si>
    <t xml:space="preserve">SALARIO NETO </t>
  </si>
  <si>
    <t>Extras y/o
Dom. Trab</t>
  </si>
  <si>
    <t xml:space="preserve">DIAS </t>
  </si>
  <si>
    <t>HORAS</t>
  </si>
  <si>
    <t>DOMINGOS</t>
  </si>
  <si>
    <t>COSTE</t>
  </si>
  <si>
    <t>No.</t>
  </si>
  <si>
    <t>MANUEL DE JESUS HUETES</t>
  </si>
  <si>
    <t>NETO A PAGAR</t>
  </si>
  <si>
    <t>Lic Osman Gregorio Gutierrez Moreno</t>
  </si>
  <si>
    <t>ABONO  RESTAMOS</t>
  </si>
  <si>
    <t>DIAS TRAB</t>
  </si>
  <si>
    <t>DIAS TRABAJADOS</t>
  </si>
  <si>
    <t>HRS EXT</t>
  </si>
  <si>
    <t>DOM LAB</t>
  </si>
  <si>
    <t>SALARIO BASICO</t>
  </si>
  <si>
    <t>SEPT DIA</t>
  </si>
  <si>
    <t>SALARIO DIARIO</t>
  </si>
  <si>
    <t>SEPTIMO DIA</t>
  </si>
  <si>
    <t>FER LBRS</t>
  </si>
  <si>
    <t>PLANILLA</t>
  </si>
  <si>
    <t>CON INSS</t>
  </si>
  <si>
    <t>SIN INSS</t>
  </si>
  <si>
    <t>N/PAGAR</t>
  </si>
  <si>
    <t>INGRESO BASICO</t>
  </si>
  <si>
    <t>241-091087-0001E</t>
  </si>
  <si>
    <t xml:space="preserve">PLANILLA DE SALARIO CATORCENAL PERSONAL ADMINISTRATIVO </t>
  </si>
  <si>
    <t>INSS LAB</t>
  </si>
  <si>
    <t>HORAS EXTRAS</t>
  </si>
  <si>
    <t>ABONO POR PRESTAMOS</t>
  </si>
  <si>
    <t>TOTALES</t>
  </si>
  <si>
    <t>LUIS FERNANDO PALACIOS RIOS</t>
  </si>
  <si>
    <t>AGRÍCOLA SANTA ISABEL</t>
  </si>
  <si>
    <t>SEPTIMO</t>
  </si>
  <si>
    <t>COMISARIATO</t>
  </si>
  <si>
    <t xml:space="preserve"> TOTAL</t>
  </si>
  <si>
    <t>ELABORADO</t>
  </si>
  <si>
    <t>REVISADO</t>
  </si>
  <si>
    <t>AUTORIZADO</t>
  </si>
  <si>
    <t>LIC. OSMAN GUTIERREZ</t>
  </si>
  <si>
    <t>"EL SEÑOR ES MI PASTOR, NADA ME FALTARA"</t>
  </si>
  <si>
    <t>DOMINGOS LABORADOS</t>
  </si>
  <si>
    <t>DIAS FERIADOS</t>
  </si>
  <si>
    <t>JINOTEGA, NICARAGUA</t>
  </si>
  <si>
    <t>ARMANDO JOSE IGLESIAS</t>
  </si>
  <si>
    <t>241-301272-0001U</t>
  </si>
  <si>
    <t>241-300565-0007T</t>
  </si>
  <si>
    <t>LIC. PASTOR CHAVARRIA HERRERA</t>
  </si>
  <si>
    <t>601-120863-0000N</t>
  </si>
  <si>
    <t>FINCA</t>
  </si>
  <si>
    <t>ACOPIO OSMAN GUTIERREZ</t>
  </si>
  <si>
    <t>PLANILLA DILLEROS</t>
  </si>
  <si>
    <t>DOMINGO LABORADO</t>
  </si>
  <si>
    <t>%</t>
  </si>
  <si>
    <t>TOTAL INGRESO -TRECEAVO</t>
  </si>
  <si>
    <t xml:space="preserve"> 13v
aguinaldo</t>
  </si>
  <si>
    <t>____________________________________</t>
  </si>
  <si>
    <t>Keylin Johana Martinez Perez</t>
  </si>
  <si>
    <t>Dias</t>
  </si>
  <si>
    <t>Dólar</t>
  </si>
  <si>
    <t>cambio del dia</t>
  </si>
  <si>
    <t>salario en dolares</t>
  </si>
  <si>
    <t>Maycol Frc. Molina</t>
  </si>
  <si>
    <t>SALARIO</t>
  </si>
  <si>
    <t>1 semana</t>
  </si>
  <si>
    <t>2 semana</t>
  </si>
  <si>
    <t>SUMA SETIMOS</t>
  </si>
  <si>
    <t>SUMA DIAS</t>
  </si>
  <si>
    <t>SETIMO</t>
  </si>
  <si>
    <t>DIAS</t>
  </si>
  <si>
    <t>DODIGO</t>
  </si>
  <si>
    <t>CONSTANTE</t>
  </si>
  <si>
    <t>SALARIO 14CENAL</t>
  </si>
  <si>
    <t>FORMUAL</t>
  </si>
  <si>
    <t>FORMULA</t>
  </si>
  <si>
    <t>Subtotal</t>
  </si>
  <si>
    <t>EN</t>
  </si>
  <si>
    <t>$</t>
  </si>
  <si>
    <t>FERIADOS/ LIBRES</t>
  </si>
  <si>
    <t>COSTE DIA</t>
  </si>
  <si>
    <t>COSTE HORA</t>
  </si>
  <si>
    <t>DOMINGOS TRABAJADOS</t>
  </si>
  <si>
    <t>AGRICOLA-SANTA ISABEL</t>
  </si>
  <si>
    <t>NETO</t>
  </si>
  <si>
    <t>acopio</t>
  </si>
  <si>
    <t>_______________________________________________</t>
  </si>
  <si>
    <t>dolares</t>
  </si>
  <si>
    <t>cambio</t>
  </si>
  <si>
    <t>mensual</t>
  </si>
  <si>
    <t>14cenal</t>
  </si>
  <si>
    <t>adicional</t>
  </si>
  <si>
    <t>Adicional</t>
  </si>
  <si>
    <t>S BASICO</t>
  </si>
  <si>
    <t>SEP DIA</t>
  </si>
  <si>
    <t>B TOTAL</t>
  </si>
  <si>
    <t>ADICIONAL</t>
  </si>
  <si>
    <t>ING BASICO</t>
  </si>
  <si>
    <t>VACAC</t>
  </si>
  <si>
    <t>13 AVO</t>
  </si>
  <si>
    <t>INNS LAB</t>
  </si>
  <si>
    <t>SALARIO B</t>
  </si>
  <si>
    <t>EXT</t>
  </si>
  <si>
    <t>ADICION</t>
  </si>
  <si>
    <t>ING BAS</t>
  </si>
  <si>
    <t>13 VO</t>
  </si>
  <si>
    <t>SUMA SEP</t>
  </si>
  <si>
    <t>___________________________________________</t>
  </si>
  <si>
    <t xml:space="preserve">REVISADO POR </t>
  </si>
  <si>
    <t>241-050475-0001W</t>
  </si>
  <si>
    <t>VICENTE ALBERTO GADEA</t>
  </si>
  <si>
    <t>288-210859-0001M</t>
  </si>
  <si>
    <t>PEDRO JOAQUIN HUETE</t>
  </si>
  <si>
    <t>SALARIO QUINCENAL</t>
  </si>
  <si>
    <t>TOTAOL</t>
  </si>
  <si>
    <t>YEMIN DAVID GUTIERREZ MORENO</t>
  </si>
  <si>
    <t>VIATICO</t>
  </si>
  <si>
    <t>AYUDANTE COMI</t>
  </si>
  <si>
    <t>MARIA ELENA FLORES</t>
  </si>
  <si>
    <t>EDDY HERNANDEZ</t>
  </si>
  <si>
    <t>PERIODO CORRESPONDIENTE DEL 16 AL 29 DE ENERO DEL 2020</t>
  </si>
  <si>
    <t>FLAVIA HUETE</t>
  </si>
  <si>
    <t>MARIA ULDA GARCIA RIVAS</t>
  </si>
  <si>
    <t>GENERO</t>
  </si>
  <si>
    <t>F</t>
  </si>
  <si>
    <t>FEMENINO</t>
  </si>
  <si>
    <t>MASCULINO</t>
  </si>
  <si>
    <t>INNS</t>
  </si>
  <si>
    <t>TOTAL GENERAL</t>
  </si>
  <si>
    <t>TOTAL A PAGAR</t>
  </si>
  <si>
    <t>BASICO</t>
  </si>
  <si>
    <t>DIAS SUBSIDIO</t>
  </si>
  <si>
    <t>total subcidio</t>
  </si>
  <si>
    <t>subcidio por dia</t>
  </si>
  <si>
    <t>CELIA ROSA IRIAS MOLINA</t>
  </si>
  <si>
    <t>VACACIONES</t>
  </si>
  <si>
    <t>TOTAL BASICO</t>
  </si>
  <si>
    <t>PLANILLA DE SALARIO QUINCENAL</t>
  </si>
  <si>
    <t xml:space="preserve">PLANILLA DE SALARIO QUINCENAL PERSONAL ADMINISTRATIVO </t>
  </si>
  <si>
    <t>PLANILLA DE SALARIO QUINCENAL DE TÉCNICOS DE ACOPIO</t>
  </si>
  <si>
    <t>Ayudante comisariato</t>
  </si>
  <si>
    <t>Domingos trabajados</t>
  </si>
  <si>
    <t>Feriado</t>
  </si>
  <si>
    <t>JEFE DE TRANSPORTE</t>
  </si>
  <si>
    <t>TOTAL DE DIAS</t>
  </si>
  <si>
    <t>Henry Rizo H</t>
  </si>
  <si>
    <t>GEMA GUTIERREZ</t>
  </si>
  <si>
    <t>241-051289-0002Y</t>
  </si>
  <si>
    <t>DEXIS MILENA PICADO GARCIA</t>
  </si>
  <si>
    <t>SECRETARIA</t>
  </si>
  <si>
    <t>HENRY RIZO HERNANDEZ</t>
  </si>
  <si>
    <t>PLANILLA Y BODEGAS</t>
  </si>
  <si>
    <t>MANDADOR FINCA</t>
  </si>
  <si>
    <t>AUXILIAR CONTABLE</t>
  </si>
  <si>
    <t>AUTORIZADO POR&gt;</t>
  </si>
  <si>
    <t>ANA ESTRADA SEVILLA</t>
  </si>
  <si>
    <t>KEYLIN JOHANA MARTINEZ PEREZ</t>
  </si>
  <si>
    <t xml:space="preserve">PLANILLA DE SALARIO QUINCENAL </t>
  </si>
  <si>
    <t>TOTAL ING</t>
  </si>
  <si>
    <t>001-210878-0075X</t>
  </si>
  <si>
    <t xml:space="preserve">FINCA </t>
  </si>
  <si>
    <t>TOTAL NOMINA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</si>
  <si>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</si>
  <si>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CESAR AUGUSTO ZEAS</t>
  </si>
  <si>
    <t>241-210680-0011D</t>
  </si>
  <si>
    <t>CONTADOR GENERAL</t>
  </si>
  <si>
    <t>KEYLIN JOHANA PEREZ MARTINEZ</t>
  </si>
  <si>
    <t>HOLMAN HIDALGO</t>
  </si>
  <si>
    <t>ADMINISTRACION</t>
  </si>
  <si>
    <t>TECNICO</t>
  </si>
  <si>
    <t>ACOPIOS</t>
  </si>
  <si>
    <t>DONALD BALTODANO</t>
  </si>
  <si>
    <t>001-080763-0045M</t>
  </si>
  <si>
    <t>241-151294-0004V</t>
  </si>
  <si>
    <t>DEMIS CECILIA MONTIEL GONZALEZ</t>
  </si>
  <si>
    <t>PAGO DE HORAS EXTRA (EL CRUCERO)</t>
  </si>
  <si>
    <t>PRECIO</t>
  </si>
  <si>
    <t>RECIBE CONFORME</t>
  </si>
  <si>
    <t>PLANILLA DEL 16 AL 30 DE ABRIL DEL 2022</t>
  </si>
  <si>
    <t>001-040170-0013R</t>
  </si>
  <si>
    <t>COORDINADOR DE ACOPIOS Y FINANZAS</t>
  </si>
  <si>
    <t>ADMINISTRADOR</t>
  </si>
  <si>
    <t>FINCA SIN INSS</t>
  </si>
  <si>
    <t>DEMIS CECILIA MONTIEL GONZALEZ.</t>
  </si>
  <si>
    <t>241-060492-0003J</t>
  </si>
  <si>
    <t xml:space="preserve">ADMINISTRADOR </t>
  </si>
  <si>
    <t>BODEGA</t>
  </si>
  <si>
    <t>CAJA</t>
  </si>
  <si>
    <t>13vo mes</t>
  </si>
  <si>
    <t>JOLMAN ARCENIO HIDALGO GONZALEZ</t>
  </si>
  <si>
    <t>No. Inss</t>
  </si>
  <si>
    <t>X  HORA</t>
  </si>
  <si>
    <t>X HORA</t>
  </si>
  <si>
    <t>X DIA</t>
  </si>
  <si>
    <t>X CATORCENA</t>
  </si>
  <si>
    <t>DOMINGO</t>
  </si>
  <si>
    <t>COSTO POR HORA</t>
  </si>
  <si>
    <t>$ HORAS EXTRAS</t>
  </si>
  <si>
    <t>salario x (az)</t>
  </si>
  <si>
    <t>DIAS DE SUPCIDIO</t>
  </si>
  <si>
    <t>ESTIBADOR</t>
  </si>
  <si>
    <t>AUGUSTO BENESTER GONZALEZ GONZALEZ</t>
  </si>
  <si>
    <t>TOTAL DEVENGADO</t>
  </si>
  <si>
    <t>NETO A PAGAR
DEVENGADO</t>
  </si>
  <si>
    <t>TOTAL
DEVENGADO</t>
  </si>
  <si>
    <t>LIC. SANDRO OSMANI GUTIERREZ SANCHEZ</t>
  </si>
  <si>
    <t>LIC. OSMAN GREGORIO GUTIERREZ MORENO</t>
  </si>
  <si>
    <t>Lic. Sandro Osmani Gutierrez Moreno</t>
  </si>
  <si>
    <t>A</t>
  </si>
  <si>
    <t>BLADIMIR RUIZ PICADO</t>
  </si>
  <si>
    <t>JADIER MANUEL MAIRENA PEREZ</t>
  </si>
  <si>
    <r>
      <t xml:space="preserve">PLANILLA ACOPIO </t>
    </r>
    <r>
      <rPr>
        <b/>
        <sz val="10"/>
        <color rgb="FF92D050"/>
        <rFont val="Arial"/>
        <family val="2"/>
      </rPr>
      <t>(EL ESCAMBRAY)</t>
    </r>
  </si>
  <si>
    <t>DONAL JOSE BALTODANO PALACIOS</t>
  </si>
  <si>
    <t>OSMAN GREGORIO GUTIERREZ MORENO</t>
  </si>
  <si>
    <t>YEMIN ABEL GUTIERREZ PORRAS</t>
  </si>
  <si>
    <r>
      <t xml:space="preserve">PLANILLA DE ACOPIO </t>
    </r>
    <r>
      <rPr>
        <b/>
        <sz val="12"/>
        <color rgb="FF92D050"/>
        <rFont val="Arial"/>
        <family val="2"/>
      </rPr>
      <t>(ABISINIA)</t>
    </r>
  </si>
  <si>
    <t>JACKS HERRY TORRES PEREZ</t>
  </si>
  <si>
    <t>YANT CARLO FERRUFINO PINEDA</t>
  </si>
  <si>
    <t xml:space="preserve">VACACIONES </t>
  </si>
  <si>
    <r>
      <t xml:space="preserve">PLANILLA DE ACOPIO </t>
    </r>
    <r>
      <rPr>
        <b/>
        <sz val="11"/>
        <color rgb="FF92D050"/>
        <rFont val="Arial"/>
        <family val="2"/>
      </rPr>
      <t>(MORENAS)</t>
    </r>
  </si>
  <si>
    <t>SUYEN RODA PASOS</t>
  </si>
  <si>
    <t xml:space="preserve">LIC. OSMAN GREGORIO GUTIERREZ MORENO </t>
  </si>
  <si>
    <t>SANDRO GUTIERREZ</t>
  </si>
  <si>
    <t xml:space="preserve">COMPLEMENTO </t>
  </si>
  <si>
    <t>'EL SEÑOR ES  MI PASTOR NADA ME FALTARA''</t>
  </si>
  <si>
    <t>CAJERA</t>
  </si>
  <si>
    <t>AGUINALDO</t>
  </si>
  <si>
    <t>TOTAL INGRESO</t>
  </si>
  <si>
    <t>PLANILLA DEL COMISARIATO SANTA ISABEL</t>
  </si>
  <si>
    <t>Celia Rosa Irias Molina</t>
  </si>
  <si>
    <t>NUMERO CEDULA</t>
  </si>
  <si>
    <t>SANDRO OSMANY GUITIERREZ</t>
  </si>
  <si>
    <t>Lic. Sandro Osmany Gutierrez Sanchez</t>
  </si>
  <si>
    <t>ZOILA YESENIA BALTODANO PALACIOS</t>
  </si>
  <si>
    <t>MARVIN CRUZ TALAVERA</t>
  </si>
  <si>
    <t>RESPONSABLE COMISARIATO</t>
  </si>
  <si>
    <t>JOAQUIN ENRRIQUE CASTILLO CARCACHE</t>
  </si>
  <si>
    <t>HOLMAN ACUÑA</t>
  </si>
  <si>
    <t>RECIBI CONFORME</t>
  </si>
  <si>
    <t>"EL SEÑOR ES MI PASTOR NADA ME FALTARA"</t>
  </si>
  <si>
    <t>AUTORIZADO POR</t>
  </si>
  <si>
    <t>Lic. Osman Gregorio Gutierrez Moreno</t>
  </si>
  <si>
    <t>HOLMAN JUNIOR ACUÑA</t>
  </si>
  <si>
    <t>PLANILLA DE SALARIO QUINCENAL (ACOPIO ESCAMBRAY)</t>
  </si>
  <si>
    <t>SANDRO OSMANY GUTIERREZ SANCHEZ</t>
  </si>
  <si>
    <t>PLANILLA DE SALARIO QUINCENAL (ACOPIO MONTECRISTO)</t>
  </si>
  <si>
    <t>JOSE JAVIER GONZALEZ LOPEZ</t>
  </si>
  <si>
    <t>RECIBIDOR CLASIFICADOR</t>
  </si>
  <si>
    <t>PLANILLA DE SALARIO QUINCENAL (ACOPIO EL CONSUELO)</t>
  </si>
  <si>
    <t>RICARDO ALBERTO PORTILLO HERRERA</t>
  </si>
  <si>
    <t>PLANILLA DE SALARIO QUINCENAL (ACOPIO SANTA ISABEL)</t>
  </si>
  <si>
    <t>DENISSA DALILA MONTIEL GONZALEZ</t>
  </si>
  <si>
    <t>PLANILLA DE SALARIO QUINCENAL ACOPIO LAS MORENAS</t>
  </si>
  <si>
    <t>HARVIN ENOC MARIN</t>
  </si>
  <si>
    <t>PLANILLA ACOPIO YEMIN DAVID GUTIERREZ</t>
  </si>
  <si>
    <t>ENGELL JOSUE PALACIOS</t>
  </si>
  <si>
    <t>AUGUSTO BENESTER GONZALEZ</t>
  </si>
  <si>
    <t>DENISSA DALILIA MONTIEL GONZALEZ</t>
  </si>
  <si>
    <t>PLANILLA DE SALARIO QUINCENAL (ACOPIO LAS MORENAS)</t>
  </si>
  <si>
    <t>PLANILLA DE SALARIO QUINCENAL (ACOPIO ABISINIA)</t>
  </si>
  <si>
    <t>DIGITADORA</t>
  </si>
  <si>
    <t>EVELYN JUNNIETH PORTILLO HERRERA</t>
  </si>
  <si>
    <t>LENER FRANCISCO RIVERA RAMOS</t>
  </si>
  <si>
    <t>JELVIN ELIONAI MENDEZ</t>
  </si>
  <si>
    <t>DILLERO</t>
  </si>
  <si>
    <t>JOSE MANUEL MORAGA</t>
  </si>
  <si>
    <t>EDWIN DE JESUS MARTINEZ PICADO</t>
  </si>
  <si>
    <t>KEYLING JOHANA PEREZ MARTINEZ</t>
  </si>
  <si>
    <t>241-241192-0000Q</t>
  </si>
  <si>
    <t>TRABAJO EVENTUAL</t>
  </si>
  <si>
    <t>HAZZELL MUÑOZ RUGAMA</t>
  </si>
  <si>
    <t>SOLDADOR</t>
  </si>
  <si>
    <t>NORLAN ALEXIS BLANDON MORALES</t>
  </si>
  <si>
    <t>CONDUCTOR</t>
  </si>
  <si>
    <t>KELICHAN CENTENO</t>
  </si>
  <si>
    <t>VIATICOS PERSONAL DE ACOPIO</t>
  </si>
  <si>
    <t xml:space="preserve">AGRICOLA SANTA ISABEL </t>
  </si>
  <si>
    <t>VIATICO PAGADO A PERSONAL DE ACOPIO</t>
  </si>
  <si>
    <t>N/O</t>
  </si>
  <si>
    <t>NOMBRE Y APELLIDOS</t>
  </si>
  <si>
    <t>VALOR</t>
  </si>
  <si>
    <t>FIRMA</t>
  </si>
  <si>
    <t>LUGAR DE ACOPIO</t>
  </si>
  <si>
    <t>RECIBIDOR</t>
  </si>
  <si>
    <t>ABICINIA/ INSS</t>
  </si>
  <si>
    <t>ELIEL FERNANDEZ</t>
  </si>
  <si>
    <t>IVAN OROZCO OSEJO</t>
  </si>
  <si>
    <t>ACOPIO EL CONSUELO</t>
  </si>
  <si>
    <t>PLANILLA DE ACOPIO  SANTA ISABEL YEMIN DAVID )</t>
  </si>
  <si>
    <t>INFORME DE HORAS EXTRAS PAGADAS</t>
  </si>
  <si>
    <t>CANTIDAD</t>
  </si>
  <si>
    <t>COSTO  X HORA</t>
  </si>
  <si>
    <t>______________________________</t>
  </si>
  <si>
    <t>_________________________________</t>
  </si>
  <si>
    <t>Elaborado</t>
  </si>
  <si>
    <t>Autorizado:</t>
  </si>
  <si>
    <t>ELISABETH TOLEDO RUBIO</t>
  </si>
  <si>
    <t>INFORME DE HORAS EXTRAS COMISARIATO</t>
  </si>
  <si>
    <t>EDWIN MARTINEZ</t>
  </si>
  <si>
    <t>ZOYLA BALTODANO</t>
  </si>
  <si>
    <t>FRANCISCO HERNANDEZ</t>
  </si>
  <si>
    <t>SUB TOTAL</t>
  </si>
  <si>
    <t>DANIEL  ANTONIO RODRIGUEZ</t>
  </si>
  <si>
    <t>JORDAN HERNANDEZ</t>
  </si>
  <si>
    <t>JOSE NAHUM SOZA CASTRO</t>
  </si>
  <si>
    <t>Resp/Bodega</t>
  </si>
  <si>
    <t>ACTORIZADO</t>
  </si>
  <si>
    <t>Lic. Osman  Gregorio Gutierrez  Moreno</t>
  </si>
  <si>
    <t>_______________________________</t>
  </si>
  <si>
    <t xml:space="preserve">                  REVISADO</t>
  </si>
  <si>
    <t>QUINCENA DEL 16  AL 28  DE FEBRERO   2025</t>
  </si>
  <si>
    <t>PERIODO DEL 16 DE FEBRERO   AL 28   FEBRERO   2025</t>
  </si>
  <si>
    <t>COMPLEMENTO DE SALARIO</t>
  </si>
  <si>
    <t>______________________________________</t>
  </si>
  <si>
    <t>wilfredo argeñal</t>
  </si>
  <si>
    <t>LESLIER ALEJANDRO PALACIOS</t>
  </si>
  <si>
    <t>DANIEL RODRIGUEZ</t>
  </si>
  <si>
    <t>Bodega/ Acopio</t>
  </si>
  <si>
    <t>Ivan Orozco Osejo</t>
  </si>
  <si>
    <t>Revisado</t>
  </si>
  <si>
    <t>__________________________</t>
  </si>
  <si>
    <t>Suyen Palacios</t>
  </si>
  <si>
    <t>ERICK  MANUEL GARCIA</t>
  </si>
  <si>
    <t>PERIODO DEL 16   AL  30 DE JUNIO   2025</t>
  </si>
  <si>
    <t>DEVENGADO</t>
  </si>
  <si>
    <t>ABISINIA</t>
  </si>
  <si>
    <t>PLANILLA DE SALARIO QUINCENAL  ABISINIA</t>
  </si>
  <si>
    <t>ANGEL JAVIER GARCIA</t>
  </si>
  <si>
    <t>JAIRO CANO</t>
  </si>
  <si>
    <t>EBANISTA</t>
  </si>
  <si>
    <t>BODEGUERO</t>
  </si>
  <si>
    <t>EVENTUAL</t>
  </si>
  <si>
    <t xml:space="preserve">PLANILLERA </t>
  </si>
  <si>
    <t>CERTIFICACION</t>
  </si>
  <si>
    <t>ALBA SUYEN RODA PASOS</t>
  </si>
  <si>
    <t>GISELLE WALESKA ESPINAL SALGUERA</t>
  </si>
  <si>
    <t>WILFREDO ARGEÑAL BLANDON</t>
  </si>
  <si>
    <t xml:space="preserve">       AUTORIZADO POR:</t>
  </si>
  <si>
    <t>Lic. Osman G. Gutierrez Moreno                                                                                                                                                       Ivan Orozco osejo</t>
  </si>
  <si>
    <t>ASESOR TECNICO Y FINANCIERO</t>
  </si>
  <si>
    <t>ATENCION AL CLIENTE Y CAJA</t>
  </si>
  <si>
    <t>RESPONSABLE DE BODEGA</t>
  </si>
  <si>
    <t>604-090489-0000R</t>
  </si>
  <si>
    <t>JOSE MANUEL MORAGA FLORES</t>
  </si>
  <si>
    <t>JEFE COMERCIAL</t>
  </si>
  <si>
    <t>JEFE INDUSTRIAL</t>
  </si>
  <si>
    <t>JEFE DE PRODUCCION</t>
  </si>
  <si>
    <t>ARMANDO GUIDO GONZALEZ</t>
  </si>
  <si>
    <t>AUXILIAR CONTABLE ACOPIO</t>
  </si>
  <si>
    <t>ATENCION AL CLIENTE</t>
  </si>
  <si>
    <t>PLANILLA DE SALARIO QUINCENAL PERSONAL ADMINISTRATIVO COMERCIAL</t>
  </si>
  <si>
    <t>241-140864-0000B</t>
  </si>
  <si>
    <t>003-020172-0001X</t>
  </si>
  <si>
    <t>442-120970-0000R</t>
  </si>
  <si>
    <t>FINCA CON INSS</t>
  </si>
  <si>
    <t>ADMINISTRACION COMERCIAL</t>
  </si>
  <si>
    <t xml:space="preserve">241-050476-0008Y </t>
  </si>
  <si>
    <t>ADMINISTRACION FINCA</t>
  </si>
  <si>
    <t>AREA TECNICA</t>
  </si>
  <si>
    <t>ACOPIO ABISINIA</t>
  </si>
  <si>
    <t>BENEFICIO HUMEDO</t>
  </si>
  <si>
    <t>241-090775-0014S</t>
  </si>
  <si>
    <t>SU TOTAL</t>
  </si>
  <si>
    <t>ABNNER ELIAM JIRON GONZALEZ</t>
  </si>
  <si>
    <t>ESCAMBRAY</t>
  </si>
  <si>
    <t>GLENDA MARGINES SILES HERNANDEZ</t>
  </si>
  <si>
    <t>MONTECRISTO</t>
  </si>
  <si>
    <t>LAS MORENAS</t>
  </si>
  <si>
    <t>EL CONSUELO</t>
  </si>
  <si>
    <t>RAUL JOSE RUIZ PINEDA</t>
  </si>
  <si>
    <t>Ayudante Comisariato</t>
  </si>
  <si>
    <t>RESPONSABLE DE COMISARIATOS</t>
  </si>
  <si>
    <t>DANIEL ANTONIO RODRIGUEZ MORALES</t>
  </si>
  <si>
    <t>CARLOS ALEMAN</t>
  </si>
  <si>
    <t>DAVID ISRRAEL ALMENDARES ROCHA</t>
  </si>
  <si>
    <t>__________________</t>
  </si>
  <si>
    <t>AGRÍCOLA SANTA ISABEL (MONTECRISTO)</t>
  </si>
  <si>
    <t>AGRICOLA SANTA ISABEL (LAS MORENAS)</t>
  </si>
  <si>
    <t>AGRÍCOLA SANTA ISABEL (ABISINIA)</t>
  </si>
  <si>
    <t>JOSE MIGUEL BERRIOS ROCHA</t>
  </si>
  <si>
    <t>RESPONSABLE ACOPIO</t>
  </si>
  <si>
    <t>AGRÍCOLA SANTA ISABEL (ESCAMBRAY)</t>
  </si>
  <si>
    <t>ABNNER ELIACM JIRON GONZALEZ</t>
  </si>
  <si>
    <t>AGRICOLA SANTA ISABEL (EL CONSUELO)</t>
  </si>
  <si>
    <t>Lic. Sandro Osmany Gutierrez  Sanchez</t>
  </si>
  <si>
    <t>AGRÍCOLA SANTA ISABEL (LA UNION)</t>
  </si>
  <si>
    <t>ACOPIO MONTECRISTO</t>
  </si>
  <si>
    <t>ACOPIO LAS MORENAS</t>
  </si>
  <si>
    <t>ACOPIO ABISINIA SIN INSS</t>
  </si>
  <si>
    <t>ABISINIA-INSS</t>
  </si>
  <si>
    <t xml:space="preserve">                    AUTORIZADO</t>
  </si>
  <si>
    <t>241-20097-1004H</t>
  </si>
  <si>
    <t>492-031098-1002K</t>
  </si>
  <si>
    <t>241-310384-0005C</t>
  </si>
  <si>
    <t>214-300490-0008C</t>
  </si>
  <si>
    <t>001-060383-0004D</t>
  </si>
  <si>
    <t>MARIA HULDA GARCIA RIVAS</t>
  </si>
  <si>
    <t xml:space="preserve">CESAR AUGUSTO ALEMAN </t>
  </si>
  <si>
    <t>241-160179-0002F</t>
  </si>
  <si>
    <t>452-021292-0003W</t>
  </si>
  <si>
    <t>HOLMAN ARCENIO HIDALGO GONZALEZ</t>
  </si>
  <si>
    <t>241-240392-0004S</t>
  </si>
  <si>
    <t>RESPONSABLE BENEFICIO HUMEDO</t>
  </si>
  <si>
    <t>241-200179-0014C</t>
  </si>
  <si>
    <t>DAVID ISRAEL ALMENDARES ROCHA</t>
  </si>
  <si>
    <t xml:space="preserve">ABISNIA </t>
  </si>
  <si>
    <t>COMPLEMENTO DE SALARIO DEL 16  AL 30 DE NOVIEMBRE DE 2025</t>
  </si>
  <si>
    <t>ELVIN ARIEL MARIN RIZO</t>
  </si>
  <si>
    <t>452-080793-0002V</t>
  </si>
  <si>
    <t>241-240972-0016G</t>
  </si>
  <si>
    <t>ERICK MANUEL  GARCIA</t>
  </si>
  <si>
    <t>OSMAN GREOGORIO GUTIERREZ MORENO</t>
  </si>
  <si>
    <t xml:space="preserve">LESSIN NOEL PICADO </t>
  </si>
  <si>
    <t>LESSIN NOEL PICADO</t>
  </si>
  <si>
    <t>PLANILLA DE SALARIO QUINCENAL ( LAS MORENAS)</t>
  </si>
  <si>
    <t>PLANILLA DE SALARIO QUINCENAL ( ESCAMBRAY)</t>
  </si>
  <si>
    <t>OSMAN DIEGO GUTIERREZ MONTIEL</t>
  </si>
  <si>
    <t>DONALD JOSE BALTODANO PALACIOS</t>
  </si>
  <si>
    <t>EVELYN JUNNIETH PORTILLO</t>
  </si>
  <si>
    <t>PLANILLA DE SALARIO QUINCENAL  (BENEFICIO SECO SIN INSS)</t>
  </si>
  <si>
    <t>BENEFICIO SECO SIN INSS</t>
  </si>
  <si>
    <t>PLANILLA DE SALARIO QUINCENAL ( COMISARIATO INSS )</t>
  </si>
  <si>
    <t>PLANILLA DE SALARIO QUINCENAL ( COMISARIATO SIN INSS)</t>
  </si>
  <si>
    <t>DUSTIN PORTILLO</t>
  </si>
  <si>
    <t>JOTHAN MOISES GUTIERREZ CHAVEZ</t>
  </si>
  <si>
    <t>MONTACARGA</t>
  </si>
  <si>
    <t>PAGO DE VIAJE DE CAMIONERO</t>
  </si>
  <si>
    <t>ALEXIS URIEL PALACIOS PALACIOS</t>
  </si>
  <si>
    <t>SELENA JARQUIN</t>
  </si>
  <si>
    <t>JHOJARLING SAMIR BLANDON LEIVA</t>
  </si>
  <si>
    <t>ASLING CARAZO</t>
  </si>
  <si>
    <t>LIC: OSMAN G GUTIERREZ MORENO</t>
  </si>
  <si>
    <t>LIC:OSMAN G GUTIERREZ MORENO</t>
  </si>
  <si>
    <t>LIC:OSMAN G GREGORIO GUTIERREZ MORENO</t>
  </si>
  <si>
    <t>IVAN ORZCO OSEJO</t>
  </si>
  <si>
    <t>COMISATO</t>
  </si>
  <si>
    <t xml:space="preserve">NETO </t>
  </si>
  <si>
    <t>PERIODO DEL 16 DE DIC AL 31 DE DIC 2025</t>
  </si>
  <si>
    <t>GRAN TOTAL</t>
  </si>
  <si>
    <t>DEVENGADO 1</t>
  </si>
  <si>
    <t>DEVENGADO 2</t>
  </si>
  <si>
    <t>TOTAL DEVENG</t>
  </si>
  <si>
    <t>NETO A RECIBIR</t>
  </si>
  <si>
    <t>MANUEL MAIRENA</t>
  </si>
  <si>
    <t>B DIA</t>
  </si>
  <si>
    <t>COMPLEMENTO DE SALARIO EN RECIBO</t>
  </si>
  <si>
    <t>NEATO A PAGAR</t>
  </si>
  <si>
    <t>TOTAL SUBCIDIO</t>
  </si>
  <si>
    <t>SUBCIDIO POR DIA</t>
  </si>
  <si>
    <t>DIAS SUBCICIO</t>
  </si>
  <si>
    <t xml:space="preserve">SALARIO BASICO </t>
  </si>
  <si>
    <t xml:space="preserve">                                         ________________________________________________</t>
  </si>
  <si>
    <t xml:space="preserve">HORAS EXTRAS </t>
  </si>
  <si>
    <t>ZOILA BALTODANO</t>
  </si>
  <si>
    <t>MARVIN CRUZ</t>
  </si>
  <si>
    <t>JHOJARLIN SAMIR BLANDON</t>
  </si>
  <si>
    <t>KELICHAN GUTIERREZ</t>
  </si>
  <si>
    <t xml:space="preserve">                     WILFREDO ARGEÑAL BLANDON</t>
  </si>
  <si>
    <t xml:space="preserve">                               RESP DE NOMINAS</t>
  </si>
  <si>
    <t>RESP DE COSTO</t>
  </si>
  <si>
    <t>POR HORAS</t>
  </si>
  <si>
    <t>JUBER ELUIDTH</t>
  </si>
  <si>
    <t>RESP DE FINCA</t>
  </si>
  <si>
    <t>PERIODO  DEL 1 AL 15  MARZO 2026</t>
  </si>
  <si>
    <t>JONATHAN GUTIERREZ</t>
  </si>
  <si>
    <t>BODEGA DE ACOPIO</t>
  </si>
  <si>
    <t>PLANILLAS</t>
  </si>
  <si>
    <t>MARTIN CONRRADO RIZO</t>
  </si>
  <si>
    <t xml:space="preserve">  </t>
  </si>
  <si>
    <t>BERMAN VICENTE MONTALVAN  MARTINEZ</t>
  </si>
  <si>
    <t>604-011198-1001J</t>
  </si>
  <si>
    <t>AYUD/EBANISTA</t>
  </si>
  <si>
    <t>MARIO AZAEL  REYES MARTINEZ</t>
  </si>
  <si>
    <t>QUINCENA DEL 16  AL 30  DE ABRIL 2026</t>
  </si>
  <si>
    <t>QUINCENA DEL 16  AL 30  DE ABRIL - 2026</t>
  </si>
  <si>
    <t>COMPLEMENTO DE SALARIO DEL 16  AL 30  DE ABRIL  2026</t>
  </si>
  <si>
    <t>QUINCENA DEL 16 DE ABRIL AL 30 DE ABRIL 2026</t>
  </si>
  <si>
    <t>Jose Martin Conrrado</t>
  </si>
  <si>
    <t>PLANILLA DE SALARIO QUINCENAL   ( BODEGA DE ACOPIO)</t>
  </si>
  <si>
    <t>Auxiliar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</si>
</sst>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C$&quot;* #,##0.00_-;\-&quot;C$&quot;* #,##0.00_-;_-&quot;C$&quot;* &quot;-&quot;??_-;_-@_-"/>
    <numFmt numFmtId="165" formatCode="&quot;C$&quot;\ #,##0_);[Red]\(&quot;C$&quot;\ #,##0\)"/>
    <numFmt numFmtId="166" formatCode="_(&quot;C$&quot;\ * #,##0.00_);_(&quot;C$&quot;\ * \(#,##0.00\);_(&quot;C$&quot;\ * &quot;-&quot;??_);_(@_)"/>
    <numFmt numFmtId="167" formatCode="_(* #,##0.00_);_(* \(#,##0.00\);_(* &quot;-&quot;??_);_(@_)"/>
    <numFmt numFmtId="168" formatCode="dd/mm/yyyy;@"/>
    <numFmt numFmtId="169" formatCode="0_);\(0\)"/>
    <numFmt numFmtId="170" formatCode="_ * #,##0.00_ ;_ * \-#,##0.00_ ;_ * &quot;-&quot;??_ ;_ @_ "/>
    <numFmt numFmtId="171" formatCode="#,##0.0000_);\(#,##0.0000\)"/>
    <numFmt numFmtId="172" formatCode="_ * #,##0_ ;_ * \-#,##0_ ;_ * &quot;-&quot;??_ ;_ @_ "/>
    <numFmt numFmtId="173" formatCode="0.0"/>
    <numFmt numFmtId="174" formatCode="_(&quot;C$&quot;\ * #,##0_);_(&quot;C$&quot;\ * \(#,##0\);_(&quot;C$&quot;\ * &quot;-&quot;??_);_(@_)"/>
    <numFmt numFmtId="175" formatCode="_(&quot;C$&quot;\ * #,##0.0_);_(&quot;C$&quot;\ * \(#,##0.0\);_(&quot;C$&quot;\ * &quot;-&quot;??_);_(@_)"/>
    <numFmt numFmtId="176" formatCode="_(* #,##0.0_);_(* \(#,##0.0\);_(* &quot;-&quot;??_);_(@_)"/>
    <numFmt numFmtId="177" formatCode="#,##0.0000;\-#,##0.0000"/>
    <numFmt numFmtId="178" formatCode="&quot;C$&quot;\ #,##0.00_);[Red]\(&quot;C$&quot;\ #,##0.00\)"/>
    <numFmt numFmtId="179" formatCode="&quot;C$&quot;\ #,##0.00"/>
    <numFmt numFmtId="180" formatCode="#,##0.0_ ;\-#,##0.0\ "/>
    <numFmt numFmtId="181" formatCode="#,##0.00_ ;\-#,##0.00\ "/>
    <numFmt numFmtId="182" formatCode="#,##0.0"/>
    <numFmt numFmtId="183" formatCode="0.000%"/>
    <numFmt numFmtId="184" formatCode="_-[$C$-4C0A]* #,##0.00_-;\-[$C$-4C0A]* #,##0.00_-;_-[$C$-4C0A]* &quot;-&quot;??_-;_-@_-"/>
    <numFmt numFmtId="185" formatCode="&quot;C$&quot;#,##0.00"/>
  </numFmts>
  <fonts count="207" x14ac:knownFonts="1">
    <font>
      <sz val="9"/>
      <name val="Helv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8"/>
      <name val="Eras Medium ITC"/>
      <family val="2"/>
    </font>
    <font>
      <b/>
      <sz val="8"/>
      <color indexed="12"/>
      <name val="Eras Medium ITC"/>
      <family val="2"/>
    </font>
    <font>
      <b/>
      <sz val="10"/>
      <name val="Eras Medium ITC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name val="Eras Medium ITC"/>
      <family val="2"/>
    </font>
    <font>
      <b/>
      <sz val="10"/>
      <color theme="1"/>
      <name val="Arial"/>
      <family val="2"/>
    </font>
    <font>
      <b/>
      <sz val="11"/>
      <color indexed="12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sz val="9"/>
      <name val="Helv"/>
    </font>
    <font>
      <b/>
      <sz val="14"/>
      <name val="Agency FB"/>
      <family val="2"/>
    </font>
    <font>
      <sz val="10"/>
      <name val="Arial"/>
      <family val="2"/>
    </font>
    <font>
      <sz val="6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sz val="8"/>
      <name val="Agency FB"/>
      <family val="2"/>
    </font>
    <font>
      <sz val="8"/>
      <color theme="1"/>
      <name val="Arial"/>
      <family val="2"/>
    </font>
    <font>
      <sz val="12"/>
      <name val="Helv"/>
    </font>
    <font>
      <b/>
      <sz val="12"/>
      <name val="Helv"/>
    </font>
    <font>
      <b/>
      <sz val="7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4"/>
      <name val="Cambria"/>
      <family val="1"/>
      <scheme val="major"/>
    </font>
    <font>
      <b/>
      <sz val="14"/>
      <color theme="3"/>
      <name val="Cambria"/>
      <family val="1"/>
      <scheme val="major"/>
    </font>
    <font>
      <b/>
      <sz val="12"/>
      <color theme="3"/>
      <name val="Arial"/>
      <family val="2"/>
    </font>
    <font>
      <b/>
      <sz val="8"/>
      <color theme="3"/>
      <name val="Cambria"/>
      <family val="1"/>
      <scheme val="major"/>
    </font>
    <font>
      <b/>
      <i/>
      <sz val="8"/>
      <color theme="3"/>
      <name val="Cambria"/>
      <family val="1"/>
      <scheme val="major"/>
    </font>
    <font>
      <sz val="10"/>
      <color theme="3"/>
      <name val="Arial"/>
      <family val="2"/>
    </font>
    <font>
      <sz val="11"/>
      <color theme="3"/>
      <name val="Arial"/>
      <family val="2"/>
    </font>
    <font>
      <b/>
      <sz val="11"/>
      <color theme="3"/>
      <name val="Calibri"/>
      <family val="2"/>
    </font>
    <font>
      <sz val="11"/>
      <color theme="3"/>
      <name val="Calibri"/>
      <family val="2"/>
    </font>
    <font>
      <sz val="9"/>
      <color theme="3"/>
      <name val="Helv"/>
    </font>
    <font>
      <b/>
      <sz val="11"/>
      <color theme="3"/>
      <name val="Arial"/>
      <family val="2"/>
    </font>
    <font>
      <sz val="8"/>
      <color theme="3"/>
      <name val="Arial"/>
      <family val="2"/>
    </font>
    <font>
      <sz val="6"/>
      <color theme="3"/>
      <name val="Arial"/>
      <family val="2"/>
    </font>
    <font>
      <b/>
      <sz val="8"/>
      <color theme="3"/>
      <name val="Arial"/>
      <family val="2"/>
    </font>
    <font>
      <sz val="9"/>
      <color theme="3"/>
      <name val="Arial"/>
      <family val="2"/>
    </font>
    <font>
      <b/>
      <sz val="9"/>
      <color theme="3"/>
      <name val="Arial"/>
      <family val="2"/>
    </font>
    <font>
      <b/>
      <sz val="16"/>
      <color theme="3"/>
      <name val="Arial"/>
      <family val="2"/>
    </font>
    <font>
      <b/>
      <sz val="10"/>
      <color theme="3"/>
      <name val="Arial"/>
      <family val="2"/>
    </font>
    <font>
      <b/>
      <sz val="9"/>
      <color theme="3"/>
      <name val="Helv"/>
    </font>
    <font>
      <sz val="10"/>
      <color theme="3"/>
      <name val="Eras Medium ITC"/>
      <family val="2"/>
    </font>
    <font>
      <b/>
      <sz val="14"/>
      <color theme="3"/>
      <name val="Arial"/>
      <family val="2"/>
    </font>
    <font>
      <b/>
      <sz val="7"/>
      <color theme="3"/>
      <name val="Arial"/>
      <family val="2"/>
    </font>
    <font>
      <sz val="16"/>
      <name val="Helv"/>
    </font>
    <font>
      <b/>
      <sz val="14"/>
      <color theme="0"/>
      <name val="Cambria"/>
      <family val="1"/>
      <scheme val="major"/>
    </font>
    <font>
      <b/>
      <sz val="11"/>
      <color theme="0"/>
      <name val="Cambria"/>
      <family val="1"/>
      <scheme val="major"/>
    </font>
    <font>
      <b/>
      <sz val="8"/>
      <color theme="0"/>
      <name val="Arial"/>
      <family val="2"/>
    </font>
    <font>
      <b/>
      <sz val="7"/>
      <color theme="2" tint="-0.89999084444715716"/>
      <name val="Arial"/>
      <family val="2"/>
    </font>
    <font>
      <b/>
      <sz val="7"/>
      <color theme="1"/>
      <name val="Arial"/>
      <family val="2"/>
    </font>
    <font>
      <b/>
      <sz val="12"/>
      <color theme="1"/>
      <name val="Arial"/>
      <family val="2"/>
    </font>
    <font>
      <b/>
      <sz val="8"/>
      <color rgb="FFFF0000"/>
      <name val="Arial"/>
      <family val="2"/>
    </font>
    <font>
      <b/>
      <sz val="8"/>
      <color theme="3" tint="-0.499984740745262"/>
      <name val="Arial"/>
      <family val="2"/>
    </font>
    <font>
      <b/>
      <sz val="7"/>
      <color theme="0"/>
      <name val="Arial"/>
      <family val="2"/>
    </font>
    <font>
      <b/>
      <sz val="7"/>
      <color rgb="FF002060"/>
      <name val="Arial"/>
      <family val="2"/>
    </font>
    <font>
      <b/>
      <sz val="7"/>
      <color theme="0"/>
      <name val="Cambria"/>
      <family val="1"/>
      <scheme val="major"/>
    </font>
    <font>
      <b/>
      <sz val="7"/>
      <color theme="0"/>
      <name val="Century Schoolbook"/>
      <family val="1"/>
    </font>
    <font>
      <b/>
      <sz val="7"/>
      <color theme="3"/>
      <name val="Century Schoolbook"/>
      <family val="1"/>
    </font>
    <font>
      <b/>
      <sz val="7"/>
      <color rgb="FFFF0000"/>
      <name val="Arial"/>
      <family val="2"/>
    </font>
    <font>
      <b/>
      <sz val="14"/>
      <color theme="1"/>
      <name val="Arial"/>
      <family val="2"/>
    </font>
    <font>
      <sz val="9"/>
      <color theme="1"/>
      <name val="Helv"/>
    </font>
    <font>
      <b/>
      <sz val="9"/>
      <color theme="1"/>
      <name val="Arial"/>
      <family val="2"/>
    </font>
    <font>
      <b/>
      <sz val="8"/>
      <color theme="1"/>
      <name val="Century Schoolbook"/>
      <family val="1"/>
    </font>
    <font>
      <b/>
      <sz val="8"/>
      <color theme="1"/>
      <name val="Helv"/>
    </font>
    <font>
      <sz val="8"/>
      <name val="Helv"/>
    </font>
    <font>
      <b/>
      <sz val="6"/>
      <color theme="3"/>
      <name val="Arial"/>
      <family val="2"/>
    </font>
    <font>
      <b/>
      <sz val="20"/>
      <color theme="3"/>
      <name val="Cambria"/>
      <family val="1"/>
      <scheme val="major"/>
    </font>
    <font>
      <sz val="11"/>
      <name val="Arial"/>
      <family val="2"/>
    </font>
    <font>
      <b/>
      <sz val="7"/>
      <name val="Century Schoolbook"/>
      <family val="1"/>
    </font>
    <font>
      <b/>
      <sz val="9"/>
      <name val="Arial"/>
      <family val="2"/>
    </font>
    <font>
      <b/>
      <sz val="5"/>
      <color theme="1"/>
      <name val="Arial"/>
      <family val="2"/>
    </font>
    <font>
      <sz val="9"/>
      <name val="Arial"/>
      <family val="2"/>
    </font>
    <font>
      <b/>
      <sz val="7"/>
      <color theme="3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1"/>
      <color theme="3"/>
      <name val="Cambria"/>
      <family val="1"/>
      <scheme val="major"/>
    </font>
    <font>
      <b/>
      <sz val="12"/>
      <color theme="1"/>
      <name val="Verdana"/>
      <family val="2"/>
    </font>
    <font>
      <b/>
      <sz val="9"/>
      <name val="Helv"/>
    </font>
    <font>
      <b/>
      <sz val="10"/>
      <color rgb="FFFF0000"/>
      <name val="Arial"/>
      <family val="2"/>
    </font>
    <font>
      <b/>
      <sz val="9"/>
      <color rgb="FFFF0000"/>
      <name val="Arial"/>
      <family val="2"/>
    </font>
    <font>
      <b/>
      <sz val="8"/>
      <color rgb="FF000000"/>
      <name val="Arial"/>
      <family val="2"/>
    </font>
    <font>
      <sz val="13"/>
      <color theme="1"/>
      <name val="Arial"/>
      <family val="2"/>
    </font>
    <font>
      <b/>
      <sz val="14"/>
      <color theme="4" tint="-0.499984740745262"/>
      <name val="Arial"/>
      <family val="2"/>
    </font>
    <font>
      <sz val="12"/>
      <color theme="3"/>
      <name val="Arial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3"/>
      <name val="Eras Medium ITC"/>
      <family val="2"/>
    </font>
    <font>
      <sz val="11"/>
      <name val="Eras Medium ITC"/>
      <family val="2"/>
    </font>
    <font>
      <b/>
      <sz val="18"/>
      <color theme="3"/>
      <name val="Arial"/>
      <family val="2"/>
    </font>
    <font>
      <sz val="9"/>
      <color theme="3"/>
      <name val="Eras Medium ITC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4"/>
      <color theme="3"/>
      <name val="Arial"/>
      <family val="2"/>
    </font>
    <font>
      <sz val="8"/>
      <color theme="3"/>
      <name val="Century Schoolbook"/>
      <family val="1"/>
    </font>
    <font>
      <b/>
      <sz val="9"/>
      <color theme="3"/>
      <name val="Cambria"/>
      <family val="1"/>
      <scheme val="major"/>
    </font>
    <font>
      <sz val="11"/>
      <color rgb="FF000000"/>
      <name val="Calibri"/>
      <family val="2"/>
      <scheme val="minor"/>
    </font>
    <font>
      <sz val="8"/>
      <color theme="0"/>
      <name val="Arial"/>
      <family val="2"/>
    </font>
    <font>
      <sz val="7"/>
      <color theme="1"/>
      <name val="Arial"/>
      <family val="2"/>
    </font>
    <font>
      <sz val="8"/>
      <color rgb="FFFF0000"/>
      <name val="Arial"/>
      <family val="2"/>
    </font>
    <font>
      <sz val="5"/>
      <color theme="1"/>
      <name val="Arial"/>
      <family val="2"/>
    </font>
    <font>
      <b/>
      <sz val="11"/>
      <color rgb="FF92D050"/>
      <name val="Arial"/>
      <family val="2"/>
    </font>
    <font>
      <b/>
      <sz val="10"/>
      <color rgb="FF92D050"/>
      <name val="Arial"/>
      <family val="2"/>
    </font>
    <font>
      <b/>
      <sz val="16"/>
      <color theme="1"/>
      <name val="Arial"/>
      <family val="2"/>
    </font>
    <font>
      <b/>
      <sz val="10"/>
      <color theme="0"/>
      <name val="Arial"/>
      <family val="2"/>
    </font>
    <font>
      <b/>
      <sz val="12"/>
      <color rgb="FF92D050"/>
      <name val="Arial"/>
      <family val="2"/>
    </font>
    <font>
      <b/>
      <sz val="20"/>
      <color theme="3"/>
      <name val="Agency FB"/>
      <family val="2"/>
    </font>
    <font>
      <b/>
      <sz val="12"/>
      <color theme="3"/>
      <name val="Calibri"/>
      <family val="2"/>
    </font>
    <font>
      <b/>
      <sz val="12"/>
      <name val="Calibri"/>
      <family val="2"/>
    </font>
    <font>
      <b/>
      <sz val="12"/>
      <color indexed="12"/>
      <name val="Calibri"/>
      <family val="2"/>
    </font>
    <font>
      <b/>
      <sz val="10"/>
      <color rgb="FF000000"/>
      <name val="Arial"/>
      <family val="2"/>
    </font>
    <font>
      <b/>
      <sz val="16"/>
      <color theme="3"/>
      <name val="Cambria"/>
      <family val="1"/>
      <scheme val="major"/>
    </font>
    <font>
      <b/>
      <sz val="18"/>
      <color theme="3"/>
      <name val="Cambria"/>
      <family val="1"/>
      <scheme val="major"/>
    </font>
    <font>
      <b/>
      <sz val="22"/>
      <color theme="3"/>
      <name val="Cambria"/>
      <family val="1"/>
      <scheme val="major"/>
    </font>
    <font>
      <b/>
      <sz val="22"/>
      <name val="Helv"/>
    </font>
    <font>
      <b/>
      <sz val="22"/>
      <color theme="3"/>
      <name val="Arial"/>
      <family val="2"/>
    </font>
    <font>
      <b/>
      <sz val="14"/>
      <color theme="3"/>
      <name val="Helv"/>
    </font>
    <font>
      <b/>
      <sz val="18"/>
      <name val="Arial"/>
      <family val="2"/>
    </font>
    <font>
      <b/>
      <sz val="18"/>
      <color rgb="FF002060"/>
      <name val="Arial"/>
      <family val="2"/>
    </font>
    <font>
      <b/>
      <sz val="18"/>
      <color theme="1"/>
      <name val="Arial"/>
      <family val="2"/>
    </font>
    <font>
      <sz val="18"/>
      <name val="Helv"/>
    </font>
    <font>
      <sz val="10"/>
      <name val="Agency FB"/>
      <family val="2"/>
    </font>
    <font>
      <sz val="16"/>
      <color theme="3"/>
      <name val="Arial"/>
      <family val="2"/>
    </font>
    <font>
      <b/>
      <sz val="20"/>
      <color theme="4"/>
      <name val="Agency FB"/>
      <family val="2"/>
    </font>
    <font>
      <sz val="12"/>
      <name val="Arial Black"/>
      <family val="2"/>
    </font>
    <font>
      <b/>
      <sz val="11"/>
      <color theme="1"/>
      <name val="Cambria"/>
      <family val="1"/>
      <scheme val="major"/>
    </font>
    <font>
      <b/>
      <sz val="11"/>
      <name val="Helv"/>
    </font>
    <font>
      <b/>
      <sz val="10"/>
      <name val="Helv"/>
    </font>
    <font>
      <b/>
      <sz val="20"/>
      <name val="Helv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3"/>
      <name val="Calibri"/>
      <family val="2"/>
    </font>
    <font>
      <sz val="16"/>
      <color theme="3"/>
      <name val="Calibri"/>
      <family val="2"/>
    </font>
    <font>
      <b/>
      <sz val="14"/>
      <color theme="3"/>
      <name val="Calibri"/>
      <family val="2"/>
    </font>
    <font>
      <sz val="14"/>
      <color theme="3"/>
      <name val="Calibri"/>
      <family val="2"/>
    </font>
    <font>
      <b/>
      <sz val="14"/>
      <name val="Calibri"/>
      <family val="2"/>
    </font>
    <font>
      <b/>
      <i/>
      <sz val="14"/>
      <color theme="3"/>
      <name val="Cambria"/>
      <family val="1"/>
      <scheme val="major"/>
    </font>
    <font>
      <b/>
      <sz val="14"/>
      <name val="Eras Medium ITC"/>
      <family val="2"/>
    </font>
    <font>
      <b/>
      <sz val="16"/>
      <name val="Calibri"/>
      <family val="2"/>
    </font>
    <font>
      <b/>
      <sz val="16"/>
      <name val="Eras Medium ITC"/>
      <family val="2"/>
    </font>
    <font>
      <sz val="16"/>
      <color theme="3"/>
      <name val="Eras Medium ITC"/>
      <family val="2"/>
    </font>
    <font>
      <b/>
      <sz val="10"/>
      <color theme="3"/>
      <name val="Cambria"/>
      <family val="1"/>
      <scheme val="major"/>
    </font>
    <font>
      <b/>
      <sz val="10"/>
      <name val="Calibri"/>
      <family val="2"/>
    </font>
    <font>
      <b/>
      <sz val="10"/>
      <color theme="1"/>
      <name val="Cambria"/>
      <family val="1"/>
      <scheme val="major"/>
    </font>
    <font>
      <b/>
      <i/>
      <sz val="10"/>
      <color theme="3"/>
      <name val="Cambria"/>
      <family val="1"/>
      <scheme val="major"/>
    </font>
    <font>
      <sz val="10"/>
      <name val="Helv"/>
    </font>
    <font>
      <b/>
      <sz val="10"/>
      <color theme="3"/>
      <name val="Calibri"/>
      <family val="2"/>
    </font>
    <font>
      <sz val="10"/>
      <color theme="3"/>
      <name val="Calibri"/>
      <family val="2"/>
    </font>
    <font>
      <sz val="10"/>
      <color theme="3"/>
      <name val="Helv"/>
    </font>
    <font>
      <b/>
      <sz val="10"/>
      <color theme="3"/>
      <name val="Helv"/>
    </font>
    <font>
      <b/>
      <sz val="10"/>
      <color indexed="12"/>
      <name val="Calibri"/>
      <family val="2"/>
    </font>
    <font>
      <b/>
      <sz val="18"/>
      <name val="Eras Medium ITC"/>
      <family val="2"/>
    </font>
    <font>
      <b/>
      <sz val="20"/>
      <name val="Arial Narrow"/>
      <family val="2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6"/>
      <name val="Arial Narrow"/>
      <family val="2"/>
    </font>
    <font>
      <b/>
      <sz val="16"/>
      <name val="Arial Narrow"/>
      <family val="2"/>
    </font>
    <font>
      <sz val="14"/>
      <name val="Arial Narrow"/>
      <family val="2"/>
    </font>
    <font>
      <sz val="16"/>
      <color theme="4" tint="-0.249977111117893"/>
      <name val="Arial"/>
      <family val="2"/>
    </font>
    <font>
      <b/>
      <sz val="14"/>
      <name val="Arial Narrow"/>
      <family val="2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3"/>
      <name val="Cambria"/>
      <family val="1"/>
      <scheme val="major"/>
    </font>
    <font>
      <b/>
      <sz val="18"/>
      <color theme="3"/>
      <name val="Calibri"/>
      <family val="2"/>
    </font>
    <font>
      <b/>
      <sz val="14"/>
      <color theme="4" tint="-0.499984740745262"/>
      <name val="Cambria"/>
      <family val="1"/>
      <scheme val="major"/>
    </font>
    <font>
      <b/>
      <sz val="16"/>
      <color theme="4" tint="-0.499984740745262"/>
      <name val="Cambria"/>
      <family val="1"/>
      <scheme val="major"/>
    </font>
    <font>
      <sz val="14"/>
      <name val="Helv"/>
    </font>
    <font>
      <b/>
      <sz val="14"/>
      <name val="Helv"/>
    </font>
    <font>
      <b/>
      <sz val="18"/>
      <name val="Aharoni"/>
      <charset val="177"/>
    </font>
    <font>
      <b/>
      <sz val="18"/>
      <name val="Helv"/>
    </font>
    <font>
      <b/>
      <sz val="16"/>
      <name val="Helv"/>
    </font>
    <font>
      <sz val="11"/>
      <color theme="1"/>
      <name val="HELV"/>
    </font>
    <font>
      <sz val="26"/>
      <color theme="3"/>
      <name val="Arial"/>
      <family val="2"/>
    </font>
    <font>
      <b/>
      <sz val="26"/>
      <color theme="3"/>
      <name val="Arial"/>
      <family val="2"/>
    </font>
    <font>
      <sz val="18"/>
      <color theme="3"/>
      <name val="Arial"/>
      <family val="2"/>
    </font>
    <font>
      <sz val="20"/>
      <color theme="3"/>
      <name val="Arial"/>
      <family val="2"/>
    </font>
    <font>
      <b/>
      <sz val="20"/>
      <name val="Arial"/>
      <family val="2"/>
    </font>
    <font>
      <b/>
      <sz val="20"/>
      <color theme="1"/>
      <name val="Arial"/>
      <family val="2"/>
    </font>
    <font>
      <sz val="20"/>
      <name val="Helv"/>
    </font>
    <font>
      <sz val="20"/>
      <name val="Bell MT"/>
      <family val="1"/>
    </font>
    <font>
      <sz val="16"/>
      <name val="Arial Rounded MT Bold"/>
      <family val="2"/>
    </font>
    <font>
      <sz val="9"/>
      <name val="Arial Narrow"/>
      <family val="2"/>
    </font>
    <font>
      <sz val="16"/>
      <name val="Arial"/>
      <family val="2"/>
    </font>
    <font>
      <b/>
      <sz val="28"/>
      <color theme="3"/>
      <name val="Cambria"/>
      <family val="1"/>
      <scheme val="major"/>
    </font>
    <font>
      <b/>
      <sz val="24"/>
      <color theme="3"/>
      <name val="Arial"/>
      <family val="2"/>
    </font>
    <font>
      <sz val="24"/>
      <color theme="3"/>
      <name val="Arial"/>
      <family val="2"/>
    </font>
    <font>
      <sz val="28"/>
      <color theme="3"/>
      <name val="Arial"/>
      <family val="2"/>
    </font>
    <font>
      <b/>
      <sz val="36"/>
      <color theme="3"/>
      <name val="Arial"/>
      <family val="2"/>
    </font>
    <font>
      <sz val="20"/>
      <color theme="3"/>
      <name val="Eras Medium ITC"/>
      <family val="2"/>
    </font>
    <font>
      <b/>
      <sz val="20"/>
      <color theme="3"/>
      <name val="Arial"/>
      <family val="2"/>
    </font>
    <font>
      <sz val="20"/>
      <color theme="1"/>
      <name val="HELV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BC9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70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3">
    <xf numFmtId="39" fontId="0" fillId="0" borderId="0"/>
    <xf numFmtId="167" fontId="16" fillId="0" borderId="0" applyFont="0" applyFill="0" applyBorder="0" applyAlignment="0" applyProtection="0"/>
    <xf numFmtId="0" fontId="16" fillId="0" borderId="0"/>
    <xf numFmtId="168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4" fillId="0" borderId="0"/>
    <xf numFmtId="170" fontId="24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0" fontId="16" fillId="0" borderId="0"/>
    <xf numFmtId="170" fontId="16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9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7" fillId="0" borderId="0"/>
    <xf numFmtId="167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9" fillId="0" borderId="0"/>
    <xf numFmtId="39" fontId="22" fillId="0" borderId="0"/>
    <xf numFmtId="43" fontId="16" fillId="0" borderId="0" applyFont="0" applyFill="0" applyBorder="0" applyAlignment="0" applyProtection="0"/>
    <xf numFmtId="168" fontId="16" fillId="0" borderId="0" applyFont="0" applyFill="0" applyBorder="0" applyAlignment="0" applyProtection="0"/>
    <xf numFmtId="166" fontId="2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9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09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41">
    <xf numFmtId="39" fontId="0" fillId="0" borderId="0" xfId="0"/>
    <xf numFmtId="39" fontId="11" fillId="0" borderId="0" xfId="0" applyFont="1" applyAlignment="1">
      <alignment vertical="center"/>
    </xf>
    <xf numFmtId="1" fontId="19" fillId="0" borderId="0" xfId="0" applyNumberFormat="1" applyFont="1" applyAlignment="1" applyProtection="1">
      <alignment horizontal="center" vertical="center"/>
      <protection locked="0"/>
    </xf>
    <xf numFmtId="39" fontId="19" fillId="0" borderId="0" xfId="0" applyFont="1" applyAlignment="1" applyProtection="1">
      <alignment vertical="center"/>
      <protection locked="0"/>
    </xf>
    <xf numFmtId="39" fontId="19" fillId="0" borderId="0" xfId="0" applyFont="1" applyAlignment="1" applyProtection="1">
      <alignment horizontal="center" vertical="center"/>
      <protection locked="0"/>
    </xf>
    <xf numFmtId="39" fontId="11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39" fontId="17" fillId="2" borderId="0" xfId="0" applyFont="1" applyFill="1" applyAlignment="1">
      <alignment vertical="center"/>
    </xf>
    <xf numFmtId="39" fontId="11" fillId="2" borderId="0" xfId="0" applyFont="1" applyFill="1" applyAlignment="1" applyProtection="1">
      <alignment vertical="center"/>
      <protection locked="0"/>
    </xf>
    <xf numFmtId="1" fontId="19" fillId="2" borderId="0" xfId="0" applyNumberFormat="1" applyFont="1" applyFill="1" applyAlignment="1" applyProtection="1">
      <alignment horizontal="center" vertical="center"/>
      <protection locked="0"/>
    </xf>
    <xf numFmtId="39" fontId="19" fillId="2" borderId="0" xfId="0" applyFont="1" applyFill="1" applyAlignment="1" applyProtection="1">
      <alignment vertical="center"/>
      <protection locked="0"/>
    </xf>
    <xf numFmtId="39" fontId="11" fillId="2" borderId="0" xfId="0" applyFont="1" applyFill="1" applyAlignment="1">
      <alignment vertical="center"/>
    </xf>
    <xf numFmtId="39" fontId="13" fillId="2" borderId="0" xfId="0" applyFont="1" applyFill="1" applyAlignment="1" applyProtection="1">
      <alignment vertical="center"/>
      <protection locked="0"/>
    </xf>
    <xf numFmtId="39" fontId="12" fillId="2" borderId="0" xfId="0" applyFont="1" applyFill="1" applyAlignment="1">
      <alignment vertical="center"/>
    </xf>
    <xf numFmtId="39" fontId="14" fillId="2" borderId="0" xfId="0" applyFont="1" applyFill="1" applyAlignment="1">
      <alignment vertical="center"/>
    </xf>
    <xf numFmtId="39" fontId="23" fillId="2" borderId="0" xfId="0" applyFont="1" applyFill="1" applyAlignment="1">
      <alignment vertical="center"/>
    </xf>
    <xf numFmtId="0" fontId="20" fillId="0" borderId="0" xfId="5" applyFont="1"/>
    <xf numFmtId="0" fontId="16" fillId="0" borderId="0" xfId="5" applyFont="1" applyAlignment="1">
      <alignment horizontal="center"/>
    </xf>
    <xf numFmtId="170" fontId="20" fillId="0" borderId="0" xfId="6" applyFont="1" applyFill="1" applyProtection="1"/>
    <xf numFmtId="4" fontId="20" fillId="0" borderId="0" xfId="5" applyNumberFormat="1" applyFont="1"/>
    <xf numFmtId="0" fontId="25" fillId="0" borderId="0" xfId="5" applyFont="1" applyAlignment="1">
      <alignment horizontal="center"/>
    </xf>
    <xf numFmtId="0" fontId="16" fillId="0" borderId="0" xfId="5" applyFont="1"/>
    <xf numFmtId="39" fontId="30" fillId="0" borderId="0" xfId="0" applyFont="1"/>
    <xf numFmtId="39" fontId="30" fillId="0" borderId="0" xfId="0" applyFont="1" applyAlignment="1">
      <alignment horizontal="center"/>
    </xf>
    <xf numFmtId="39" fontId="30" fillId="0" borderId="0" xfId="0" applyFont="1" applyAlignment="1">
      <alignment horizontal="center" vertical="center"/>
    </xf>
    <xf numFmtId="39" fontId="11" fillId="2" borderId="0" xfId="0" applyFont="1" applyFill="1" applyAlignment="1" applyProtection="1">
      <alignment horizontal="left" vertical="center"/>
      <protection locked="0"/>
    </xf>
    <xf numFmtId="0" fontId="37" fillId="2" borderId="0" xfId="2" applyFont="1" applyFill="1" applyAlignment="1" applyProtection="1">
      <alignment horizontal="center"/>
      <protection hidden="1"/>
    </xf>
    <xf numFmtId="39" fontId="42" fillId="2" borderId="0" xfId="0" applyFont="1" applyFill="1" applyAlignment="1" applyProtection="1">
      <alignment vertical="center"/>
      <protection locked="0"/>
    </xf>
    <xf numFmtId="39" fontId="42" fillId="2" borderId="0" xfId="0" applyFont="1" applyFill="1" applyAlignment="1" applyProtection="1">
      <alignment horizontal="center" vertical="center"/>
      <protection locked="0"/>
    </xf>
    <xf numFmtId="1" fontId="42" fillId="2" borderId="0" xfId="0" applyNumberFormat="1" applyFont="1" applyFill="1" applyAlignment="1" applyProtection="1">
      <alignment horizontal="center" vertical="center"/>
      <protection locked="0"/>
    </xf>
    <xf numFmtId="39" fontId="42" fillId="2" borderId="0" xfId="0" applyFont="1" applyFill="1" applyAlignment="1">
      <alignment vertical="center"/>
    </xf>
    <xf numFmtId="39" fontId="42" fillId="2" borderId="0" xfId="0" quotePrefix="1" applyFont="1" applyFill="1" applyAlignment="1" applyProtection="1">
      <alignment vertical="center"/>
      <protection locked="0"/>
    </xf>
    <xf numFmtId="39" fontId="42" fillId="2" borderId="0" xfId="0" applyFont="1" applyFill="1" applyAlignment="1" applyProtection="1">
      <alignment horizontal="right" vertical="center"/>
      <protection locked="0"/>
    </xf>
    <xf numFmtId="39" fontId="42" fillId="2" borderId="0" xfId="0" applyFont="1" applyFill="1" applyAlignment="1">
      <alignment horizontal="left" vertical="center"/>
    </xf>
    <xf numFmtId="39" fontId="44" fillId="0" borderId="0" xfId="0" applyFont="1"/>
    <xf numFmtId="39" fontId="37" fillId="2" borderId="0" xfId="0" applyFont="1" applyFill="1" applyAlignment="1">
      <alignment horizontal="center"/>
    </xf>
    <xf numFmtId="0" fontId="28" fillId="0" borderId="0" xfId="5" applyFont="1"/>
    <xf numFmtId="39" fontId="53" fillId="0" borderId="0" xfId="0" applyFont="1"/>
    <xf numFmtId="0" fontId="36" fillId="0" borderId="0" xfId="5" applyFont="1" applyAlignment="1" applyProtection="1">
      <alignment horizontal="center"/>
      <protection hidden="1"/>
    </xf>
    <xf numFmtId="0" fontId="47" fillId="0" borderId="0" xfId="9" applyFont="1" applyAlignment="1">
      <alignment horizontal="center" vertical="center"/>
    </xf>
    <xf numFmtId="0" fontId="47" fillId="0" borderId="0" xfId="9" applyFont="1" applyAlignment="1">
      <alignment horizontal="left" vertical="center"/>
    </xf>
    <xf numFmtId="0" fontId="52" fillId="0" borderId="0" xfId="9" applyFont="1" applyAlignment="1">
      <alignment horizontal="center"/>
    </xf>
    <xf numFmtId="0" fontId="48" fillId="0" borderId="0" xfId="9" applyFont="1" applyAlignment="1">
      <alignment horizontal="left" vertical="center"/>
    </xf>
    <xf numFmtId="0" fontId="48" fillId="0" borderId="0" xfId="9" applyFont="1"/>
    <xf numFmtId="0" fontId="50" fillId="0" borderId="0" xfId="9" applyFont="1"/>
    <xf numFmtId="4" fontId="50" fillId="0" borderId="0" xfId="9" applyNumberFormat="1" applyFont="1"/>
    <xf numFmtId="170" fontId="50" fillId="0" borderId="0" xfId="6" applyFont="1" applyFill="1" applyProtection="1"/>
    <xf numFmtId="0" fontId="46" fillId="0" borderId="0" xfId="9" applyFont="1"/>
    <xf numFmtId="39" fontId="43" fillId="2" borderId="0" xfId="0" applyFont="1" applyFill="1" applyAlignment="1">
      <alignment horizontal="center" vertical="center"/>
    </xf>
    <xf numFmtId="39" fontId="42" fillId="2" borderId="0" xfId="0" applyFont="1" applyFill="1" applyAlignment="1">
      <alignment horizontal="center" vertical="center"/>
    </xf>
    <xf numFmtId="0" fontId="57" fillId="0" borderId="0" xfId="0" applyNumberFormat="1" applyFont="1" applyAlignment="1">
      <alignment horizontal="center" vertical="center"/>
    </xf>
    <xf numFmtId="171" fontId="31" fillId="0" borderId="0" xfId="0" applyNumberFormat="1" applyFont="1" applyAlignment="1">
      <alignment horizontal="center" vertical="center"/>
    </xf>
    <xf numFmtId="39" fontId="43" fillId="2" borderId="0" xfId="0" applyFont="1" applyFill="1" applyAlignment="1" applyProtection="1">
      <alignment horizontal="center" vertical="center"/>
      <protection locked="0"/>
    </xf>
    <xf numFmtId="1" fontId="48" fillId="2" borderId="5" xfId="9" applyNumberFormat="1" applyFont="1" applyFill="1" applyBorder="1" applyAlignment="1">
      <alignment horizontal="center" vertical="center"/>
    </xf>
    <xf numFmtId="1" fontId="21" fillId="2" borderId="5" xfId="9" applyNumberFormat="1" applyFont="1" applyFill="1" applyBorder="1" applyAlignment="1" applyProtection="1">
      <alignment horizontal="center" vertical="center" wrapText="1"/>
      <protection hidden="1"/>
    </xf>
    <xf numFmtId="1" fontId="21" fillId="2" borderId="5" xfId="9" applyNumberFormat="1" applyFont="1" applyFill="1" applyBorder="1" applyAlignment="1">
      <alignment horizontal="center" vertical="center"/>
    </xf>
    <xf numFmtId="0" fontId="56" fillId="0" borderId="5" xfId="9" applyFont="1" applyBorder="1" applyAlignment="1">
      <alignment horizontal="left" vertical="top"/>
    </xf>
    <xf numFmtId="4" fontId="65" fillId="0" borderId="5" xfId="9" applyNumberFormat="1" applyFont="1" applyBorder="1" applyAlignment="1" applyProtection="1">
      <alignment horizontal="center" vertical="center" wrapText="1"/>
      <protection hidden="1"/>
    </xf>
    <xf numFmtId="0" fontId="60" fillId="7" borderId="5" xfId="9" applyFont="1" applyFill="1" applyBorder="1" applyAlignment="1" applyProtection="1">
      <alignment horizontal="center" vertical="center" wrapText="1"/>
      <protection hidden="1"/>
    </xf>
    <xf numFmtId="170" fontId="60" fillId="8" borderId="5" xfId="6" applyFont="1" applyFill="1" applyBorder="1" applyAlignment="1" applyProtection="1">
      <alignment horizontal="center" vertical="center" wrapText="1"/>
      <protection hidden="1"/>
    </xf>
    <xf numFmtId="0" fontId="60" fillId="8" borderId="5" xfId="9" applyFont="1" applyFill="1" applyBorder="1" applyAlignment="1" applyProtection="1">
      <alignment horizontal="center" vertical="center" wrapText="1"/>
      <protection hidden="1"/>
    </xf>
    <xf numFmtId="4" fontId="46" fillId="0" borderId="0" xfId="9" applyNumberFormat="1" applyFont="1" applyAlignment="1">
      <alignment horizontal="center"/>
    </xf>
    <xf numFmtId="0" fontId="56" fillId="2" borderId="0" xfId="9" applyFont="1" applyFill="1" applyAlignment="1">
      <alignment horizontal="left" vertical="top"/>
    </xf>
    <xf numFmtId="4" fontId="65" fillId="2" borderId="0" xfId="9" applyNumberFormat="1" applyFont="1" applyFill="1" applyAlignment="1" applyProtection="1">
      <alignment horizontal="center" vertical="center" wrapText="1"/>
      <protection hidden="1"/>
    </xf>
    <xf numFmtId="3" fontId="45" fillId="2" borderId="0" xfId="9" applyNumberFormat="1" applyFont="1" applyFill="1" applyAlignment="1" applyProtection="1">
      <alignment horizontal="center" vertical="center"/>
      <protection hidden="1"/>
    </xf>
    <xf numFmtId="4" fontId="48" fillId="2" borderId="0" xfId="9" applyNumberFormat="1" applyFont="1" applyFill="1" applyAlignment="1" applyProtection="1">
      <alignment horizontal="center" vertical="center" wrapText="1"/>
      <protection hidden="1"/>
    </xf>
    <xf numFmtId="4" fontId="45" fillId="2" borderId="0" xfId="9" applyNumberFormat="1" applyFont="1" applyFill="1" applyAlignment="1" applyProtection="1">
      <alignment horizontal="center" vertical="center"/>
      <protection hidden="1"/>
    </xf>
    <xf numFmtId="39" fontId="0" fillId="2" borderId="0" xfId="0" applyFill="1"/>
    <xf numFmtId="0" fontId="49" fillId="0" borderId="0" xfId="9" applyFont="1"/>
    <xf numFmtId="4" fontId="49" fillId="0" borderId="0" xfId="9" applyNumberFormat="1" applyFont="1"/>
    <xf numFmtId="170" fontId="46" fillId="0" borderId="0" xfId="6" applyFont="1" applyFill="1" applyBorder="1" applyProtection="1"/>
    <xf numFmtId="0" fontId="40" fillId="0" borderId="0" xfId="9" applyFont="1" applyAlignment="1">
      <alignment horizontal="center" vertical="center" wrapText="1"/>
    </xf>
    <xf numFmtId="0" fontId="45" fillId="0" borderId="5" xfId="9" applyFont="1" applyBorder="1" applyAlignment="1">
      <alignment horizontal="left" vertical="top"/>
    </xf>
    <xf numFmtId="0" fontId="60" fillId="6" borderId="5" xfId="9" applyFont="1" applyFill="1" applyBorder="1" applyAlignment="1" applyProtection="1">
      <alignment horizontal="center" vertical="center" textRotation="90" wrapText="1"/>
      <protection hidden="1"/>
    </xf>
    <xf numFmtId="0" fontId="36" fillId="2" borderId="0" xfId="2" applyFont="1" applyFill="1" applyProtection="1">
      <protection hidden="1"/>
    </xf>
    <xf numFmtId="0" fontId="36" fillId="2" borderId="0" xfId="2" applyFont="1" applyFill="1" applyAlignment="1" applyProtection="1">
      <alignment horizontal="left" vertical="top"/>
      <protection hidden="1"/>
    </xf>
    <xf numFmtId="1" fontId="40" fillId="2" borderId="5" xfId="0" applyNumberFormat="1" applyFont="1" applyFill="1" applyBorder="1" applyAlignment="1" applyProtection="1">
      <alignment horizontal="center" vertical="center"/>
      <protection locked="0"/>
    </xf>
    <xf numFmtId="39" fontId="41" fillId="2" borderId="5" xfId="0" applyFont="1" applyFill="1" applyBorder="1" applyAlignment="1">
      <alignment horizontal="left" vertical="center" wrapText="1"/>
    </xf>
    <xf numFmtId="39" fontId="41" fillId="2" borderId="5" xfId="0" applyFont="1" applyFill="1" applyBorder="1" applyAlignment="1">
      <alignment horizontal="center" vertical="center" wrapText="1"/>
    </xf>
    <xf numFmtId="171" fontId="41" fillId="2" borderId="5" xfId="0" applyNumberFormat="1" applyFont="1" applyFill="1" applyBorder="1" applyAlignment="1">
      <alignment horizontal="center" vertical="center" wrapText="1"/>
    </xf>
    <xf numFmtId="1" fontId="40" fillId="2" borderId="5" xfId="1" applyNumberFormat="1" applyFont="1" applyFill="1" applyBorder="1" applyAlignment="1" applyProtection="1">
      <alignment horizontal="center" vertical="center"/>
      <protection locked="0"/>
    </xf>
    <xf numFmtId="167" fontId="40" fillId="2" borderId="5" xfId="1" applyFont="1" applyFill="1" applyBorder="1" applyAlignment="1">
      <alignment horizontal="center" vertical="center"/>
    </xf>
    <xf numFmtId="167" fontId="37" fillId="2" borderId="5" xfId="1" applyFont="1" applyFill="1" applyBorder="1" applyAlignment="1">
      <alignment horizontal="center" vertical="center"/>
    </xf>
    <xf numFmtId="39" fontId="40" fillId="2" borderId="5" xfId="0" applyFont="1" applyFill="1" applyBorder="1" applyAlignment="1">
      <alignment horizontal="center" vertical="center"/>
    </xf>
    <xf numFmtId="169" fontId="54" fillId="2" borderId="5" xfId="0" applyNumberFormat="1" applyFont="1" applyFill="1" applyBorder="1" applyAlignment="1">
      <alignment horizontal="center" vertical="center"/>
    </xf>
    <xf numFmtId="39" fontId="37" fillId="2" borderId="5" xfId="0" applyFont="1" applyFill="1" applyBorder="1" applyAlignment="1" applyProtection="1">
      <alignment horizontal="center" vertical="center"/>
      <protection locked="0"/>
    </xf>
    <xf numFmtId="167" fontId="37" fillId="2" borderId="5" xfId="1" applyFont="1" applyFill="1" applyBorder="1" applyAlignment="1" applyProtection="1">
      <alignment vertical="center"/>
    </xf>
    <xf numFmtId="167" fontId="52" fillId="2" borderId="5" xfId="1" applyFont="1" applyFill="1" applyBorder="1" applyAlignment="1" applyProtection="1">
      <alignment horizontal="center" vertical="center" wrapText="1"/>
    </xf>
    <xf numFmtId="4" fontId="65" fillId="2" borderId="5" xfId="9" applyNumberFormat="1" applyFont="1" applyFill="1" applyBorder="1" applyAlignment="1" applyProtection="1">
      <alignment horizontal="center" vertical="center" wrapText="1"/>
      <protection hidden="1"/>
    </xf>
    <xf numFmtId="0" fontId="33" fillId="0" borderId="5" xfId="9" applyFont="1" applyBorder="1" applyAlignment="1">
      <alignment horizontal="left" vertical="center" wrapText="1"/>
    </xf>
    <xf numFmtId="1" fontId="26" fillId="2" borderId="5" xfId="9" applyNumberFormat="1" applyFont="1" applyFill="1" applyBorder="1" applyAlignment="1" applyProtection="1">
      <alignment horizontal="center" vertical="center" wrapText="1"/>
      <protection hidden="1"/>
    </xf>
    <xf numFmtId="1" fontId="26" fillId="0" borderId="5" xfId="9" applyNumberFormat="1" applyFont="1" applyBorder="1" applyAlignment="1">
      <alignment horizontal="center" vertical="center" wrapText="1"/>
    </xf>
    <xf numFmtId="10" fontId="26" fillId="0" borderId="5" xfId="9" applyNumberFormat="1" applyFont="1" applyBorder="1" applyAlignment="1" applyProtection="1">
      <alignment horizontal="center" vertical="center" wrapText="1"/>
      <protection hidden="1"/>
    </xf>
    <xf numFmtId="0" fontId="26" fillId="7" borderId="5" xfId="9" applyFont="1" applyFill="1" applyBorder="1" applyAlignment="1" applyProtection="1">
      <alignment horizontal="center" vertical="center" wrapText="1"/>
      <protection hidden="1"/>
    </xf>
    <xf numFmtId="0" fontId="26" fillId="2" borderId="0" xfId="9" applyFont="1" applyFill="1" applyAlignment="1" applyProtection="1">
      <alignment horizontal="center" vertical="center" textRotation="90" wrapText="1"/>
      <protection hidden="1"/>
    </xf>
    <xf numFmtId="0" fontId="33" fillId="2" borderId="0" xfId="9" applyFont="1" applyFill="1" applyAlignment="1">
      <alignment horizontal="left" vertical="center" wrapText="1"/>
    </xf>
    <xf numFmtId="1" fontId="26" fillId="2" borderId="0" xfId="9" applyNumberFormat="1" applyFont="1" applyFill="1" applyAlignment="1">
      <alignment horizontal="center" vertical="center"/>
    </xf>
    <xf numFmtId="1" fontId="26" fillId="2" borderId="0" xfId="9" applyNumberFormat="1" applyFont="1" applyFill="1" applyAlignment="1" applyProtection="1">
      <alignment horizontal="center" vertical="center" wrapText="1"/>
      <protection hidden="1"/>
    </xf>
    <xf numFmtId="1" fontId="26" fillId="2" borderId="0" xfId="9" applyNumberFormat="1" applyFont="1" applyFill="1" applyAlignment="1" applyProtection="1">
      <alignment horizontal="center" vertical="center"/>
      <protection hidden="1"/>
    </xf>
    <xf numFmtId="2" fontId="26" fillId="2" borderId="0" xfId="9" applyNumberFormat="1" applyFont="1" applyFill="1" applyAlignment="1">
      <alignment horizontal="center" vertical="center"/>
    </xf>
    <xf numFmtId="2" fontId="26" fillId="2" borderId="0" xfId="9" applyNumberFormat="1" applyFont="1" applyFill="1" applyAlignment="1" applyProtection="1">
      <alignment horizontal="center" vertical="center"/>
      <protection hidden="1"/>
    </xf>
    <xf numFmtId="1" fontId="26" fillId="2" borderId="0" xfId="9" applyNumberFormat="1" applyFont="1" applyFill="1" applyAlignment="1">
      <alignment horizontal="center" vertical="center" wrapText="1"/>
    </xf>
    <xf numFmtId="10" fontId="26" fillId="2" borderId="0" xfId="9" applyNumberFormat="1" applyFont="1" applyFill="1" applyAlignment="1" applyProtection="1">
      <alignment horizontal="center" vertical="center" wrapText="1"/>
      <protection hidden="1"/>
    </xf>
    <xf numFmtId="0" fontId="72" fillId="0" borderId="0" xfId="9" applyFont="1" applyAlignment="1" applyProtection="1">
      <alignment horizontal="center"/>
      <protection hidden="1"/>
    </xf>
    <xf numFmtId="39" fontId="73" fillId="0" borderId="0" xfId="0" applyFont="1"/>
    <xf numFmtId="0" fontId="74" fillId="0" borderId="0" xfId="9" applyFont="1" applyAlignment="1">
      <alignment horizontal="center" vertical="center"/>
    </xf>
    <xf numFmtId="4" fontId="74" fillId="0" borderId="0" xfId="9" applyNumberFormat="1" applyFont="1" applyAlignment="1">
      <alignment horizontal="center" vertical="center"/>
    </xf>
    <xf numFmtId="0" fontId="26" fillId="0" borderId="0" xfId="9" applyFont="1" applyAlignment="1">
      <alignment horizontal="center" vertical="center"/>
    </xf>
    <xf numFmtId="170" fontId="26" fillId="0" borderId="0" xfId="6" applyFont="1" applyFill="1" applyAlignment="1" applyProtection="1">
      <alignment horizontal="center" vertical="center"/>
    </xf>
    <xf numFmtId="4" fontId="26" fillId="0" borderId="0" xfId="9" applyNumberFormat="1" applyFont="1" applyAlignment="1">
      <alignment horizontal="center" vertical="center"/>
    </xf>
    <xf numFmtId="4" fontId="29" fillId="0" borderId="0" xfId="9" applyNumberFormat="1" applyFont="1" applyAlignment="1">
      <alignment horizontal="center"/>
    </xf>
    <xf numFmtId="0" fontId="15" fillId="0" borderId="0" xfId="9" applyFont="1" applyAlignment="1">
      <alignment horizontal="center" vertical="center"/>
    </xf>
    <xf numFmtId="4" fontId="63" fillId="0" borderId="0" xfId="9" applyNumberFormat="1" applyFont="1" applyAlignment="1">
      <alignment horizontal="left" vertical="center"/>
    </xf>
    <xf numFmtId="4" fontId="63" fillId="0" borderId="0" xfId="9" applyNumberFormat="1" applyFont="1" applyAlignment="1">
      <alignment vertical="center"/>
    </xf>
    <xf numFmtId="0" fontId="18" fillId="0" borderId="0" xfId="9" applyFont="1" applyAlignment="1">
      <alignment horizontal="center" vertical="center"/>
    </xf>
    <xf numFmtId="4" fontId="63" fillId="0" borderId="0" xfId="9" applyNumberFormat="1" applyFont="1" applyAlignment="1">
      <alignment horizontal="center" vertical="center"/>
    </xf>
    <xf numFmtId="4" fontId="75" fillId="0" borderId="9" xfId="9" applyNumberFormat="1" applyFont="1" applyBorder="1" applyAlignment="1" applyProtection="1">
      <alignment horizontal="center" vertical="center" wrapText="1"/>
      <protection hidden="1"/>
    </xf>
    <xf numFmtId="0" fontId="27" fillId="0" borderId="0" xfId="9" applyFont="1" applyAlignment="1">
      <alignment horizontal="center" vertical="center"/>
    </xf>
    <xf numFmtId="0" fontId="27" fillId="0" borderId="0" xfId="9" applyFont="1" applyAlignment="1">
      <alignment horizontal="left" vertical="center"/>
    </xf>
    <xf numFmtId="0" fontId="27" fillId="0" borderId="0" xfId="9" applyFont="1"/>
    <xf numFmtId="0" fontId="34" fillId="0" borderId="0" xfId="9" applyFont="1" applyAlignment="1">
      <alignment horizontal="center"/>
    </xf>
    <xf numFmtId="0" fontId="34" fillId="0" borderId="0" xfId="9" applyFont="1"/>
    <xf numFmtId="39" fontId="43" fillId="2" borderId="0" xfId="0" applyFont="1" applyFill="1" applyAlignment="1">
      <alignment vertical="center"/>
    </xf>
    <xf numFmtId="0" fontId="29" fillId="0" borderId="0" xfId="9" applyFont="1"/>
    <xf numFmtId="0" fontId="29" fillId="0" borderId="3" xfId="9" applyFont="1" applyBorder="1"/>
    <xf numFmtId="39" fontId="43" fillId="2" borderId="0" xfId="0" applyFont="1" applyFill="1" applyAlignment="1" applyProtection="1">
      <alignment vertical="center"/>
      <protection locked="0"/>
    </xf>
    <xf numFmtId="4" fontId="29" fillId="0" borderId="3" xfId="9" applyNumberFormat="1" applyFont="1" applyBorder="1" applyAlignment="1">
      <alignment horizontal="center"/>
    </xf>
    <xf numFmtId="2" fontId="26" fillId="0" borderId="4" xfId="6" applyNumberFormat="1" applyFont="1" applyFill="1" applyBorder="1" applyAlignment="1" applyProtection="1">
      <alignment horizontal="center" vertical="center" wrapText="1"/>
    </xf>
    <xf numFmtId="39" fontId="73" fillId="0" borderId="3" xfId="0" applyFont="1" applyBorder="1"/>
    <xf numFmtId="1" fontId="26" fillId="2" borderId="5" xfId="9" applyNumberFormat="1" applyFont="1" applyFill="1" applyBorder="1" applyAlignment="1">
      <alignment horizontal="center" vertical="center" wrapText="1"/>
    </xf>
    <xf numFmtId="2" fontId="26" fillId="2" borderId="5" xfId="9" applyNumberFormat="1" applyFont="1" applyFill="1" applyBorder="1" applyAlignment="1">
      <alignment horizontal="center" vertical="center" wrapText="1"/>
    </xf>
    <xf numFmtId="1" fontId="26" fillId="0" borderId="5" xfId="9" applyNumberFormat="1" applyFont="1" applyBorder="1" applyAlignment="1" applyProtection="1">
      <alignment horizontal="center" vertical="center" wrapText="1"/>
      <protection hidden="1"/>
    </xf>
    <xf numFmtId="1" fontId="26" fillId="7" borderId="5" xfId="9" applyNumberFormat="1" applyFont="1" applyFill="1" applyBorder="1" applyAlignment="1" applyProtection="1">
      <alignment horizontal="center" vertical="center" wrapText="1"/>
      <protection hidden="1"/>
    </xf>
    <xf numFmtId="2" fontId="26" fillId="7" borderId="5" xfId="9" applyNumberFormat="1" applyFont="1" applyFill="1" applyBorder="1" applyAlignment="1" applyProtection="1">
      <alignment horizontal="center" vertical="center" wrapText="1"/>
      <protection hidden="1"/>
    </xf>
    <xf numFmtId="0" fontId="56" fillId="0" borderId="5" xfId="9" applyFont="1" applyBorder="1" applyAlignment="1">
      <alignment horizontal="left" vertical="top" wrapText="1"/>
    </xf>
    <xf numFmtId="0" fontId="26" fillId="0" borderId="5" xfId="9" applyFont="1" applyBorder="1" applyAlignment="1" applyProtection="1">
      <alignment horizontal="center" vertical="center" wrapText="1"/>
      <protection hidden="1"/>
    </xf>
    <xf numFmtId="1" fontId="56" fillId="0" borderId="5" xfId="0" applyNumberFormat="1" applyFont="1" applyBorder="1" applyAlignment="1">
      <alignment horizontal="center" vertical="center" textRotation="90"/>
    </xf>
    <xf numFmtId="1" fontId="66" fillId="6" borderId="5" xfId="0" applyNumberFormat="1" applyFont="1" applyFill="1" applyBorder="1" applyAlignment="1">
      <alignment horizontal="center" vertical="center" textRotation="90"/>
    </xf>
    <xf numFmtId="0" fontId="56" fillId="0" borderId="5" xfId="0" applyNumberFormat="1" applyFont="1" applyBorder="1" applyAlignment="1">
      <alignment horizontal="center" vertical="center"/>
    </xf>
    <xf numFmtId="0" fontId="56" fillId="2" borderId="5" xfId="9" applyFont="1" applyFill="1" applyBorder="1" applyAlignment="1">
      <alignment horizontal="center" vertical="center"/>
    </xf>
    <xf numFmtId="1" fontId="56" fillId="2" borderId="5" xfId="9" applyNumberFormat="1" applyFont="1" applyFill="1" applyBorder="1" applyAlignment="1">
      <alignment horizontal="center" vertical="center"/>
    </xf>
    <xf numFmtId="0" fontId="32" fillId="2" borderId="5" xfId="9" applyFont="1" applyFill="1" applyBorder="1" applyAlignment="1" applyProtection="1">
      <alignment horizontal="center" vertical="center" wrapText="1"/>
      <protection hidden="1"/>
    </xf>
    <xf numFmtId="1" fontId="32" fillId="2" borderId="5" xfId="9" applyNumberFormat="1" applyFont="1" applyFill="1" applyBorder="1" applyAlignment="1" applyProtection="1">
      <alignment horizontal="center" vertical="center"/>
      <protection hidden="1"/>
    </xf>
    <xf numFmtId="1" fontId="32" fillId="2" borderId="5" xfId="9" applyNumberFormat="1" applyFont="1" applyFill="1" applyBorder="1" applyAlignment="1">
      <alignment horizontal="center" vertical="center"/>
    </xf>
    <xf numFmtId="0" fontId="32" fillId="2" borderId="5" xfId="9" applyFont="1" applyFill="1" applyBorder="1" applyAlignment="1">
      <alignment horizontal="center" vertical="center"/>
    </xf>
    <xf numFmtId="39" fontId="56" fillId="0" borderId="5" xfId="0" applyFont="1" applyBorder="1" applyAlignment="1">
      <alignment horizontal="center" vertical="center"/>
    </xf>
    <xf numFmtId="1" fontId="56" fillId="2" borderId="5" xfId="9" applyNumberFormat="1" applyFont="1" applyFill="1" applyBorder="1" applyAlignment="1" applyProtection="1">
      <alignment horizontal="center" vertical="center"/>
      <protection hidden="1"/>
    </xf>
    <xf numFmtId="2" fontId="56" fillId="2" borderId="5" xfId="9" applyNumberFormat="1" applyFont="1" applyFill="1" applyBorder="1" applyAlignment="1" applyProtection="1">
      <alignment horizontal="center" vertical="center" wrapText="1"/>
      <protection hidden="1"/>
    </xf>
    <xf numFmtId="2" fontId="56" fillId="2" borderId="5" xfId="9" applyNumberFormat="1" applyFont="1" applyFill="1" applyBorder="1" applyAlignment="1" applyProtection="1">
      <alignment horizontal="center" vertical="center"/>
      <protection hidden="1"/>
    </xf>
    <xf numFmtId="0" fontId="48" fillId="0" borderId="5" xfId="5" applyFont="1" applyBorder="1" applyAlignment="1">
      <alignment horizontal="center" vertical="center" wrapText="1"/>
    </xf>
    <xf numFmtId="39" fontId="56" fillId="2" borderId="5" xfId="0" applyFont="1" applyFill="1" applyBorder="1" applyAlignment="1">
      <alignment horizontal="center" vertical="center" textRotation="90" wrapText="1"/>
    </xf>
    <xf numFmtId="0" fontId="56" fillId="0" borderId="5" xfId="9" applyFont="1" applyBorder="1" applyAlignment="1" applyProtection="1">
      <alignment horizontal="center" vertical="center"/>
      <protection hidden="1"/>
    </xf>
    <xf numFmtId="0" fontId="56" fillId="2" borderId="5" xfId="9" applyFont="1" applyFill="1" applyBorder="1" applyAlignment="1" applyProtection="1">
      <alignment horizontal="center" vertical="center" wrapText="1"/>
      <protection hidden="1"/>
    </xf>
    <xf numFmtId="0" fontId="48" fillId="2" borderId="5" xfId="9" applyFont="1" applyFill="1" applyBorder="1" applyAlignment="1" applyProtection="1">
      <alignment horizontal="center" vertical="center" wrapText="1"/>
      <protection hidden="1"/>
    </xf>
    <xf numFmtId="1" fontId="71" fillId="2" borderId="5" xfId="9" applyNumberFormat="1" applyFont="1" applyFill="1" applyBorder="1" applyAlignment="1">
      <alignment horizontal="center" vertical="center"/>
    </xf>
    <xf numFmtId="1" fontId="71" fillId="2" borderId="5" xfId="9" applyNumberFormat="1" applyFont="1" applyFill="1" applyBorder="1" applyAlignment="1" applyProtection="1">
      <alignment horizontal="center" vertical="center" wrapText="1"/>
      <protection hidden="1"/>
    </xf>
    <xf numFmtId="39" fontId="44" fillId="0" borderId="0" xfId="0" applyFont="1" applyAlignment="1">
      <alignment vertical="center"/>
    </xf>
    <xf numFmtId="1" fontId="64" fillId="2" borderId="5" xfId="9" applyNumberFormat="1" applyFont="1" applyFill="1" applyBorder="1" applyAlignment="1">
      <alignment horizontal="center" vertical="center" wrapText="1"/>
    </xf>
    <xf numFmtId="1" fontId="56" fillId="0" borderId="5" xfId="9" applyNumberFormat="1" applyFont="1" applyBorder="1" applyAlignment="1" applyProtection="1">
      <alignment horizontal="center" vertical="center"/>
      <protection hidden="1"/>
    </xf>
    <xf numFmtId="1" fontId="32" fillId="2" borderId="5" xfId="9" applyNumberFormat="1" applyFont="1" applyFill="1" applyBorder="1" applyAlignment="1" applyProtection="1">
      <alignment horizontal="center" vertical="center" wrapText="1"/>
      <protection hidden="1"/>
    </xf>
    <xf numFmtId="37" fontId="56" fillId="0" borderId="5" xfId="0" applyNumberFormat="1" applyFont="1" applyBorder="1" applyAlignment="1">
      <alignment horizontal="center" vertical="center"/>
    </xf>
    <xf numFmtId="3" fontId="56" fillId="0" borderId="5" xfId="9" applyNumberFormat="1" applyFont="1" applyBorder="1" applyAlignment="1" applyProtection="1">
      <alignment horizontal="center" vertical="center"/>
      <protection hidden="1"/>
    </xf>
    <xf numFmtId="39" fontId="37" fillId="2" borderId="0" xfId="0" applyFont="1" applyFill="1" applyAlignment="1">
      <alignment horizontal="center" vertical="center"/>
    </xf>
    <xf numFmtId="167" fontId="37" fillId="4" borderId="5" xfId="1" applyFont="1" applyFill="1" applyBorder="1" applyAlignment="1" applyProtection="1">
      <alignment vertical="center"/>
    </xf>
    <xf numFmtId="3" fontId="48" fillId="2" borderId="5" xfId="9" applyNumberFormat="1" applyFont="1" applyFill="1" applyBorder="1" applyAlignment="1" applyProtection="1">
      <alignment horizontal="center" vertical="center" wrapText="1"/>
      <protection hidden="1"/>
    </xf>
    <xf numFmtId="3" fontId="48" fillId="2" borderId="10" xfId="9" applyNumberFormat="1" applyFont="1" applyFill="1" applyBorder="1" applyAlignment="1" applyProtection="1">
      <alignment horizontal="center" vertical="center" wrapText="1"/>
      <protection hidden="1"/>
    </xf>
    <xf numFmtId="39" fontId="77" fillId="2" borderId="0" xfId="0" applyFont="1" applyFill="1"/>
    <xf numFmtId="174" fontId="50" fillId="4" borderId="5" xfId="4" applyNumberFormat="1" applyFont="1" applyFill="1" applyBorder="1" applyAlignment="1" applyProtection="1">
      <alignment horizontal="center" vertical="center"/>
      <protection hidden="1"/>
    </xf>
    <xf numFmtId="170" fontId="70" fillId="0" borderId="5" xfId="6" applyFont="1" applyBorder="1" applyAlignment="1" applyProtection="1">
      <alignment horizontal="center" vertical="center"/>
      <protection hidden="1"/>
    </xf>
    <xf numFmtId="0" fontId="56" fillId="2" borderId="5" xfId="9" applyFont="1" applyFill="1" applyBorder="1" applyAlignment="1" applyProtection="1">
      <alignment horizontal="center" vertical="center"/>
      <protection hidden="1"/>
    </xf>
    <xf numFmtId="1" fontId="56" fillId="0" borderId="5" xfId="6" applyNumberFormat="1" applyFont="1" applyBorder="1" applyAlignment="1" applyProtection="1">
      <alignment horizontal="center" vertical="center"/>
      <protection hidden="1"/>
    </xf>
    <xf numFmtId="1" fontId="56" fillId="0" borderId="5" xfId="9" applyNumberFormat="1" applyFont="1" applyBorder="1" applyAlignment="1">
      <alignment horizontal="center" vertical="center"/>
    </xf>
    <xf numFmtId="1" fontId="56" fillId="2" borderId="5" xfId="6" applyNumberFormat="1" applyFont="1" applyFill="1" applyBorder="1" applyAlignment="1" applyProtection="1">
      <alignment horizontal="center" vertical="center"/>
      <protection hidden="1"/>
    </xf>
    <xf numFmtId="173" fontId="26" fillId="2" borderId="5" xfId="9" applyNumberFormat="1" applyFont="1" applyFill="1" applyBorder="1" applyAlignment="1">
      <alignment horizontal="center" vertical="center" wrapText="1"/>
    </xf>
    <xf numFmtId="2" fontId="32" fillId="2" borderId="5" xfId="0" applyNumberFormat="1" applyFont="1" applyFill="1" applyBorder="1" applyAlignment="1">
      <alignment horizontal="center" vertical="center"/>
    </xf>
    <xf numFmtId="2" fontId="32" fillId="2" borderId="5" xfId="0" applyNumberFormat="1" applyFont="1" applyFill="1" applyBorder="1" applyAlignment="1">
      <alignment horizontal="center" vertical="center" textRotation="90"/>
    </xf>
    <xf numFmtId="0" fontId="78" fillId="2" borderId="0" xfId="2" applyFont="1" applyFill="1" applyAlignment="1" applyProtection="1">
      <alignment horizontal="left"/>
      <protection hidden="1"/>
    </xf>
    <xf numFmtId="0" fontId="56" fillId="0" borderId="5" xfId="0" applyNumberFormat="1" applyFont="1" applyBorder="1" applyAlignment="1">
      <alignment horizontal="center" vertical="center" textRotation="90"/>
    </xf>
    <xf numFmtId="173" fontId="26" fillId="2" borderId="5" xfId="9" applyNumberFormat="1" applyFont="1" applyFill="1" applyBorder="1" applyAlignment="1">
      <alignment horizontal="center" vertical="center" textRotation="90" wrapText="1"/>
    </xf>
    <xf numFmtId="0" fontId="50" fillId="0" borderId="5" xfId="5" applyFont="1" applyBorder="1" applyAlignment="1">
      <alignment horizontal="center" vertical="center" wrapText="1"/>
    </xf>
    <xf numFmtId="171" fontId="80" fillId="2" borderId="5" xfId="0" applyNumberFormat="1" applyFont="1" applyFill="1" applyBorder="1" applyAlignment="1">
      <alignment horizontal="center" vertical="center" wrapText="1"/>
    </xf>
    <xf numFmtId="2" fontId="32" fillId="2" borderId="5" xfId="9" applyNumberFormat="1" applyFont="1" applyFill="1" applyBorder="1" applyAlignment="1" applyProtection="1">
      <alignment horizontal="center" vertical="center"/>
      <protection hidden="1"/>
    </xf>
    <xf numFmtId="1" fontId="82" fillId="0" borderId="19" xfId="5" applyNumberFormat="1" applyFont="1" applyBorder="1" applyAlignment="1">
      <alignment horizontal="center"/>
    </xf>
    <xf numFmtId="1" fontId="82" fillId="0" borderId="19" xfId="5" applyNumberFormat="1" applyFont="1" applyBorder="1"/>
    <xf numFmtId="0" fontId="82" fillId="0" borderId="19" xfId="5" applyFont="1" applyBorder="1" applyAlignment="1">
      <alignment horizontal="center"/>
    </xf>
    <xf numFmtId="0" fontId="82" fillId="0" borderId="19" xfId="5" applyFont="1" applyBorder="1"/>
    <xf numFmtId="4" fontId="82" fillId="0" borderId="19" xfId="5" applyNumberFormat="1" applyFont="1" applyBorder="1"/>
    <xf numFmtId="170" fontId="82" fillId="0" borderId="19" xfId="6" applyFont="1" applyFill="1" applyBorder="1" applyProtection="1"/>
    <xf numFmtId="0" fontId="15" fillId="0" borderId="12" xfId="9" applyFont="1" applyBorder="1" applyAlignment="1">
      <alignment horizontal="center" vertical="center"/>
    </xf>
    <xf numFmtId="4" fontId="63" fillId="0" borderId="12" xfId="9" applyNumberFormat="1" applyFont="1" applyBorder="1" applyAlignment="1">
      <alignment horizontal="left" vertical="center"/>
    </xf>
    <xf numFmtId="4" fontId="63" fillId="0" borderId="12" xfId="9" applyNumberFormat="1" applyFont="1" applyBorder="1" applyAlignment="1">
      <alignment vertical="center"/>
    </xf>
    <xf numFmtId="0" fontId="18" fillId="0" borderId="12" xfId="9" applyFont="1" applyBorder="1" applyAlignment="1">
      <alignment horizontal="center" vertical="center"/>
    </xf>
    <xf numFmtId="0" fontId="18" fillId="0" borderId="16" xfId="9" applyFont="1" applyBorder="1" applyAlignment="1">
      <alignment horizontal="center" vertical="center"/>
    </xf>
    <xf numFmtId="0" fontId="26" fillId="0" borderId="19" xfId="9" applyFont="1" applyBorder="1" applyAlignment="1">
      <alignment vertical="center"/>
    </xf>
    <xf numFmtId="0" fontId="74" fillId="0" borderId="0" xfId="9" applyFont="1" applyAlignment="1">
      <alignment horizontal="center"/>
    </xf>
    <xf numFmtId="0" fontId="21" fillId="0" borderId="0" xfId="9" applyFont="1" applyAlignment="1">
      <alignment horizontal="center" vertical="center"/>
    </xf>
    <xf numFmtId="174" fontId="45" fillId="4" borderId="5" xfId="4" applyNumberFormat="1" applyFont="1" applyFill="1" applyBorder="1" applyAlignment="1" applyProtection="1">
      <alignment horizontal="center" vertical="center"/>
      <protection hidden="1"/>
    </xf>
    <xf numFmtId="1" fontId="21" fillId="0" borderId="19" xfId="5" applyNumberFormat="1" applyFont="1" applyBorder="1"/>
    <xf numFmtId="3" fontId="52" fillId="0" borderId="5" xfId="9" applyNumberFormat="1" applyFont="1" applyBorder="1" applyAlignment="1" applyProtection="1">
      <alignment horizontal="center" vertical="center"/>
      <protection hidden="1"/>
    </xf>
    <xf numFmtId="4" fontId="52" fillId="0" borderId="5" xfId="9" applyNumberFormat="1" applyFont="1" applyBorder="1" applyAlignment="1" applyProtection="1">
      <alignment horizontal="center" vertical="center" wrapText="1"/>
      <protection hidden="1"/>
    </xf>
    <xf numFmtId="4" fontId="52" fillId="0" borderId="5" xfId="9" applyNumberFormat="1" applyFont="1" applyBorder="1" applyAlignment="1" applyProtection="1">
      <alignment horizontal="center" vertical="center"/>
      <protection hidden="1"/>
    </xf>
    <xf numFmtId="1" fontId="52" fillId="2" borderId="5" xfId="9" applyNumberFormat="1" applyFont="1" applyFill="1" applyBorder="1" applyAlignment="1">
      <alignment horizontal="center" vertical="center"/>
    </xf>
    <xf numFmtId="0" fontId="71" fillId="2" borderId="5" xfId="9" applyFont="1" applyFill="1" applyBorder="1" applyAlignment="1" applyProtection="1">
      <alignment horizontal="center" vertical="center"/>
      <protection hidden="1"/>
    </xf>
    <xf numFmtId="2" fontId="56" fillId="0" borderId="5" xfId="0" applyNumberFormat="1" applyFont="1" applyBorder="1" applyAlignment="1">
      <alignment horizontal="center" vertical="center"/>
    </xf>
    <xf numFmtId="175" fontId="82" fillId="0" borderId="19" xfId="5" applyNumberFormat="1" applyFont="1" applyBorder="1" applyAlignment="1">
      <alignment vertical="center"/>
    </xf>
    <xf numFmtId="174" fontId="45" fillId="2" borderId="5" xfId="4" applyNumberFormat="1" applyFont="1" applyFill="1" applyBorder="1" applyAlignment="1" applyProtection="1">
      <alignment horizontal="center" vertical="center"/>
      <protection hidden="1"/>
    </xf>
    <xf numFmtId="37" fontId="84" fillId="0" borderId="5" xfId="0" applyNumberFormat="1" applyFont="1" applyBorder="1" applyAlignment="1">
      <alignment horizontal="center" vertical="center"/>
    </xf>
    <xf numFmtId="39" fontId="16" fillId="4" borderId="5" xfId="0" applyFont="1" applyFill="1" applyBorder="1" applyAlignment="1">
      <alignment horizontal="center" vertical="center"/>
    </xf>
    <xf numFmtId="172" fontId="26" fillId="0" borderId="19" xfId="9" applyNumberFormat="1" applyFont="1" applyBorder="1" applyAlignment="1">
      <alignment horizontal="center" vertical="center"/>
    </xf>
    <xf numFmtId="37" fontId="0" fillId="0" borderId="0" xfId="0" applyNumberFormat="1"/>
    <xf numFmtId="39" fontId="37" fillId="2" borderId="5" xfId="0" applyFont="1" applyFill="1" applyBorder="1" applyAlignment="1" applyProtection="1">
      <alignment vertical="center"/>
      <protection locked="0"/>
    </xf>
    <xf numFmtId="0" fontId="41" fillId="2" borderId="5" xfId="0" applyNumberFormat="1" applyFont="1" applyFill="1" applyBorder="1" applyAlignment="1">
      <alignment horizontal="center" vertical="center"/>
    </xf>
    <xf numFmtId="0" fontId="40" fillId="2" borderId="5" xfId="0" applyNumberFormat="1" applyFont="1" applyFill="1" applyBorder="1" applyAlignment="1">
      <alignment horizontal="center" vertical="center"/>
    </xf>
    <xf numFmtId="2" fontId="21" fillId="0" borderId="0" xfId="9" applyNumberFormat="1" applyFont="1" applyAlignment="1">
      <alignment horizontal="center" vertical="center"/>
    </xf>
    <xf numFmtId="2" fontId="48" fillId="2" borderId="5" xfId="9" applyNumberFormat="1" applyFont="1" applyFill="1" applyBorder="1" applyAlignment="1">
      <alignment horizontal="center" vertical="center"/>
    </xf>
    <xf numFmtId="176" fontId="37" fillId="2" borderId="5" xfId="1" applyNumberFormat="1" applyFont="1" applyFill="1" applyBorder="1" applyAlignment="1" applyProtection="1">
      <alignment vertical="center"/>
    </xf>
    <xf numFmtId="2" fontId="41" fillId="2" borderId="5" xfId="0" applyNumberFormat="1" applyFont="1" applyFill="1" applyBorder="1" applyAlignment="1">
      <alignment horizontal="center" vertical="center" wrapText="1"/>
    </xf>
    <xf numFmtId="174" fontId="74" fillId="4" borderId="5" xfId="4" applyNumberFormat="1" applyFont="1" applyFill="1" applyBorder="1" applyAlignment="1">
      <alignment horizontal="center" vertical="center" wrapText="1"/>
    </xf>
    <xf numFmtId="173" fontId="21" fillId="0" borderId="0" xfId="9" applyNumberFormat="1" applyFont="1" applyAlignment="1">
      <alignment horizontal="center" vertical="center"/>
    </xf>
    <xf numFmtId="2" fontId="40" fillId="2" borderId="5" xfId="1" applyNumberFormat="1" applyFont="1" applyFill="1" applyBorder="1" applyAlignment="1" applyProtection="1">
      <alignment horizontal="center" vertical="center"/>
      <protection locked="0"/>
    </xf>
    <xf numFmtId="177" fontId="88" fillId="12" borderId="0" xfId="0" applyNumberFormat="1" applyFont="1" applyFill="1" applyAlignment="1">
      <alignment vertical="top" wrapText="1"/>
    </xf>
    <xf numFmtId="1" fontId="56" fillId="0" borderId="5" xfId="0" applyNumberFormat="1" applyFont="1" applyBorder="1" applyAlignment="1">
      <alignment horizontal="center" vertical="center"/>
    </xf>
    <xf numFmtId="174" fontId="18" fillId="0" borderId="5" xfId="4" applyNumberFormat="1" applyFont="1" applyBorder="1" applyAlignment="1" applyProtection="1">
      <alignment horizontal="center" vertical="center" wrapText="1"/>
      <protection hidden="1"/>
    </xf>
    <xf numFmtId="0" fontId="56" fillId="13" borderId="5" xfId="9" applyFont="1" applyFill="1" applyBorder="1" applyAlignment="1" applyProtection="1">
      <alignment horizontal="center" vertical="center"/>
      <protection hidden="1"/>
    </xf>
    <xf numFmtId="0" fontId="68" fillId="6" borderId="5" xfId="9" applyFont="1" applyFill="1" applyBorder="1" applyAlignment="1">
      <alignment horizontal="center" vertical="center" textRotation="90"/>
    </xf>
    <xf numFmtId="39" fontId="89" fillId="0" borderId="0" xfId="0" applyFont="1" applyAlignment="1">
      <alignment horizontal="center"/>
    </xf>
    <xf numFmtId="39" fontId="89" fillId="0" borderId="0" xfId="0" applyFont="1"/>
    <xf numFmtId="39" fontId="36" fillId="0" borderId="0" xfId="0" applyFont="1" applyAlignment="1">
      <alignment vertical="center"/>
    </xf>
    <xf numFmtId="0" fontId="36" fillId="0" borderId="0" xfId="8" applyFont="1" applyAlignment="1" applyProtection="1">
      <alignment vertical="center"/>
      <protection hidden="1"/>
    </xf>
    <xf numFmtId="0" fontId="37" fillId="0" borderId="0" xfId="8" applyFont="1" applyAlignment="1" applyProtection="1">
      <alignment horizontal="center" vertical="center"/>
      <protection hidden="1"/>
    </xf>
    <xf numFmtId="0" fontId="37" fillId="0" borderId="19" xfId="8" applyFont="1" applyBorder="1" applyAlignment="1">
      <alignment horizontal="center" vertical="center"/>
    </xf>
    <xf numFmtId="4" fontId="37" fillId="0" borderId="19" xfId="8" applyNumberFormat="1" applyFont="1" applyBorder="1" applyAlignment="1">
      <alignment horizontal="center" vertical="center"/>
    </xf>
    <xf numFmtId="4" fontId="48" fillId="0" borderId="19" xfId="5" applyNumberFormat="1" applyFont="1" applyBorder="1" applyAlignment="1" applyProtection="1">
      <alignment horizontal="center" vertical="center" wrapText="1"/>
      <protection hidden="1"/>
    </xf>
    <xf numFmtId="2" fontId="48" fillId="0" borderId="19" xfId="8" applyNumberFormat="1" applyFont="1" applyBorder="1" applyAlignment="1">
      <alignment horizontal="center" vertical="center"/>
    </xf>
    <xf numFmtId="3" fontId="37" fillId="0" borderId="19" xfId="8" applyNumberFormat="1" applyFont="1" applyBorder="1" applyAlignment="1">
      <alignment horizontal="center" vertical="center"/>
    </xf>
    <xf numFmtId="4" fontId="52" fillId="0" borderId="19" xfId="8" applyNumberFormat="1" applyFont="1" applyBorder="1" applyAlignment="1">
      <alignment horizontal="center" vertical="center" wrapText="1"/>
    </xf>
    <xf numFmtId="39" fontId="31" fillId="0" borderId="0" xfId="0" applyFont="1" applyAlignment="1">
      <alignment horizontal="center" vertical="center"/>
    </xf>
    <xf numFmtId="39" fontId="53" fillId="0" borderId="0" xfId="0" applyFont="1" applyAlignment="1">
      <alignment vertical="center"/>
    </xf>
    <xf numFmtId="39" fontId="89" fillId="0" borderId="0" xfId="0" applyFont="1" applyAlignment="1">
      <alignment vertical="center"/>
    </xf>
    <xf numFmtId="176" fontId="37" fillId="2" borderId="5" xfId="1" applyNumberFormat="1" applyFont="1" applyFill="1" applyBorder="1" applyAlignment="1" applyProtection="1">
      <alignment horizontal="center" vertical="center"/>
    </xf>
    <xf numFmtId="0" fontId="26" fillId="10" borderId="5" xfId="9" applyFont="1" applyFill="1" applyBorder="1" applyAlignment="1" applyProtection="1">
      <alignment horizontal="center" vertical="center" wrapText="1"/>
      <protection hidden="1"/>
    </xf>
    <xf numFmtId="172" fontId="56" fillId="0" borderId="6" xfId="6" applyNumberFormat="1" applyFont="1" applyBorder="1" applyAlignment="1" applyProtection="1">
      <alignment horizontal="center" vertical="center" textRotation="90"/>
      <protection hidden="1"/>
    </xf>
    <xf numFmtId="172" fontId="56" fillId="0" borderId="11" xfId="6" applyNumberFormat="1" applyFont="1" applyBorder="1" applyAlignment="1" applyProtection="1">
      <alignment horizontal="center" vertical="center" textRotation="90"/>
      <protection hidden="1"/>
    </xf>
    <xf numFmtId="172" fontId="56" fillId="0" borderId="12" xfId="6" applyNumberFormat="1" applyFont="1" applyBorder="1" applyAlignment="1" applyProtection="1">
      <alignment horizontal="center" vertical="center" textRotation="90"/>
      <protection hidden="1"/>
    </xf>
    <xf numFmtId="0" fontId="55" fillId="0" borderId="0" xfId="9" applyFont="1" applyAlignment="1" applyProtection="1">
      <alignment horizontal="center"/>
      <protection hidden="1"/>
    </xf>
    <xf numFmtId="1" fontId="26" fillId="0" borderId="19" xfId="9" applyNumberFormat="1" applyFont="1" applyBorder="1" applyAlignment="1">
      <alignment horizontal="center" vertical="center"/>
    </xf>
    <xf numFmtId="0" fontId="55" fillId="0" borderId="0" xfId="9" applyFont="1" applyAlignment="1" applyProtection="1">
      <alignment horizontal="center" vertical="center"/>
      <protection hidden="1"/>
    </xf>
    <xf numFmtId="0" fontId="26" fillId="2" borderId="5" xfId="9" applyFont="1" applyFill="1" applyBorder="1" applyAlignment="1" applyProtection="1">
      <alignment horizontal="center" vertical="center" wrapText="1"/>
      <protection hidden="1"/>
    </xf>
    <xf numFmtId="0" fontId="26" fillId="4" borderId="5" xfId="9" applyFont="1" applyFill="1" applyBorder="1" applyAlignment="1" applyProtection="1">
      <alignment horizontal="center" vertical="center" textRotation="90" wrapText="1"/>
      <protection hidden="1"/>
    </xf>
    <xf numFmtId="170" fontId="26" fillId="0" borderId="19" xfId="9" applyNumberFormat="1" applyFont="1" applyBorder="1" applyAlignment="1">
      <alignment horizontal="center" vertical="center"/>
    </xf>
    <xf numFmtId="4" fontId="75" fillId="0" borderId="8" xfId="9" applyNumberFormat="1" applyFont="1" applyBorder="1" applyAlignment="1" applyProtection="1">
      <alignment horizontal="center" vertical="center" wrapText="1"/>
      <protection hidden="1"/>
    </xf>
    <xf numFmtId="4" fontId="75" fillId="0" borderId="1" xfId="9" applyNumberFormat="1" applyFont="1" applyBorder="1" applyAlignment="1" applyProtection="1">
      <alignment horizontal="center" vertical="center" wrapText="1"/>
      <protection hidden="1"/>
    </xf>
    <xf numFmtId="4" fontId="75" fillId="0" borderId="7" xfId="9" applyNumberFormat="1" applyFont="1" applyBorder="1" applyAlignment="1" applyProtection="1">
      <alignment horizontal="center" vertical="center" wrapText="1"/>
      <protection hidden="1"/>
    </xf>
    <xf numFmtId="4" fontId="26" fillId="0" borderId="10" xfId="9" applyNumberFormat="1" applyFont="1" applyBorder="1" applyAlignment="1" applyProtection="1">
      <alignment horizontal="center" vertical="center" textRotation="90" wrapText="1"/>
      <protection hidden="1"/>
    </xf>
    <xf numFmtId="4" fontId="62" fillId="0" borderId="5" xfId="9" applyNumberFormat="1" applyFont="1" applyBorder="1" applyAlignment="1" applyProtection="1">
      <alignment horizontal="center" vertical="center" wrapText="1"/>
      <protection hidden="1"/>
    </xf>
    <xf numFmtId="0" fontId="26" fillId="10" borderId="5" xfId="9" applyFont="1" applyFill="1" applyBorder="1" applyAlignment="1" applyProtection="1">
      <alignment horizontal="center" vertical="center" textRotation="90" wrapText="1"/>
      <protection hidden="1"/>
    </xf>
    <xf numFmtId="0" fontId="46" fillId="0" borderId="0" xfId="9" applyFont="1" applyAlignment="1">
      <alignment horizontal="center"/>
    </xf>
    <xf numFmtId="0" fontId="50" fillId="0" borderId="0" xfId="9" applyFont="1" applyAlignment="1">
      <alignment horizontal="center"/>
    </xf>
    <xf numFmtId="12" fontId="26" fillId="2" borderId="5" xfId="9" applyNumberFormat="1" applyFont="1" applyFill="1" applyBorder="1" applyAlignment="1" applyProtection="1">
      <alignment horizontal="center" vertical="center" wrapText="1"/>
      <protection hidden="1"/>
    </xf>
    <xf numFmtId="39" fontId="55" fillId="0" borderId="0" xfId="9" applyNumberFormat="1" applyFont="1" applyAlignment="1" applyProtection="1">
      <alignment horizontal="center"/>
      <protection hidden="1"/>
    </xf>
    <xf numFmtId="4" fontId="26" fillId="10" borderId="5" xfId="9" applyNumberFormat="1" applyFont="1" applyFill="1" applyBorder="1" applyAlignment="1" applyProtection="1">
      <alignment horizontal="center" vertical="center" wrapText="1"/>
      <protection hidden="1"/>
    </xf>
    <xf numFmtId="0" fontId="26" fillId="6" borderId="5" xfId="9" applyFont="1" applyFill="1" applyBorder="1" applyAlignment="1" applyProtection="1">
      <alignment horizontal="center" vertical="center" textRotation="90" wrapText="1"/>
      <protection hidden="1"/>
    </xf>
    <xf numFmtId="0" fontId="62" fillId="2" borderId="5" xfId="9" applyFont="1" applyFill="1" applyBorder="1" applyAlignment="1" applyProtection="1">
      <alignment horizontal="center" vertical="center" textRotation="90" wrapText="1"/>
      <protection hidden="1"/>
    </xf>
    <xf numFmtId="0" fontId="62" fillId="2" borderId="5" xfId="9" applyFont="1" applyFill="1" applyBorder="1" applyAlignment="1">
      <alignment horizontal="center" vertical="center" textRotation="90" wrapText="1"/>
    </xf>
    <xf numFmtId="0" fontId="26" fillId="10" borderId="5" xfId="9" applyFont="1" applyFill="1" applyBorder="1" applyAlignment="1">
      <alignment horizontal="center" vertical="center" textRotation="90" wrapText="1"/>
    </xf>
    <xf numFmtId="0" fontId="26" fillId="2" borderId="6" xfId="9" applyFont="1" applyFill="1" applyBorder="1" applyAlignment="1" applyProtection="1">
      <alignment horizontal="center" vertical="center" textRotation="90" wrapText="1"/>
      <protection hidden="1"/>
    </xf>
    <xf numFmtId="0" fontId="26" fillId="2" borderId="11" xfId="9" applyFont="1" applyFill="1" applyBorder="1" applyAlignment="1" applyProtection="1">
      <alignment horizontal="center" vertical="center" textRotation="90" wrapText="1"/>
      <protection hidden="1"/>
    </xf>
    <xf numFmtId="0" fontId="26" fillId="2" borderId="12" xfId="9" applyFont="1" applyFill="1" applyBorder="1" applyAlignment="1" applyProtection="1">
      <alignment horizontal="center" vertical="center" textRotation="90" wrapText="1"/>
      <protection hidden="1"/>
    </xf>
    <xf numFmtId="167" fontId="37" fillId="2" borderId="5" xfId="1" applyFont="1" applyFill="1" applyBorder="1" applyAlignment="1" applyProtection="1">
      <alignment horizontal="center" vertical="center"/>
    </xf>
    <xf numFmtId="0" fontId="74" fillId="2" borderId="0" xfId="9" applyFont="1" applyFill="1" applyAlignment="1">
      <alignment horizontal="center"/>
    </xf>
    <xf numFmtId="4" fontId="74" fillId="0" borderId="0" xfId="9" applyNumberFormat="1" applyFont="1" applyAlignment="1">
      <alignment horizontal="center"/>
    </xf>
    <xf numFmtId="174" fontId="52" fillId="4" borderId="5" xfId="4" applyNumberFormat="1" applyFont="1" applyFill="1" applyBorder="1" applyAlignment="1" applyProtection="1">
      <alignment horizontal="center" vertical="center"/>
      <protection hidden="1"/>
    </xf>
    <xf numFmtId="39" fontId="43" fillId="2" borderId="2" xfId="0" applyFont="1" applyFill="1" applyBorder="1" applyAlignment="1" applyProtection="1">
      <alignment horizontal="center" vertical="center"/>
      <protection locked="0"/>
    </xf>
    <xf numFmtId="39" fontId="53" fillId="0" borderId="0" xfId="0" applyFont="1" applyAlignment="1">
      <alignment horizontal="center" vertical="center"/>
    </xf>
    <xf numFmtId="0" fontId="21" fillId="2" borderId="6" xfId="9" applyFont="1" applyFill="1" applyBorder="1" applyAlignment="1" applyProtection="1">
      <alignment horizontal="center" vertical="center" textRotation="90" wrapText="1"/>
      <protection hidden="1"/>
    </xf>
    <xf numFmtId="0" fontId="21" fillId="2" borderId="11" xfId="9" applyFont="1" applyFill="1" applyBorder="1" applyAlignment="1" applyProtection="1">
      <alignment horizontal="center" vertical="center" textRotation="90" wrapText="1"/>
      <protection hidden="1"/>
    </xf>
    <xf numFmtId="0" fontId="21" fillId="2" borderId="12" xfId="9" applyFont="1" applyFill="1" applyBorder="1" applyAlignment="1" applyProtection="1">
      <alignment horizontal="center" vertical="center" textRotation="90" wrapText="1"/>
      <protection hidden="1"/>
    </xf>
    <xf numFmtId="0" fontId="37" fillId="0" borderId="19" xfId="8" applyFont="1" applyBorder="1" applyAlignment="1" applyProtection="1">
      <alignment horizontal="center" vertical="center" wrapText="1"/>
      <protection hidden="1"/>
    </xf>
    <xf numFmtId="4" fontId="26" fillId="0" borderId="5" xfId="9" applyNumberFormat="1" applyFont="1" applyBorder="1" applyAlignment="1" applyProtection="1">
      <alignment horizontal="center" vertical="center" textRotation="90" wrapText="1"/>
      <protection hidden="1"/>
    </xf>
    <xf numFmtId="4" fontId="26" fillId="2" borderId="5" xfId="9" applyNumberFormat="1" applyFont="1" applyFill="1" applyBorder="1" applyAlignment="1" applyProtection="1">
      <alignment horizontal="center" vertical="center" textRotation="90" wrapText="1"/>
      <protection hidden="1"/>
    </xf>
    <xf numFmtId="4" fontId="63" fillId="0" borderId="5" xfId="9" applyNumberFormat="1" applyFont="1" applyBorder="1" applyAlignment="1" applyProtection="1">
      <alignment horizontal="center" vertical="center" wrapText="1"/>
      <protection hidden="1"/>
    </xf>
    <xf numFmtId="4" fontId="26" fillId="0" borderId="5" xfId="9" applyNumberFormat="1" applyFont="1" applyBorder="1" applyAlignment="1" applyProtection="1">
      <alignment horizontal="center" vertical="center" wrapText="1"/>
      <protection hidden="1"/>
    </xf>
    <xf numFmtId="0" fontId="26" fillId="7" borderId="5" xfId="9" applyFont="1" applyFill="1" applyBorder="1" applyAlignment="1" applyProtection="1">
      <alignment horizontal="center" vertical="center" textRotation="90" wrapText="1"/>
      <protection hidden="1"/>
    </xf>
    <xf numFmtId="0" fontId="26" fillId="0" borderId="5" xfId="9" applyFont="1" applyBorder="1" applyAlignment="1" applyProtection="1">
      <alignment horizontal="center" vertical="center" textRotation="90" wrapText="1"/>
      <protection hidden="1"/>
    </xf>
    <xf numFmtId="4" fontId="62" fillId="0" borderId="5" xfId="9" applyNumberFormat="1" applyFont="1" applyBorder="1" applyAlignment="1" applyProtection="1">
      <alignment horizontal="center" vertical="center" textRotation="90" wrapText="1"/>
      <protection hidden="1"/>
    </xf>
    <xf numFmtId="0" fontId="26" fillId="0" borderId="19" xfId="9" applyFont="1" applyBorder="1" applyAlignment="1">
      <alignment horizontal="center" vertical="center"/>
    </xf>
    <xf numFmtId="39" fontId="76" fillId="0" borderId="19" xfId="0" applyFont="1" applyBorder="1" applyAlignment="1">
      <alignment horizontal="center" vertical="center"/>
    </xf>
    <xf numFmtId="4" fontId="26" fillId="5" borderId="5" xfId="9" applyNumberFormat="1" applyFont="1" applyFill="1" applyBorder="1" applyAlignment="1" applyProtection="1">
      <alignment horizontal="center" vertical="center" wrapText="1"/>
      <protection hidden="1"/>
    </xf>
    <xf numFmtId="170" fontId="26" fillId="0" borderId="5" xfId="10" applyFont="1" applyBorder="1" applyAlignment="1" applyProtection="1">
      <alignment horizontal="center" vertical="center" textRotation="90" wrapText="1"/>
      <protection hidden="1"/>
    </xf>
    <xf numFmtId="0" fontId="26" fillId="0" borderId="5" xfId="10" applyNumberFormat="1" applyFont="1" applyBorder="1" applyAlignment="1" applyProtection="1">
      <alignment horizontal="center" vertical="center" textRotation="90" wrapText="1"/>
      <protection hidden="1"/>
    </xf>
    <xf numFmtId="170" fontId="26" fillId="10" borderId="5" xfId="10" applyFont="1" applyFill="1" applyBorder="1" applyAlignment="1" applyProtection="1">
      <alignment horizontal="center" vertical="center" wrapText="1"/>
      <protection hidden="1"/>
    </xf>
    <xf numFmtId="0" fontId="29" fillId="0" borderId="5" xfId="9" applyFont="1" applyBorder="1" applyAlignment="1">
      <alignment horizontal="center" vertical="center" wrapText="1"/>
    </xf>
    <xf numFmtId="0" fontId="33" fillId="0" borderId="5" xfId="9" applyFont="1" applyBorder="1" applyAlignment="1">
      <alignment horizontal="center" vertical="center" wrapText="1"/>
    </xf>
    <xf numFmtId="2" fontId="34" fillId="0" borderId="5" xfId="9" applyNumberFormat="1" applyFont="1" applyBorder="1" applyAlignment="1">
      <alignment horizontal="center" vertical="center" textRotation="90" wrapText="1"/>
    </xf>
    <xf numFmtId="1" fontId="26" fillId="0" borderId="5" xfId="10" applyNumberFormat="1" applyFont="1" applyBorder="1" applyAlignment="1" applyProtection="1">
      <alignment horizontal="center" vertical="center" wrapText="1"/>
      <protection hidden="1"/>
    </xf>
    <xf numFmtId="1" fontId="26" fillId="2" borderId="5" xfId="10" applyNumberFormat="1" applyFont="1" applyFill="1" applyBorder="1" applyAlignment="1" applyProtection="1">
      <alignment horizontal="center" vertical="center" wrapText="1"/>
      <protection hidden="1"/>
    </xf>
    <xf numFmtId="1" fontId="15" fillId="0" borderId="5" xfId="10" applyNumberFormat="1" applyFont="1" applyBorder="1" applyAlignment="1" applyProtection="1">
      <alignment horizontal="center" vertical="center" wrapText="1"/>
      <protection hidden="1"/>
    </xf>
    <xf numFmtId="4" fontId="48" fillId="0" borderId="5" xfId="10" applyNumberFormat="1" applyFont="1" applyBorder="1" applyAlignment="1" applyProtection="1">
      <alignment horizontal="center" vertical="center" wrapText="1"/>
      <protection hidden="1"/>
    </xf>
    <xf numFmtId="2" fontId="29" fillId="2" borderId="5" xfId="9" applyNumberFormat="1" applyFont="1" applyFill="1" applyBorder="1" applyAlignment="1">
      <alignment horizontal="center" vertical="center" wrapText="1"/>
    </xf>
    <xf numFmtId="0" fontId="48" fillId="2" borderId="5" xfId="9" applyFont="1" applyFill="1" applyBorder="1" applyAlignment="1">
      <alignment horizontal="left" vertical="top" wrapText="1"/>
    </xf>
    <xf numFmtId="4" fontId="48" fillId="2" borderId="5" xfId="10" applyNumberFormat="1" applyFont="1" applyFill="1" applyBorder="1" applyAlignment="1" applyProtection="1">
      <alignment horizontal="center" vertical="center" wrapText="1"/>
      <protection hidden="1"/>
    </xf>
    <xf numFmtId="0" fontId="29" fillId="2" borderId="0" xfId="9" applyFont="1" applyFill="1" applyAlignment="1">
      <alignment horizontal="center" vertical="center"/>
    </xf>
    <xf numFmtId="0" fontId="33" fillId="2" borderId="0" xfId="9" applyFont="1" applyFill="1" applyAlignment="1">
      <alignment horizontal="center" vertical="center"/>
    </xf>
    <xf numFmtId="2" fontId="27" fillId="2" borderId="0" xfId="9" applyNumberFormat="1" applyFont="1" applyFill="1" applyAlignment="1">
      <alignment horizontal="center" vertical="center" wrapText="1"/>
    </xf>
    <xf numFmtId="1" fontId="26" fillId="2" borderId="0" xfId="10" applyNumberFormat="1" applyFont="1" applyFill="1" applyBorder="1" applyAlignment="1" applyProtection="1">
      <alignment horizontal="center" vertical="center"/>
      <protection hidden="1"/>
    </xf>
    <xf numFmtId="1" fontId="15" fillId="2" borderId="0" xfId="10" applyNumberFormat="1" applyFont="1" applyFill="1" applyBorder="1" applyAlignment="1" applyProtection="1">
      <alignment horizontal="center" vertical="center"/>
      <protection hidden="1"/>
    </xf>
    <xf numFmtId="165" fontId="15" fillId="2" borderId="0" xfId="10" applyNumberFormat="1" applyFont="1" applyFill="1" applyBorder="1" applyAlignment="1" applyProtection="1">
      <alignment horizontal="center" vertical="center" wrapText="1"/>
      <protection hidden="1"/>
    </xf>
    <xf numFmtId="4" fontId="48" fillId="2" borderId="0" xfId="10" applyNumberFormat="1" applyFont="1" applyFill="1" applyBorder="1" applyAlignment="1" applyProtection="1">
      <alignment horizontal="center" vertical="center"/>
      <protection hidden="1"/>
    </xf>
    <xf numFmtId="37" fontId="76" fillId="0" borderId="19" xfId="0" applyNumberFormat="1" applyFont="1" applyBorder="1" applyAlignment="1">
      <alignment horizontal="center" vertical="center"/>
    </xf>
    <xf numFmtId="4" fontId="18" fillId="0" borderId="17" xfId="9" applyNumberFormat="1" applyFont="1" applyBorder="1" applyAlignment="1">
      <alignment horizontal="center" vertical="center"/>
    </xf>
    <xf numFmtId="4" fontId="18" fillId="0" borderId="18" xfId="9" applyNumberFormat="1" applyFont="1" applyBorder="1" applyAlignment="1">
      <alignment horizontal="center" vertical="center"/>
    </xf>
    <xf numFmtId="170" fontId="26" fillId="0" borderId="0" xfId="10" applyFont="1" applyFill="1" applyAlignment="1" applyProtection="1">
      <alignment horizontal="center" vertical="center"/>
    </xf>
    <xf numFmtId="4" fontId="75" fillId="0" borderId="30" xfId="9" applyNumberFormat="1" applyFont="1" applyBorder="1" applyAlignment="1" applyProtection="1">
      <alignment horizontal="center" vertical="center" wrapText="1"/>
      <protection hidden="1"/>
    </xf>
    <xf numFmtId="1" fontId="92" fillId="2" borderId="5" xfId="9" applyNumberFormat="1" applyFont="1" applyFill="1" applyBorder="1" applyAlignment="1">
      <alignment horizontal="center" vertical="center" wrapText="1"/>
    </xf>
    <xf numFmtId="0" fontId="93" fillId="0" borderId="19" xfId="9" applyFont="1" applyBorder="1" applyAlignment="1">
      <alignment horizontal="center" vertical="center" textRotation="90" wrapText="1"/>
    </xf>
    <xf numFmtId="0" fontId="94" fillId="0" borderId="19" xfId="9" applyFont="1" applyBorder="1" applyAlignment="1">
      <alignment horizontal="left" vertical="center" wrapText="1"/>
    </xf>
    <xf numFmtId="167" fontId="37" fillId="0" borderId="5" xfId="1" applyFont="1" applyFill="1" applyBorder="1" applyAlignment="1" applyProtection="1">
      <alignment vertical="center"/>
    </xf>
    <xf numFmtId="167" fontId="55" fillId="4" borderId="5" xfId="1" applyFont="1" applyFill="1" applyBorder="1" applyAlignment="1" applyProtection="1">
      <alignment vertical="center"/>
    </xf>
    <xf numFmtId="39" fontId="0" fillId="0" borderId="0" xfId="0" applyAlignment="1">
      <alignment vertical="center"/>
    </xf>
    <xf numFmtId="1" fontId="41" fillId="2" borderId="5" xfId="0" applyNumberFormat="1" applyFont="1" applyFill="1" applyBorder="1" applyAlignment="1" applyProtection="1">
      <alignment horizontal="center" vertical="center"/>
      <protection locked="0"/>
    </xf>
    <xf numFmtId="169" fontId="98" fillId="2" borderId="5" xfId="0" applyNumberFormat="1" applyFont="1" applyFill="1" applyBorder="1" applyAlignment="1">
      <alignment horizontal="center" vertical="center"/>
    </xf>
    <xf numFmtId="167" fontId="41" fillId="2" borderId="5" xfId="1" applyFont="1" applyFill="1" applyBorder="1" applyAlignment="1" applyProtection="1">
      <alignment horizontal="center" vertical="center"/>
    </xf>
    <xf numFmtId="1" fontId="41" fillId="2" borderId="5" xfId="1" applyNumberFormat="1" applyFont="1" applyFill="1" applyBorder="1" applyAlignment="1" applyProtection="1">
      <alignment horizontal="center" vertical="center"/>
      <protection locked="0"/>
    </xf>
    <xf numFmtId="2" fontId="41" fillId="2" borderId="5" xfId="1" applyNumberFormat="1" applyFont="1" applyFill="1" applyBorder="1" applyAlignment="1" applyProtection="1">
      <alignment horizontal="center" vertical="center"/>
      <protection locked="0"/>
    </xf>
    <xf numFmtId="167" fontId="41" fillId="2" borderId="5" xfId="1" applyFont="1" applyFill="1" applyBorder="1" applyAlignment="1">
      <alignment horizontal="center" vertical="center"/>
    </xf>
    <xf numFmtId="39" fontId="41" fillId="2" borderId="5" xfId="0" applyFont="1" applyFill="1" applyBorder="1" applyAlignment="1">
      <alignment horizontal="center" vertical="center"/>
    </xf>
    <xf numFmtId="39" fontId="99" fillId="2" borderId="0" xfId="0" applyFont="1" applyFill="1" applyAlignment="1">
      <alignment vertical="center"/>
    </xf>
    <xf numFmtId="167" fontId="95" fillId="2" borderId="5" xfId="1" applyFont="1" applyFill="1" applyBorder="1" applyAlignment="1" applyProtection="1">
      <alignment vertical="center"/>
    </xf>
    <xf numFmtId="1" fontId="95" fillId="2" borderId="5" xfId="1" applyNumberFormat="1" applyFont="1" applyFill="1" applyBorder="1" applyAlignment="1" applyProtection="1">
      <alignment horizontal="center" vertical="center"/>
      <protection locked="0"/>
    </xf>
    <xf numFmtId="166" fontId="0" fillId="0" borderId="0" xfId="4" applyFont="1"/>
    <xf numFmtId="39" fontId="16" fillId="0" borderId="19" xfId="0" applyFont="1" applyBorder="1"/>
    <xf numFmtId="166" fontId="16" fillId="0" borderId="19" xfId="4" applyFont="1" applyBorder="1"/>
    <xf numFmtId="166" fontId="16" fillId="0" borderId="19" xfId="4" applyFont="1" applyFill="1" applyBorder="1"/>
    <xf numFmtId="166" fontId="100" fillId="4" borderId="5" xfId="4" applyFont="1" applyFill="1" applyBorder="1" applyAlignment="1">
      <alignment horizontal="center" vertical="center"/>
    </xf>
    <xf numFmtId="39" fontId="101" fillId="2" borderId="5" xfId="0" applyFont="1" applyFill="1" applyBorder="1" applyAlignment="1" applyProtection="1">
      <alignment horizontal="center" vertical="center" wrapText="1"/>
      <protection locked="0"/>
    </xf>
    <xf numFmtId="14" fontId="102" fillId="0" borderId="19" xfId="0" applyNumberFormat="1" applyFont="1" applyBorder="1" applyAlignment="1">
      <alignment horizontal="center"/>
    </xf>
    <xf numFmtId="166" fontId="102" fillId="0" borderId="19" xfId="4" applyFont="1" applyBorder="1"/>
    <xf numFmtId="39" fontId="102" fillId="0" borderId="19" xfId="0" applyFont="1" applyBorder="1" applyAlignment="1">
      <alignment horizontal="center"/>
    </xf>
    <xf numFmtId="39" fontId="0" fillId="0" borderId="0" xfId="0" applyAlignment="1">
      <alignment horizontal="center" vertical="center"/>
    </xf>
    <xf numFmtId="39" fontId="0" fillId="0" borderId="0" xfId="0" applyAlignment="1">
      <alignment horizontal="center"/>
    </xf>
    <xf numFmtId="39" fontId="0" fillId="0" borderId="19" xfId="0" applyBorder="1" applyAlignment="1">
      <alignment horizontal="center"/>
    </xf>
    <xf numFmtId="39" fontId="103" fillId="0" borderId="19" xfId="0" applyFont="1" applyBorder="1" applyAlignment="1">
      <alignment horizontal="center"/>
    </xf>
    <xf numFmtId="39" fontId="0" fillId="0" borderId="28" xfId="0" applyBorder="1" applyAlignment="1">
      <alignment horizontal="center"/>
    </xf>
    <xf numFmtId="39" fontId="105" fillId="2" borderId="19" xfId="0" applyFont="1" applyFill="1" applyBorder="1" applyAlignment="1">
      <alignment horizontal="center" vertical="center"/>
    </xf>
    <xf numFmtId="180" fontId="105" fillId="2" borderId="19" xfId="0" applyNumberFormat="1" applyFont="1" applyFill="1" applyBorder="1" applyAlignment="1">
      <alignment horizontal="center" vertical="center"/>
    </xf>
    <xf numFmtId="181" fontId="105" fillId="2" borderId="19" xfId="0" applyNumberFormat="1" applyFont="1" applyFill="1" applyBorder="1" applyAlignment="1">
      <alignment horizontal="center" vertical="center"/>
    </xf>
    <xf numFmtId="179" fontId="105" fillId="0" borderId="31" xfId="4" applyNumberFormat="1" applyFont="1" applyFill="1" applyBorder="1" applyAlignment="1">
      <alignment horizontal="center" vertical="center"/>
    </xf>
    <xf numFmtId="39" fontId="0" fillId="0" borderId="28" xfId="0" applyBorder="1"/>
    <xf numFmtId="39" fontId="0" fillId="0" borderId="19" xfId="0" applyBorder="1"/>
    <xf numFmtId="179" fontId="96" fillId="4" borderId="19" xfId="0" applyNumberFormat="1" applyFont="1" applyFill="1" applyBorder="1" applyAlignment="1">
      <alignment vertical="center"/>
    </xf>
    <xf numFmtId="166" fontId="102" fillId="4" borderId="19" xfId="4" applyFont="1" applyFill="1" applyBorder="1"/>
    <xf numFmtId="39" fontId="38" fillId="2" borderId="5" xfId="0" applyFont="1" applyFill="1" applyBorder="1" applyAlignment="1">
      <alignment horizontal="center" vertical="center"/>
    </xf>
    <xf numFmtId="39" fontId="40" fillId="2" borderId="5" xfId="0" applyFont="1" applyFill="1" applyBorder="1" applyAlignment="1">
      <alignment horizontal="center" vertical="center" textRotation="90" wrapText="1"/>
    </xf>
    <xf numFmtId="39" fontId="46" fillId="2" borderId="5" xfId="0" applyFont="1" applyFill="1" applyBorder="1" applyAlignment="1">
      <alignment horizontal="center" vertical="center" textRotation="90" wrapText="1"/>
    </xf>
    <xf numFmtId="1" fontId="0" fillId="0" borderId="19" xfId="0" applyNumberFormat="1" applyBorder="1" applyAlignment="1">
      <alignment vertical="center" textRotation="90"/>
    </xf>
    <xf numFmtId="167" fontId="55" fillId="2" borderId="5" xfId="1" applyFont="1" applyFill="1" applyBorder="1" applyAlignment="1">
      <alignment horizontal="center" vertical="center"/>
    </xf>
    <xf numFmtId="39" fontId="106" fillId="2" borderId="5" xfId="0" applyFont="1" applyFill="1" applyBorder="1" applyAlignment="1">
      <alignment horizontal="left" vertical="center" wrapText="1"/>
    </xf>
    <xf numFmtId="39" fontId="47" fillId="2" borderId="5" xfId="0" applyFont="1" applyFill="1" applyBorder="1" applyAlignment="1">
      <alignment horizontal="center" vertical="center" textRotation="90" wrapText="1"/>
    </xf>
    <xf numFmtId="39" fontId="101" fillId="2" borderId="5" xfId="0" applyFont="1" applyFill="1" applyBorder="1" applyAlignment="1" applyProtection="1">
      <alignment horizontal="center" vertical="center" textRotation="90" wrapText="1"/>
      <protection locked="0"/>
    </xf>
    <xf numFmtId="167" fontId="41" fillId="4" borderId="5" xfId="1" applyFont="1" applyFill="1" applyBorder="1" applyAlignment="1" applyProtection="1">
      <alignment horizontal="center" vertical="center"/>
    </xf>
    <xf numFmtId="0" fontId="37" fillId="4" borderId="25" xfId="8" applyFont="1" applyFill="1" applyBorder="1" applyAlignment="1">
      <alignment horizontal="center" vertical="center"/>
    </xf>
    <xf numFmtId="0" fontId="95" fillId="0" borderId="19" xfId="8" applyFont="1" applyBorder="1" applyAlignment="1">
      <alignment horizontal="center" vertical="center"/>
    </xf>
    <xf numFmtId="3" fontId="95" fillId="0" borderId="19" xfId="8" applyNumberFormat="1" applyFont="1" applyBorder="1" applyAlignment="1">
      <alignment horizontal="center" vertical="center"/>
    </xf>
    <xf numFmtId="1" fontId="95" fillId="2" borderId="19" xfId="8" applyNumberFormat="1" applyFont="1" applyFill="1" applyBorder="1" applyAlignment="1">
      <alignment horizontal="center" vertical="center"/>
    </xf>
    <xf numFmtId="1" fontId="95" fillId="2" borderId="19" xfId="8" applyNumberFormat="1" applyFont="1" applyFill="1" applyBorder="1" applyAlignment="1" applyProtection="1">
      <alignment horizontal="center" vertical="center"/>
      <protection hidden="1"/>
    </xf>
    <xf numFmtId="4" fontId="95" fillId="0" borderId="19" xfId="8" applyNumberFormat="1" applyFont="1" applyBorder="1" applyAlignment="1">
      <alignment horizontal="center" vertical="center"/>
    </xf>
    <xf numFmtId="0" fontId="95" fillId="0" borderId="19" xfId="8" applyFont="1" applyBorder="1" applyAlignment="1" applyProtection="1">
      <alignment horizontal="center" vertical="center"/>
      <protection hidden="1"/>
    </xf>
    <xf numFmtId="0" fontId="95" fillId="0" borderId="19" xfId="0" applyNumberFormat="1" applyFont="1" applyBorder="1" applyAlignment="1">
      <alignment horizontal="center" vertical="center"/>
    </xf>
    <xf numFmtId="170" fontId="95" fillId="0" borderId="19" xfId="7" applyFont="1" applyFill="1" applyBorder="1" applyAlignment="1" applyProtection="1">
      <alignment horizontal="center" vertical="center"/>
      <protection hidden="1"/>
    </xf>
    <xf numFmtId="1" fontId="95" fillId="0" borderId="19" xfId="8" applyNumberFormat="1" applyFont="1" applyBorder="1" applyAlignment="1" applyProtection="1">
      <alignment horizontal="center" vertical="center"/>
      <protection hidden="1"/>
    </xf>
    <xf numFmtId="2" fontId="95" fillId="0" borderId="19" xfId="8" applyNumberFormat="1" applyFont="1" applyBorder="1" applyAlignment="1">
      <alignment horizontal="center" vertical="center"/>
    </xf>
    <xf numFmtId="4" fontId="107" fillId="0" borderId="19" xfId="5" applyNumberFormat="1" applyFont="1" applyBorder="1" applyAlignment="1" applyProtection="1">
      <alignment horizontal="center" vertical="center" wrapText="1"/>
      <protection hidden="1"/>
    </xf>
    <xf numFmtId="2" fontId="37" fillId="0" borderId="19" xfId="8" applyNumberFormat="1" applyFont="1" applyBorder="1" applyAlignment="1">
      <alignment horizontal="center" vertical="center" textRotation="90" wrapText="1"/>
    </xf>
    <xf numFmtId="39" fontId="56" fillId="2" borderId="5" xfId="9" applyNumberFormat="1" applyFont="1" applyFill="1" applyBorder="1" applyAlignment="1" applyProtection="1">
      <alignment horizontal="center" vertical="center"/>
      <protection hidden="1"/>
    </xf>
    <xf numFmtId="2" fontId="95" fillId="2" borderId="19" xfId="5" applyNumberFormat="1" applyFont="1" applyFill="1" applyBorder="1" applyAlignment="1" applyProtection="1">
      <alignment horizontal="center" vertical="center"/>
      <protection hidden="1"/>
    </xf>
    <xf numFmtId="0" fontId="26" fillId="0" borderId="0" xfId="9" applyFont="1" applyAlignment="1">
      <alignment horizontal="center"/>
    </xf>
    <xf numFmtId="0" fontId="110" fillId="7" borderId="19" xfId="9" applyFont="1" applyFill="1" applyBorder="1" applyAlignment="1" applyProtection="1">
      <alignment horizontal="center" vertical="center" wrapText="1"/>
      <protection hidden="1"/>
    </xf>
    <xf numFmtId="4" fontId="20" fillId="2" borderId="24" xfId="9" applyNumberFormat="1" applyFont="1" applyFill="1" applyBorder="1" applyAlignment="1" applyProtection="1">
      <alignment horizontal="center" vertical="center" textRotation="90" wrapText="1"/>
      <protection hidden="1"/>
    </xf>
    <xf numFmtId="0" fontId="18" fillId="0" borderId="0" xfId="9" applyFont="1" applyAlignment="1">
      <alignment horizontal="center"/>
    </xf>
    <xf numFmtId="4" fontId="20" fillId="2" borderId="20" xfId="9" applyNumberFormat="1" applyFont="1" applyFill="1" applyBorder="1" applyAlignment="1" applyProtection="1">
      <alignment horizontal="center" vertical="center" textRotation="90" wrapText="1"/>
      <protection hidden="1"/>
    </xf>
    <xf numFmtId="0" fontId="29" fillId="4" borderId="19" xfId="9" applyFont="1" applyFill="1" applyBorder="1" applyAlignment="1" applyProtection="1">
      <alignment horizontal="center" vertical="center" wrapText="1"/>
      <protection hidden="1"/>
    </xf>
    <xf numFmtId="0" fontId="112" fillId="4" borderId="19" xfId="9" applyFont="1" applyFill="1" applyBorder="1" applyAlignment="1" applyProtection="1">
      <alignment horizontal="center" vertical="center" wrapText="1"/>
      <protection hidden="1"/>
    </xf>
    <xf numFmtId="170" fontId="110" fillId="8" borderId="19" xfId="10" applyFont="1" applyFill="1" applyBorder="1" applyAlignment="1" applyProtection="1">
      <alignment horizontal="center" vertical="center" wrapText="1"/>
      <protection hidden="1"/>
    </xf>
    <xf numFmtId="0" fontId="110" fillId="8" borderId="19" xfId="9" applyFont="1" applyFill="1" applyBorder="1" applyAlignment="1" applyProtection="1">
      <alignment horizontal="center" vertical="center" wrapText="1"/>
      <protection hidden="1"/>
    </xf>
    <xf numFmtId="4" fontId="20" fillId="2" borderId="21" xfId="9" applyNumberFormat="1" applyFont="1" applyFill="1" applyBorder="1" applyAlignment="1" applyProtection="1">
      <alignment horizontal="center" vertical="center" textRotation="90" wrapText="1"/>
      <protection hidden="1"/>
    </xf>
    <xf numFmtId="0" fontId="33" fillId="2" borderId="19" xfId="9" applyFont="1" applyFill="1" applyBorder="1" applyAlignment="1">
      <alignment horizontal="center" vertical="center" textRotation="90" wrapText="1"/>
    </xf>
    <xf numFmtId="0" fontId="110" fillId="6" borderId="32" xfId="9" applyFont="1" applyFill="1" applyBorder="1" applyAlignment="1">
      <alignment horizontal="center" vertical="center" textRotation="90"/>
    </xf>
    <xf numFmtId="173" fontId="29" fillId="2" borderId="19" xfId="9" applyNumberFormat="1" applyFont="1" applyFill="1" applyBorder="1" applyAlignment="1">
      <alignment horizontal="center" vertical="center"/>
    </xf>
    <xf numFmtId="1" fontId="29" fillId="4" borderId="19" xfId="9" applyNumberFormat="1" applyFont="1" applyFill="1" applyBorder="1" applyAlignment="1">
      <alignment horizontal="center" vertical="center"/>
    </xf>
    <xf numFmtId="1" fontId="29" fillId="2" borderId="19" xfId="9" applyNumberFormat="1" applyFont="1" applyFill="1" applyBorder="1" applyAlignment="1">
      <alignment horizontal="center" vertical="center"/>
    </xf>
    <xf numFmtId="1" fontId="29" fillId="2" borderId="19" xfId="9" applyNumberFormat="1" applyFont="1" applyFill="1" applyBorder="1" applyAlignment="1" applyProtection="1">
      <alignment horizontal="center" vertical="center" wrapText="1"/>
      <protection hidden="1"/>
    </xf>
    <xf numFmtId="1" fontId="29" fillId="2" borderId="19" xfId="9" applyNumberFormat="1" applyFont="1" applyFill="1" applyBorder="1" applyAlignment="1" applyProtection="1">
      <alignment horizontal="center" vertical="center"/>
      <protection hidden="1"/>
    </xf>
    <xf numFmtId="2" fontId="29" fillId="2" borderId="19" xfId="9" applyNumberFormat="1" applyFont="1" applyFill="1" applyBorder="1" applyAlignment="1">
      <alignment horizontal="center" vertical="center"/>
    </xf>
    <xf numFmtId="1" fontId="29" fillId="0" borderId="19" xfId="9" applyNumberFormat="1" applyFont="1" applyBorder="1" applyAlignment="1" applyProtection="1">
      <alignment horizontal="center" vertical="center"/>
      <protection hidden="1"/>
    </xf>
    <xf numFmtId="173" fontId="29" fillId="7" borderId="19" xfId="9" applyNumberFormat="1" applyFont="1" applyFill="1" applyBorder="1" applyAlignment="1" applyProtection="1">
      <alignment horizontal="center" vertical="center"/>
      <protection hidden="1"/>
    </xf>
    <xf numFmtId="173" fontId="29" fillId="0" borderId="19" xfId="9" applyNumberFormat="1" applyFont="1" applyBorder="1" applyAlignment="1" applyProtection="1">
      <alignment horizontal="center" vertical="center"/>
      <protection hidden="1"/>
    </xf>
    <xf numFmtId="1" fontId="29" fillId="7" borderId="19" xfId="9" applyNumberFormat="1" applyFont="1" applyFill="1" applyBorder="1" applyAlignment="1" applyProtection="1">
      <alignment horizontal="center" vertical="center"/>
      <protection hidden="1"/>
    </xf>
    <xf numFmtId="173" fontId="29" fillId="2" borderId="19" xfId="9" applyNumberFormat="1" applyFont="1" applyFill="1" applyBorder="1" applyAlignment="1" applyProtection="1">
      <alignment horizontal="center" vertical="center"/>
      <protection hidden="1"/>
    </xf>
    <xf numFmtId="2" fontId="29" fillId="2" borderId="19" xfId="9" applyNumberFormat="1" applyFont="1" applyFill="1" applyBorder="1" applyAlignment="1" applyProtection="1">
      <alignment horizontal="center" vertical="center"/>
      <protection hidden="1"/>
    </xf>
    <xf numFmtId="1" fontId="29" fillId="0" borderId="19" xfId="10" applyNumberFormat="1" applyFont="1" applyFill="1" applyBorder="1" applyAlignment="1" applyProtection="1">
      <alignment horizontal="center" vertical="center"/>
      <protection hidden="1"/>
    </xf>
    <xf numFmtId="173" fontId="29" fillId="0" borderId="19" xfId="9" applyNumberFormat="1" applyFont="1" applyBorder="1" applyAlignment="1">
      <alignment horizontal="center" vertical="center" wrapText="1"/>
    </xf>
    <xf numFmtId="173" fontId="29" fillId="2" borderId="19" xfId="10" applyNumberFormat="1" applyFont="1" applyFill="1" applyBorder="1" applyAlignment="1" applyProtection="1">
      <alignment horizontal="center" vertical="center"/>
      <protection hidden="1"/>
    </xf>
    <xf numFmtId="1" fontId="29" fillId="0" borderId="19" xfId="9" applyNumberFormat="1" applyFont="1" applyBorder="1" applyAlignment="1">
      <alignment horizontal="center" vertical="center"/>
    </xf>
    <xf numFmtId="10" fontId="29" fillId="0" borderId="19" xfId="9" applyNumberFormat="1" applyFont="1" applyBorder="1" applyAlignment="1" applyProtection="1">
      <alignment horizontal="center" vertical="center" wrapText="1"/>
      <protection hidden="1"/>
    </xf>
    <xf numFmtId="2" fontId="26" fillId="0" borderId="31" xfId="10" applyNumberFormat="1" applyFont="1" applyFill="1" applyBorder="1" applyAlignment="1" applyProtection="1">
      <alignment horizontal="center" vertical="center"/>
      <protection hidden="1"/>
    </xf>
    <xf numFmtId="1" fontId="26" fillId="0" borderId="19" xfId="10" applyNumberFormat="1" applyFont="1" applyFill="1" applyBorder="1" applyAlignment="1" applyProtection="1">
      <alignment horizontal="center" vertical="center"/>
      <protection hidden="1"/>
    </xf>
    <xf numFmtId="2" fontId="26" fillId="0" borderId="19" xfId="9" applyNumberFormat="1" applyFont="1" applyBorder="1" applyAlignment="1">
      <alignment horizontal="center" vertical="center"/>
    </xf>
    <xf numFmtId="2" fontId="29" fillId="0" borderId="31" xfId="10" applyNumberFormat="1" applyFont="1" applyFill="1" applyBorder="1" applyAlignment="1" applyProtection="1">
      <alignment horizontal="center" vertical="center"/>
      <protection hidden="1"/>
    </xf>
    <xf numFmtId="0" fontId="62" fillId="0" borderId="5" xfId="9" applyFont="1" applyBorder="1" applyAlignment="1">
      <alignment horizontal="left" vertical="top"/>
    </xf>
    <xf numFmtId="4" fontId="29" fillId="0" borderId="25" xfId="9" applyNumberFormat="1" applyFont="1" applyBorder="1" applyAlignment="1" applyProtection="1">
      <alignment horizontal="center" vertical="center" wrapText="1"/>
      <protection hidden="1"/>
    </xf>
    <xf numFmtId="1" fontId="18" fillId="2" borderId="19" xfId="25" applyNumberFormat="1" applyFont="1" applyFill="1" applyBorder="1" applyAlignment="1">
      <alignment horizontal="center" vertical="center" textRotation="90"/>
    </xf>
    <xf numFmtId="0" fontId="74" fillId="2" borderId="19" xfId="9" applyFont="1" applyFill="1" applyBorder="1" applyAlignment="1">
      <alignment horizontal="center" vertical="top" wrapText="1"/>
    </xf>
    <xf numFmtId="0" fontId="113" fillId="2" borderId="19" xfId="9" applyFont="1" applyFill="1" applyBorder="1" applyAlignment="1">
      <alignment horizontal="center" vertical="center" textRotation="90" wrapText="1"/>
    </xf>
    <xf numFmtId="1" fontId="29" fillId="0" borderId="19" xfId="9" applyNumberFormat="1" applyFont="1" applyBorder="1" applyAlignment="1">
      <alignment horizontal="center" vertical="center" wrapText="1"/>
    </xf>
    <xf numFmtId="0" fontId="62" fillId="0" borderId="6" xfId="9" applyFont="1" applyBorder="1" applyAlignment="1">
      <alignment horizontal="left" vertical="top"/>
    </xf>
    <xf numFmtId="0" fontId="18" fillId="0" borderId="25" xfId="25" applyFont="1" applyBorder="1" applyAlignment="1">
      <alignment horizontal="center" vertical="center"/>
    </xf>
    <xf numFmtId="1" fontId="18" fillId="2" borderId="0" xfId="25" applyNumberFormat="1" applyFont="1" applyFill="1" applyAlignment="1">
      <alignment horizontal="center" vertical="center" textRotation="90"/>
    </xf>
    <xf numFmtId="0" fontId="111" fillId="0" borderId="0" xfId="9" applyFont="1" applyAlignment="1">
      <alignment horizontal="center" vertical="center" wrapText="1"/>
    </xf>
    <xf numFmtId="0" fontId="26" fillId="0" borderId="0" xfId="9" applyFont="1" applyAlignment="1">
      <alignment horizontal="center" vertical="center" wrapText="1"/>
    </xf>
    <xf numFmtId="1" fontId="29" fillId="0" borderId="0" xfId="9" applyNumberFormat="1" applyFont="1" applyAlignment="1">
      <alignment horizontal="center" vertical="center" wrapText="1"/>
    </xf>
    <xf numFmtId="1" fontId="29" fillId="0" borderId="0" xfId="24" applyNumberFormat="1" applyFont="1" applyFill="1" applyBorder="1" applyAlignment="1">
      <alignment horizontal="center" vertical="center" wrapText="1"/>
    </xf>
    <xf numFmtId="173" fontId="29" fillId="0" borderId="0" xfId="24" applyNumberFormat="1" applyFont="1" applyFill="1" applyBorder="1" applyAlignment="1">
      <alignment horizontal="center" vertical="center" wrapText="1"/>
    </xf>
    <xf numFmtId="1" fontId="27" fillId="0" borderId="0" xfId="24" applyNumberFormat="1" applyFont="1" applyFill="1" applyBorder="1" applyAlignment="1">
      <alignment horizontal="center" vertical="center" wrapText="1"/>
    </xf>
    <xf numFmtId="2" fontId="74" fillId="2" borderId="0" xfId="24" applyNumberFormat="1" applyFont="1" applyFill="1" applyBorder="1" applyAlignment="1">
      <alignment horizontal="center" vertical="center" wrapText="1"/>
    </xf>
    <xf numFmtId="0" fontId="62" fillId="0" borderId="0" xfId="9" applyFont="1" applyAlignment="1">
      <alignment horizontal="left" vertical="top"/>
    </xf>
    <xf numFmtId="0" fontId="18" fillId="0" borderId="0" xfId="25" applyFont="1" applyAlignment="1">
      <alignment horizontal="center" vertical="center"/>
    </xf>
    <xf numFmtId="0" fontId="74" fillId="2" borderId="0" xfId="9" applyFont="1" applyFill="1" applyAlignment="1">
      <alignment horizontal="center" vertical="center"/>
    </xf>
    <xf numFmtId="0" fontId="83" fillId="0" borderId="0" xfId="9" applyFont="1" applyAlignment="1">
      <alignment horizontal="center" textRotation="90"/>
    </xf>
    <xf numFmtId="1" fontId="29" fillId="2" borderId="0" xfId="9" applyNumberFormat="1" applyFont="1" applyFill="1" applyAlignment="1">
      <alignment horizontal="center" vertical="center"/>
    </xf>
    <xf numFmtId="0" fontId="18" fillId="2" borderId="0" xfId="9" applyFont="1" applyFill="1" applyAlignment="1" applyProtection="1">
      <alignment horizontal="center" vertical="center" wrapText="1"/>
      <protection hidden="1"/>
    </xf>
    <xf numFmtId="0" fontId="26" fillId="2" borderId="0" xfId="9" applyFont="1" applyFill="1" applyAlignment="1" applyProtection="1">
      <alignment horizontal="center" vertical="center" wrapText="1"/>
      <protection hidden="1"/>
    </xf>
    <xf numFmtId="4" fontId="26" fillId="0" borderId="0" xfId="9" applyNumberFormat="1" applyFont="1" applyAlignment="1">
      <alignment horizontal="center"/>
    </xf>
    <xf numFmtId="0" fontId="26" fillId="7" borderId="0" xfId="9" applyFont="1" applyFill="1" applyAlignment="1">
      <alignment horizontal="center"/>
    </xf>
    <xf numFmtId="173" fontId="26" fillId="0" borderId="0" xfId="9" applyNumberFormat="1" applyFont="1" applyAlignment="1">
      <alignment horizontal="center"/>
    </xf>
    <xf numFmtId="0" fontId="26" fillId="2" borderId="0" xfId="9" applyFont="1" applyFill="1" applyAlignment="1">
      <alignment horizontal="center"/>
    </xf>
    <xf numFmtId="173" fontId="26" fillId="2" borderId="0" xfId="9" applyNumberFormat="1" applyFont="1" applyFill="1" applyAlignment="1">
      <alignment horizontal="center"/>
    </xf>
    <xf numFmtId="170" fontId="26" fillId="0" borderId="0" xfId="10" applyFont="1" applyFill="1" applyAlignment="1" applyProtection="1">
      <alignment horizontal="center"/>
    </xf>
    <xf numFmtId="2" fontId="26" fillId="0" borderId="0" xfId="9" applyNumberFormat="1" applyFont="1" applyAlignment="1">
      <alignment horizontal="center"/>
    </xf>
    <xf numFmtId="4" fontId="26" fillId="0" borderId="0" xfId="9" applyNumberFormat="1" applyFont="1" applyAlignment="1">
      <alignment horizontal="left"/>
    </xf>
    <xf numFmtId="182" fontId="26" fillId="0" borderId="0" xfId="9" applyNumberFormat="1" applyFont="1" applyAlignment="1">
      <alignment horizontal="center"/>
    </xf>
    <xf numFmtId="4" fontId="111" fillId="2" borderId="0" xfId="9" applyNumberFormat="1" applyFont="1" applyFill="1" applyAlignment="1">
      <alignment horizontal="center" vertical="center" wrapText="1"/>
    </xf>
    <xf numFmtId="0" fontId="18" fillId="2" borderId="0" xfId="9" applyFont="1" applyFill="1" applyAlignment="1">
      <alignment horizontal="center" vertical="center"/>
    </xf>
    <xf numFmtId="0" fontId="83" fillId="2" borderId="0" xfId="9" applyFont="1" applyFill="1" applyAlignment="1">
      <alignment horizontal="center" vertical="center" textRotation="90"/>
    </xf>
    <xf numFmtId="4" fontId="63" fillId="2" borderId="0" xfId="9" applyNumberFormat="1" applyFont="1" applyFill="1" applyAlignment="1">
      <alignment horizontal="center" vertical="center"/>
    </xf>
    <xf numFmtId="0" fontId="26" fillId="2" borderId="0" xfId="9" applyFont="1" applyFill="1" applyAlignment="1">
      <alignment horizontal="center" vertical="center"/>
    </xf>
    <xf numFmtId="4" fontId="26" fillId="2" borderId="0" xfId="9" applyNumberFormat="1" applyFont="1" applyFill="1" applyAlignment="1">
      <alignment horizontal="center" vertical="center"/>
    </xf>
    <xf numFmtId="170" fontId="26" fillId="2" borderId="0" xfId="10" applyFont="1" applyFill="1" applyAlignment="1" applyProtection="1">
      <alignment horizontal="center"/>
    </xf>
    <xf numFmtId="0" fontId="26" fillId="2" borderId="0" xfId="9" applyFont="1" applyFill="1" applyAlignment="1">
      <alignment horizontal="center" vertical="center" wrapText="1"/>
    </xf>
    <xf numFmtId="0" fontId="26" fillId="2" borderId="0" xfId="10" applyNumberFormat="1" applyFont="1" applyFill="1" applyAlignment="1" applyProtection="1">
      <alignment horizontal="center" vertical="center"/>
    </xf>
    <xf numFmtId="170" fontId="26" fillId="2" borderId="0" xfId="10" applyFont="1" applyFill="1" applyAlignment="1" applyProtection="1">
      <alignment horizontal="center" vertical="center"/>
    </xf>
    <xf numFmtId="4" fontId="26" fillId="2" borderId="0" xfId="9" applyNumberFormat="1" applyFont="1" applyFill="1" applyAlignment="1">
      <alignment horizontal="left" vertical="center"/>
    </xf>
    <xf numFmtId="4" fontId="26" fillId="2" borderId="0" xfId="9" applyNumberFormat="1" applyFont="1" applyFill="1" applyAlignment="1">
      <alignment horizontal="center"/>
    </xf>
    <xf numFmtId="182" fontId="26" fillId="2" borderId="0" xfId="9" applyNumberFormat="1" applyFont="1" applyFill="1" applyAlignment="1">
      <alignment horizontal="center"/>
    </xf>
    <xf numFmtId="0" fontId="111" fillId="2" borderId="0" xfId="9" applyFont="1" applyFill="1" applyAlignment="1">
      <alignment horizontal="center" vertical="center" wrapText="1"/>
    </xf>
    <xf numFmtId="0" fontId="83" fillId="2" borderId="0" xfId="9" applyFont="1" applyFill="1" applyAlignment="1">
      <alignment horizontal="center" textRotation="90"/>
    </xf>
    <xf numFmtId="170" fontId="74" fillId="2" borderId="0" xfId="9" applyNumberFormat="1" applyFont="1" applyFill="1" applyAlignment="1">
      <alignment horizontal="center" vertical="center"/>
    </xf>
    <xf numFmtId="0" fontId="26" fillId="2" borderId="0" xfId="9" applyFont="1" applyFill="1" applyAlignment="1">
      <alignment horizontal="left" vertical="center"/>
    </xf>
    <xf numFmtId="0" fontId="26" fillId="2" borderId="0" xfId="9" applyFont="1" applyFill="1" applyAlignment="1">
      <alignment horizontal="center" wrapText="1"/>
    </xf>
    <xf numFmtId="4" fontId="26" fillId="2" borderId="0" xfId="9" applyNumberFormat="1" applyFont="1" applyFill="1" applyAlignment="1">
      <alignment horizontal="left"/>
    </xf>
    <xf numFmtId="2" fontId="26" fillId="2" borderId="0" xfId="9" applyNumberFormat="1" applyFont="1" applyFill="1" applyAlignment="1">
      <alignment horizontal="center"/>
    </xf>
    <xf numFmtId="0" fontId="74" fillId="7" borderId="0" xfId="9" applyFont="1" applyFill="1" applyAlignment="1">
      <alignment horizontal="center"/>
    </xf>
    <xf numFmtId="170" fontId="74" fillId="0" borderId="0" xfId="10" applyFont="1" applyFill="1" applyAlignment="1" applyProtection="1">
      <alignment horizontal="center" wrapText="1"/>
    </xf>
    <xf numFmtId="170" fontId="74" fillId="0" borderId="0" xfId="10" applyFont="1" applyFill="1" applyAlignment="1" applyProtection="1">
      <alignment horizontal="center"/>
    </xf>
    <xf numFmtId="0" fontId="26" fillId="0" borderId="0" xfId="9" applyFont="1" applyAlignment="1">
      <alignment horizontal="center" wrapText="1"/>
    </xf>
    <xf numFmtId="0" fontId="26" fillId="0" borderId="0" xfId="10" applyNumberFormat="1" applyFont="1" applyFill="1" applyAlignment="1" applyProtection="1">
      <alignment horizontal="center" vertical="center"/>
    </xf>
    <xf numFmtId="183" fontId="18" fillId="0" borderId="0" xfId="9" applyNumberFormat="1" applyFont="1" applyAlignment="1">
      <alignment horizontal="center"/>
    </xf>
    <xf numFmtId="0" fontId="29" fillId="0" borderId="0" xfId="9" applyFont="1" applyAlignment="1">
      <alignment horizontal="center"/>
    </xf>
    <xf numFmtId="0" fontId="18" fillId="2" borderId="19" xfId="25" applyFont="1" applyFill="1" applyBorder="1" applyAlignment="1">
      <alignment horizontal="center" vertical="center" wrapText="1"/>
    </xf>
    <xf numFmtId="2" fontId="29" fillId="2" borderId="19" xfId="9" applyNumberFormat="1" applyFont="1" applyFill="1" applyBorder="1" applyAlignment="1">
      <alignment horizontal="center" vertical="center" wrapText="1"/>
    </xf>
    <xf numFmtId="1" fontId="29" fillId="4" borderId="19" xfId="9" applyNumberFormat="1" applyFont="1" applyFill="1" applyBorder="1" applyAlignment="1">
      <alignment horizontal="center" vertical="center" wrapText="1"/>
    </xf>
    <xf numFmtId="1" fontId="29" fillId="16" borderId="19" xfId="9" applyNumberFormat="1" applyFont="1" applyFill="1" applyBorder="1" applyAlignment="1">
      <alignment horizontal="center" vertical="center" wrapText="1"/>
    </xf>
    <xf numFmtId="0" fontId="18" fillId="0" borderId="0" xfId="9" applyFont="1" applyAlignment="1">
      <alignment horizontal="center" vertical="center" wrapText="1"/>
    </xf>
    <xf numFmtId="3" fontId="21" fillId="4" borderId="0" xfId="9" applyNumberFormat="1" applyFont="1" applyFill="1" applyAlignment="1">
      <alignment horizontal="center" vertical="center"/>
    </xf>
    <xf numFmtId="173" fontId="29" fillId="4" borderId="19" xfId="9" applyNumberFormat="1" applyFont="1" applyFill="1" applyBorder="1" applyAlignment="1">
      <alignment horizontal="center" vertical="center" wrapText="1"/>
    </xf>
    <xf numFmtId="0" fontId="62" fillId="4" borderId="19" xfId="9" applyFont="1" applyFill="1" applyBorder="1" applyAlignment="1">
      <alignment horizontal="center" vertical="center" textRotation="90" wrapText="1"/>
    </xf>
    <xf numFmtId="0" fontId="74" fillId="0" borderId="0" xfId="10" applyNumberFormat="1" applyFont="1" applyAlignment="1">
      <alignment vertical="center"/>
    </xf>
    <xf numFmtId="2" fontId="29" fillId="0" borderId="19" xfId="9" applyNumberFormat="1" applyFont="1" applyBorder="1" applyAlignment="1">
      <alignment horizontal="center" vertical="center" wrapText="1"/>
    </xf>
    <xf numFmtId="178" fontId="15" fillId="4" borderId="31" xfId="10" applyNumberFormat="1" applyFont="1" applyFill="1" applyBorder="1" applyAlignment="1" applyProtection="1">
      <alignment horizontal="center" vertical="center" wrapText="1"/>
      <protection hidden="1"/>
    </xf>
    <xf numFmtId="178" fontId="18" fillId="0" borderId="31" xfId="10" applyNumberFormat="1" applyFont="1" applyFill="1" applyBorder="1" applyAlignment="1" applyProtection="1">
      <alignment horizontal="center" vertical="center" wrapText="1"/>
      <protection hidden="1"/>
    </xf>
    <xf numFmtId="178" fontId="15" fillId="0" borderId="31" xfId="10" applyNumberFormat="1" applyFont="1" applyFill="1" applyBorder="1" applyAlignment="1" applyProtection="1">
      <alignment horizontal="center" vertical="center" wrapText="1"/>
      <protection hidden="1"/>
    </xf>
    <xf numFmtId="0" fontId="62" fillId="0" borderId="19" xfId="9" applyFont="1" applyBorder="1" applyAlignment="1">
      <alignment horizontal="center" vertical="center" textRotation="90" wrapText="1"/>
    </xf>
    <xf numFmtId="0" fontId="83" fillId="4" borderId="19" xfId="9" applyFont="1" applyFill="1" applyBorder="1" applyAlignment="1">
      <alignment horizontal="center" vertical="center" textRotation="90" wrapText="1"/>
    </xf>
    <xf numFmtId="0" fontId="26" fillId="4" borderId="19" xfId="9" applyFont="1" applyFill="1" applyBorder="1" applyAlignment="1">
      <alignment horizontal="center" vertical="center" textRotation="90" wrapText="1"/>
    </xf>
    <xf numFmtId="2" fontId="29" fillId="0" borderId="19" xfId="9" applyNumberFormat="1" applyFont="1" applyBorder="1" applyAlignment="1" applyProtection="1">
      <alignment horizontal="center" vertical="center"/>
      <protection hidden="1"/>
    </xf>
    <xf numFmtId="2" fontId="29" fillId="0" borderId="19" xfId="9" applyNumberFormat="1" applyFont="1" applyBorder="1" applyAlignment="1">
      <alignment horizontal="center" vertical="center"/>
    </xf>
    <xf numFmtId="4" fontId="29" fillId="17" borderId="25" xfId="9" applyNumberFormat="1" applyFont="1" applyFill="1" applyBorder="1" applyAlignment="1" applyProtection="1">
      <alignment horizontal="center" vertical="center" wrapText="1"/>
      <protection hidden="1"/>
    </xf>
    <xf numFmtId="4" fontId="29" fillId="17" borderId="19" xfId="10" applyNumberFormat="1" applyFont="1" applyFill="1" applyBorder="1" applyAlignment="1" applyProtection="1">
      <alignment horizontal="center" vertical="center"/>
      <protection hidden="1"/>
    </xf>
    <xf numFmtId="182" fontId="29" fillId="17" borderId="19" xfId="9" applyNumberFormat="1" applyFont="1" applyFill="1" applyBorder="1" applyAlignment="1" applyProtection="1">
      <alignment horizontal="center" vertical="center"/>
      <protection hidden="1"/>
    </xf>
    <xf numFmtId="4" fontId="29" fillId="17" borderId="19" xfId="9" applyNumberFormat="1" applyFont="1" applyFill="1" applyBorder="1" applyAlignment="1" applyProtection="1">
      <alignment horizontal="center" vertical="center" wrapText="1"/>
      <protection hidden="1"/>
    </xf>
    <xf numFmtId="4" fontId="29" fillId="17" borderId="19" xfId="9" applyNumberFormat="1" applyFont="1" applyFill="1" applyBorder="1" applyAlignment="1" applyProtection="1">
      <alignment horizontal="center" vertical="center"/>
      <protection hidden="1"/>
    </xf>
    <xf numFmtId="0" fontId="18" fillId="17" borderId="25" xfId="25" applyFont="1" applyFill="1" applyBorder="1" applyAlignment="1">
      <alignment horizontal="center" vertical="center"/>
    </xf>
    <xf numFmtId="4" fontId="74" fillId="17" borderId="19" xfId="25" applyNumberFormat="1" applyFont="1" applyFill="1" applyBorder="1" applyAlignment="1">
      <alignment horizontal="center" vertical="center"/>
    </xf>
    <xf numFmtId="0" fontId="18" fillId="17" borderId="0" xfId="25" applyFont="1" applyFill="1" applyAlignment="1">
      <alignment horizontal="center" vertical="center"/>
    </xf>
    <xf numFmtId="3" fontId="74" fillId="17" borderId="0" xfId="25" applyNumberFormat="1" applyFont="1" applyFill="1" applyAlignment="1">
      <alignment horizontal="center" vertical="center"/>
    </xf>
    <xf numFmtId="0" fontId="18" fillId="17" borderId="0" xfId="9" applyFont="1" applyFill="1" applyAlignment="1">
      <alignment horizontal="center"/>
    </xf>
    <xf numFmtId="4" fontId="26" fillId="17" borderId="0" xfId="9" applyNumberFormat="1" applyFont="1" applyFill="1" applyAlignment="1">
      <alignment horizontal="center"/>
    </xf>
    <xf numFmtId="182" fontId="26" fillId="17" borderId="0" xfId="9" applyNumberFormat="1" applyFont="1" applyFill="1" applyAlignment="1">
      <alignment horizontal="center"/>
    </xf>
    <xf numFmtId="183" fontId="18" fillId="17" borderId="0" xfId="9" applyNumberFormat="1" applyFont="1" applyFill="1" applyAlignment="1">
      <alignment horizontal="center"/>
    </xf>
    <xf numFmtId="0" fontId="29" fillId="17" borderId="0" xfId="9" applyFont="1" applyFill="1" applyAlignment="1">
      <alignment horizontal="center"/>
    </xf>
    <xf numFmtId="4" fontId="29" fillId="14" borderId="19" xfId="10" applyNumberFormat="1" applyFont="1" applyFill="1" applyBorder="1" applyAlignment="1" applyProtection="1">
      <alignment horizontal="center" vertical="center"/>
      <protection hidden="1"/>
    </xf>
    <xf numFmtId="182" fontId="29" fillId="14" borderId="19" xfId="9" applyNumberFormat="1" applyFont="1" applyFill="1" applyBorder="1" applyAlignment="1" applyProtection="1">
      <alignment horizontal="center" vertical="center"/>
      <protection hidden="1"/>
    </xf>
    <xf numFmtId="4" fontId="29" fillId="14" borderId="19" xfId="9" applyNumberFormat="1" applyFont="1" applyFill="1" applyBorder="1" applyAlignment="1" applyProtection="1">
      <alignment horizontal="center" vertical="center" wrapText="1"/>
      <protection hidden="1"/>
    </xf>
    <xf numFmtId="4" fontId="29" fillId="14" borderId="19" xfId="9" applyNumberFormat="1" applyFont="1" applyFill="1" applyBorder="1" applyAlignment="1" applyProtection="1">
      <alignment horizontal="center" vertical="center"/>
      <protection hidden="1"/>
    </xf>
    <xf numFmtId="4" fontId="74" fillId="14" borderId="19" xfId="25" applyNumberFormat="1" applyFont="1" applyFill="1" applyBorder="1" applyAlignment="1">
      <alignment horizontal="center" vertical="center"/>
    </xf>
    <xf numFmtId="0" fontId="116" fillId="0" borderId="0" xfId="9" applyFont="1" applyAlignment="1" applyProtection="1">
      <alignment horizontal="center"/>
      <protection hidden="1"/>
    </xf>
    <xf numFmtId="1" fontId="102" fillId="2" borderId="5" xfId="9" applyNumberFormat="1" applyFont="1" applyFill="1" applyBorder="1" applyAlignment="1">
      <alignment horizontal="center" vertical="center"/>
    </xf>
    <xf numFmtId="2" fontId="102" fillId="2" borderId="5" xfId="9" applyNumberFormat="1" applyFont="1" applyFill="1" applyBorder="1" applyAlignment="1">
      <alignment horizontal="center" vertical="center"/>
    </xf>
    <xf numFmtId="1" fontId="90" fillId="2" borderId="5" xfId="9" applyNumberFormat="1" applyFont="1" applyFill="1" applyBorder="1" applyAlignment="1" applyProtection="1">
      <alignment horizontal="center" vertical="center" wrapText="1"/>
      <protection hidden="1"/>
    </xf>
    <xf numFmtId="1" fontId="52" fillId="0" borderId="5" xfId="9" applyNumberFormat="1" applyFont="1" applyBorder="1" applyAlignment="1" applyProtection="1">
      <alignment horizontal="center" vertical="center"/>
      <protection hidden="1"/>
    </xf>
    <xf numFmtId="1" fontId="117" fillId="7" borderId="5" xfId="9" applyNumberFormat="1" applyFont="1" applyFill="1" applyBorder="1" applyAlignment="1" applyProtection="1">
      <alignment horizontal="center" vertical="center"/>
      <protection hidden="1"/>
    </xf>
    <xf numFmtId="2" fontId="117" fillId="7" borderId="5" xfId="9" applyNumberFormat="1" applyFont="1" applyFill="1" applyBorder="1" applyAlignment="1" applyProtection="1">
      <alignment horizontal="center" vertical="center"/>
      <protection hidden="1"/>
    </xf>
    <xf numFmtId="1" fontId="52" fillId="2" borderId="5" xfId="9" applyNumberFormat="1" applyFont="1" applyFill="1" applyBorder="1" applyAlignment="1" applyProtection="1">
      <alignment horizontal="center" vertical="center"/>
      <protection hidden="1"/>
    </xf>
    <xf numFmtId="1" fontId="52" fillId="2" borderId="5" xfId="9" applyNumberFormat="1" applyFont="1" applyFill="1" applyBorder="1" applyAlignment="1" applyProtection="1">
      <alignment horizontal="center" vertical="center" wrapText="1"/>
      <protection hidden="1"/>
    </xf>
    <xf numFmtId="0" fontId="110" fillId="18" borderId="32" xfId="9" applyFont="1" applyFill="1" applyBorder="1" applyAlignment="1">
      <alignment horizontal="center" vertical="center" textRotation="90"/>
    </xf>
    <xf numFmtId="0" fontId="26" fillId="0" borderId="0" xfId="9" applyFont="1"/>
    <xf numFmtId="0" fontId="110" fillId="6" borderId="19" xfId="9" applyFont="1" applyFill="1" applyBorder="1" applyAlignment="1">
      <alignment horizontal="center" vertical="center" textRotation="90" wrapText="1"/>
    </xf>
    <xf numFmtId="1" fontId="52" fillId="2" borderId="5" xfId="9" applyNumberFormat="1" applyFont="1" applyFill="1" applyBorder="1" applyAlignment="1">
      <alignment horizontal="center" vertical="center" wrapText="1"/>
    </xf>
    <xf numFmtId="0" fontId="72" fillId="0" borderId="0" xfId="9" applyFont="1" applyAlignment="1" applyProtection="1">
      <alignment horizontal="left"/>
      <protection hidden="1"/>
    </xf>
    <xf numFmtId="0" fontId="18" fillId="2" borderId="19" xfId="25" applyFont="1" applyFill="1" applyBorder="1" applyAlignment="1">
      <alignment horizontal="left" vertical="center" wrapText="1"/>
    </xf>
    <xf numFmtId="0" fontId="74" fillId="2" borderId="19" xfId="9" applyFont="1" applyFill="1" applyBorder="1" applyAlignment="1">
      <alignment horizontal="left" vertical="top" wrapText="1"/>
    </xf>
    <xf numFmtId="0" fontId="111" fillId="2" borderId="0" xfId="9" applyFont="1" applyFill="1" applyAlignment="1">
      <alignment horizontal="left" vertical="center" wrapText="1"/>
    </xf>
    <xf numFmtId="0" fontId="111" fillId="0" borderId="0" xfId="9" applyFont="1" applyAlignment="1">
      <alignment horizontal="left" vertical="center" wrapText="1"/>
    </xf>
    <xf numFmtId="178" fontId="63" fillId="4" borderId="31" xfId="10" applyNumberFormat="1" applyFont="1" applyFill="1" applyBorder="1" applyAlignment="1" applyProtection="1">
      <alignment horizontal="center" vertical="center" wrapText="1"/>
      <protection hidden="1"/>
    </xf>
    <xf numFmtId="178" fontId="63" fillId="0" borderId="31" xfId="10" applyNumberFormat="1" applyFont="1" applyFill="1" applyBorder="1" applyAlignment="1" applyProtection="1">
      <alignment horizontal="center" vertical="center" wrapText="1"/>
      <protection hidden="1"/>
    </xf>
    <xf numFmtId="170" fontId="106" fillId="0" borderId="19" xfId="7" applyFont="1" applyFill="1" applyBorder="1" applyAlignment="1" applyProtection="1">
      <alignment horizontal="center" vertical="center"/>
      <protection hidden="1"/>
    </xf>
    <xf numFmtId="4" fontId="51" fillId="4" borderId="19" xfId="8" applyNumberFormat="1" applyFont="1" applyFill="1" applyBorder="1" applyAlignment="1">
      <alignment horizontal="center" vertical="center"/>
    </xf>
    <xf numFmtId="0" fontId="60" fillId="18" borderId="5" xfId="9" applyFont="1" applyFill="1" applyBorder="1" applyAlignment="1" applyProtection="1">
      <alignment horizontal="center" vertical="center" textRotation="90" wrapText="1"/>
      <protection hidden="1"/>
    </xf>
    <xf numFmtId="39" fontId="42" fillId="2" borderId="3" xfId="0" applyFont="1" applyFill="1" applyBorder="1" applyAlignment="1">
      <alignment horizontal="center" vertical="center"/>
    </xf>
    <xf numFmtId="39" fontId="120" fillId="2" borderId="0" xfId="0" applyFont="1" applyFill="1" applyAlignment="1" applyProtection="1">
      <alignment vertical="center"/>
      <protection locked="0"/>
    </xf>
    <xf numFmtId="39" fontId="121" fillId="2" borderId="0" xfId="0" applyFont="1" applyFill="1" applyAlignment="1" applyProtection="1">
      <alignment vertical="center"/>
      <protection locked="0"/>
    </xf>
    <xf numFmtId="39" fontId="121" fillId="2" borderId="0" xfId="0" applyFont="1" applyFill="1" applyAlignment="1" applyProtection="1">
      <alignment horizontal="left" vertical="center"/>
      <protection locked="0"/>
    </xf>
    <xf numFmtId="39" fontId="122" fillId="0" borderId="0" xfId="0" applyFont="1" applyAlignment="1" applyProtection="1">
      <alignment vertical="center"/>
      <protection locked="0"/>
    </xf>
    <xf numFmtId="39" fontId="122" fillId="0" borderId="0" xfId="0" applyFont="1" applyAlignment="1" applyProtection="1">
      <alignment horizontal="center" vertical="center"/>
      <protection locked="0"/>
    </xf>
    <xf numFmtId="1" fontId="122" fillId="2" borderId="0" xfId="0" applyNumberFormat="1" applyFont="1" applyFill="1" applyAlignment="1" applyProtection="1">
      <alignment horizontal="center" vertical="center"/>
      <protection locked="0"/>
    </xf>
    <xf numFmtId="1" fontId="122" fillId="0" borderId="0" xfId="0" applyNumberFormat="1" applyFont="1" applyAlignment="1" applyProtection="1">
      <alignment horizontal="center" vertical="center"/>
      <protection locked="0"/>
    </xf>
    <xf numFmtId="39" fontId="122" fillId="2" borderId="0" xfId="0" applyFont="1" applyFill="1" applyAlignment="1" applyProtection="1">
      <alignment vertical="center"/>
      <protection locked="0"/>
    </xf>
    <xf numFmtId="1" fontId="42" fillId="2" borderId="3" xfId="0" applyNumberFormat="1" applyFont="1" applyFill="1" applyBorder="1" applyAlignment="1" applyProtection="1">
      <alignment vertical="center"/>
      <protection locked="0"/>
    </xf>
    <xf numFmtId="39" fontId="42" fillId="2" borderId="3" xfId="0" applyFont="1" applyFill="1" applyBorder="1" applyAlignment="1" applyProtection="1">
      <alignment vertical="center"/>
      <protection locked="0"/>
    </xf>
    <xf numFmtId="1" fontId="42" fillId="2" borderId="0" xfId="0" applyNumberFormat="1" applyFont="1" applyFill="1" applyAlignment="1" applyProtection="1">
      <alignment vertical="center"/>
      <protection locked="0"/>
    </xf>
    <xf numFmtId="39" fontId="42" fillId="2" borderId="3" xfId="0" applyFont="1" applyFill="1" applyBorder="1" applyAlignment="1">
      <alignment vertical="center"/>
    </xf>
    <xf numFmtId="39" fontId="120" fillId="2" borderId="3" xfId="0" applyFont="1" applyFill="1" applyBorder="1" applyAlignment="1" applyProtection="1">
      <alignment vertical="center"/>
      <protection locked="0"/>
    </xf>
    <xf numFmtId="0" fontId="36" fillId="2" borderId="0" xfId="2" applyFont="1" applyFill="1" applyAlignment="1" applyProtection="1">
      <alignment horizontal="center"/>
      <protection hidden="1"/>
    </xf>
    <xf numFmtId="3" fontId="95" fillId="4" borderId="19" xfId="8" applyNumberFormat="1" applyFont="1" applyFill="1" applyBorder="1" applyAlignment="1">
      <alignment horizontal="center" vertical="center"/>
    </xf>
    <xf numFmtId="0" fontId="26" fillId="0" borderId="19" xfId="9" applyFont="1" applyBorder="1" applyAlignment="1">
      <alignment horizontal="center" vertical="center" textRotation="255"/>
    </xf>
    <xf numFmtId="39" fontId="126" fillId="0" borderId="0" xfId="0" applyFont="1" applyAlignment="1">
      <alignment horizontal="center" vertical="center"/>
    </xf>
    <xf numFmtId="39" fontId="127" fillId="0" borderId="0" xfId="0" applyFont="1"/>
    <xf numFmtId="0" fontId="128" fillId="0" borderId="0" xfId="8" applyFont="1" applyAlignment="1" applyProtection="1">
      <alignment horizontal="center" vertical="center"/>
      <protection hidden="1"/>
    </xf>
    <xf numFmtId="0" fontId="124" fillId="2" borderId="0" xfId="2" applyFont="1" applyFill="1" applyProtection="1">
      <protection hidden="1"/>
    </xf>
    <xf numFmtId="0" fontId="124" fillId="2" borderId="0" xfId="2" applyFont="1" applyFill="1" applyAlignment="1" applyProtection="1">
      <alignment horizontal="left" vertical="top"/>
      <protection hidden="1"/>
    </xf>
    <xf numFmtId="0" fontId="51" fillId="2" borderId="0" xfId="2" applyFont="1" applyFill="1" applyAlignment="1" applyProtection="1">
      <alignment horizontal="center"/>
      <protection hidden="1"/>
    </xf>
    <xf numFmtId="0" fontId="92" fillId="0" borderId="5" xfId="0" applyNumberFormat="1" applyFont="1" applyBorder="1" applyAlignment="1" applyProtection="1">
      <alignment horizontal="center" vertical="center" textRotation="90"/>
      <protection locked="0"/>
    </xf>
    <xf numFmtId="0" fontId="20" fillId="0" borderId="3" xfId="5" applyFont="1" applyBorder="1"/>
    <xf numFmtId="39" fontId="0" fillId="0" borderId="3" xfId="0" applyBorder="1"/>
    <xf numFmtId="3" fontId="52" fillId="0" borderId="5" xfId="9" applyNumberFormat="1" applyFont="1" applyBorder="1" applyAlignment="1" applyProtection="1">
      <alignment horizontal="center" vertical="center" wrapText="1"/>
      <protection hidden="1"/>
    </xf>
    <xf numFmtId="0" fontId="130" fillId="0" borderId="0" xfId="9" applyFont="1" applyAlignment="1">
      <alignment horizontal="center" vertical="center"/>
    </xf>
    <xf numFmtId="0" fontId="131" fillId="0" borderId="0" xfId="9" applyFont="1" applyAlignment="1">
      <alignment horizontal="center" vertical="center"/>
    </xf>
    <xf numFmtId="0" fontId="132" fillId="0" borderId="0" xfId="9" applyFont="1" applyAlignment="1">
      <alignment horizontal="center" vertical="center"/>
    </xf>
    <xf numFmtId="1" fontId="130" fillId="0" borderId="0" xfId="9" applyNumberFormat="1" applyFont="1" applyAlignment="1">
      <alignment horizontal="center" vertical="center"/>
    </xf>
    <xf numFmtId="1" fontId="100" fillId="0" borderId="12" xfId="0" applyNumberFormat="1" applyFont="1" applyBorder="1" applyAlignment="1">
      <alignment horizontal="center" vertical="center" textRotation="255"/>
    </xf>
    <xf numFmtId="166" fontId="100" fillId="0" borderId="12" xfId="4" applyFont="1" applyBorder="1" applyAlignment="1" applyProtection="1">
      <alignment horizontal="center" vertical="center"/>
      <protection hidden="1"/>
    </xf>
    <xf numFmtId="0" fontId="132" fillId="0" borderId="0" xfId="10" applyNumberFormat="1" applyFont="1" applyAlignment="1">
      <alignment vertical="center"/>
    </xf>
    <xf numFmtId="39" fontId="133" fillId="0" borderId="0" xfId="0" applyFont="1"/>
    <xf numFmtId="0" fontId="40" fillId="0" borderId="5" xfId="9" applyFont="1" applyBorder="1" applyAlignment="1">
      <alignment horizontal="center" vertical="center"/>
    </xf>
    <xf numFmtId="0" fontId="123" fillId="0" borderId="5" xfId="9" applyFont="1" applyBorder="1" applyAlignment="1">
      <alignment vertical="center" wrapText="1"/>
    </xf>
    <xf numFmtId="0" fontId="48" fillId="0" borderId="5" xfId="9" applyFont="1" applyBorder="1" applyAlignment="1">
      <alignment horizontal="center" vertical="center" wrapText="1"/>
    </xf>
    <xf numFmtId="2" fontId="47" fillId="0" borderId="5" xfId="9" applyNumberFormat="1" applyFont="1" applyBorder="1" applyAlignment="1">
      <alignment horizontal="center" vertical="center" textRotation="90" wrapText="1"/>
    </xf>
    <xf numFmtId="1" fontId="45" fillId="0" borderId="5" xfId="10" applyNumberFormat="1" applyFont="1" applyBorder="1" applyAlignment="1" applyProtection="1">
      <alignment horizontal="center" vertical="center"/>
      <protection hidden="1"/>
    </xf>
    <xf numFmtId="2" fontId="41" fillId="21" borderId="5" xfId="0" applyNumberFormat="1" applyFont="1" applyFill="1" applyBorder="1" applyAlignment="1">
      <alignment horizontal="center" vertical="center" wrapText="1"/>
    </xf>
    <xf numFmtId="39" fontId="42" fillId="21" borderId="0" xfId="0" applyFont="1" applyFill="1" applyAlignment="1" applyProtection="1">
      <alignment horizontal="center" vertical="center"/>
      <protection locked="0"/>
    </xf>
    <xf numFmtId="39" fontId="0" fillId="21" borderId="0" xfId="0" applyFill="1"/>
    <xf numFmtId="39" fontId="42" fillId="21" borderId="0" xfId="0" applyFont="1" applyFill="1" applyAlignment="1">
      <alignment horizontal="center" vertical="center"/>
    </xf>
    <xf numFmtId="39" fontId="43" fillId="21" borderId="0" xfId="0" applyFont="1" applyFill="1" applyAlignment="1" applyProtection="1">
      <alignment horizontal="center" vertical="center"/>
      <protection locked="0"/>
    </xf>
    <xf numFmtId="39" fontId="43" fillId="21" borderId="0" xfId="0" applyFont="1" applyFill="1" applyAlignment="1">
      <alignment horizontal="center" vertical="center"/>
    </xf>
    <xf numFmtId="39" fontId="11" fillId="21" borderId="0" xfId="0" applyFont="1" applyFill="1" applyAlignment="1" applyProtection="1">
      <alignment horizontal="left" vertical="center"/>
      <protection locked="0"/>
    </xf>
    <xf numFmtId="39" fontId="19" fillId="21" borderId="0" xfId="0" applyFont="1" applyFill="1" applyAlignment="1" applyProtection="1">
      <alignment horizontal="center" vertical="center"/>
      <protection locked="0"/>
    </xf>
    <xf numFmtId="39" fontId="11" fillId="21" borderId="0" xfId="0" applyFont="1" applyFill="1" applyAlignment="1">
      <alignment horizontal="center" vertical="center"/>
    </xf>
    <xf numFmtId="4" fontId="95" fillId="0" borderId="19" xfId="8" applyNumberFormat="1" applyFont="1" applyBorder="1" applyAlignment="1" applyProtection="1">
      <alignment horizontal="center" vertical="center"/>
      <protection hidden="1"/>
    </xf>
    <xf numFmtId="167" fontId="106" fillId="0" borderId="5" xfId="1" applyFont="1" applyFill="1" applyBorder="1" applyAlignment="1">
      <alignment vertical="center"/>
    </xf>
    <xf numFmtId="1" fontId="95" fillId="2" borderId="5" xfId="0" applyNumberFormat="1" applyFont="1" applyFill="1" applyBorder="1" applyAlignment="1" applyProtection="1">
      <alignment horizontal="center" vertical="center"/>
      <protection locked="0"/>
    </xf>
    <xf numFmtId="39" fontId="95" fillId="2" borderId="5" xfId="0" applyFont="1" applyFill="1" applyBorder="1" applyAlignment="1">
      <alignment horizontal="center" vertical="center" wrapText="1"/>
    </xf>
    <xf numFmtId="0" fontId="95" fillId="2" borderId="5" xfId="0" applyNumberFormat="1" applyFont="1" applyFill="1" applyBorder="1" applyAlignment="1">
      <alignment horizontal="center" vertical="center"/>
    </xf>
    <xf numFmtId="171" fontId="95" fillId="2" borderId="5" xfId="0" applyNumberFormat="1" applyFont="1" applyFill="1" applyBorder="1" applyAlignment="1">
      <alignment horizontal="center" vertical="center" wrapText="1"/>
    </xf>
    <xf numFmtId="2" fontId="95" fillId="2" borderId="5" xfId="0" applyNumberFormat="1" applyFont="1" applyFill="1" applyBorder="1" applyAlignment="1">
      <alignment horizontal="center" vertical="center" wrapText="1"/>
    </xf>
    <xf numFmtId="167" fontId="95" fillId="2" borderId="5" xfId="1" applyFont="1" applyFill="1" applyBorder="1" applyAlignment="1" applyProtection="1">
      <alignment horizontal="center" vertical="center"/>
    </xf>
    <xf numFmtId="2" fontId="95" fillId="2" borderId="5" xfId="1" applyNumberFormat="1" applyFont="1" applyFill="1" applyBorder="1" applyAlignment="1" applyProtection="1">
      <alignment horizontal="center" vertical="center"/>
      <protection locked="0"/>
    </xf>
    <xf numFmtId="167" fontId="95" fillId="2" borderId="5" xfId="1" applyFont="1" applyFill="1" applyBorder="1" applyAlignment="1">
      <alignment horizontal="center" vertical="center"/>
    </xf>
    <xf numFmtId="39" fontId="95" fillId="2" borderId="5" xfId="0" applyFont="1" applyFill="1" applyBorder="1" applyAlignment="1">
      <alignment horizontal="center" vertical="center"/>
    </xf>
    <xf numFmtId="167" fontId="37" fillId="2" borderId="5" xfId="1" applyFont="1" applyFill="1" applyBorder="1" applyAlignment="1" applyProtection="1">
      <alignment horizontal="center" vertical="center" wrapText="1"/>
    </xf>
    <xf numFmtId="167" fontId="95" fillId="4" borderId="5" xfId="1" applyFont="1" applyFill="1" applyBorder="1" applyAlignment="1" applyProtection="1">
      <alignment horizontal="center" vertical="center"/>
    </xf>
    <xf numFmtId="0" fontId="119" fillId="0" borderId="0" xfId="9" applyFont="1" applyAlignment="1" applyProtection="1">
      <alignment vertical="center"/>
      <protection hidden="1"/>
    </xf>
    <xf numFmtId="0" fontId="36" fillId="21" borderId="0" xfId="2" applyFont="1" applyFill="1" applyProtection="1">
      <protection hidden="1"/>
    </xf>
    <xf numFmtId="167" fontId="37" fillId="21" borderId="5" xfId="1" applyFont="1" applyFill="1" applyBorder="1" applyAlignment="1" applyProtection="1">
      <alignment vertical="center"/>
    </xf>
    <xf numFmtId="1" fontId="50" fillId="2" borderId="5" xfId="9" applyNumberFormat="1" applyFont="1" applyFill="1" applyBorder="1" applyAlignment="1">
      <alignment horizontal="center" vertical="center"/>
    </xf>
    <xf numFmtId="0" fontId="52" fillId="0" borderId="5" xfId="9" applyFont="1" applyBorder="1" applyAlignment="1" applyProtection="1">
      <alignment vertical="center" wrapText="1"/>
      <protection hidden="1"/>
    </xf>
    <xf numFmtId="0" fontId="52" fillId="0" borderId="5" xfId="9" applyFont="1" applyBorder="1" applyAlignment="1" applyProtection="1">
      <alignment horizontal="left" vertical="top" wrapText="1"/>
      <protection hidden="1"/>
    </xf>
    <xf numFmtId="0" fontId="134" fillId="0" borderId="0" xfId="5" applyFont="1"/>
    <xf numFmtId="2" fontId="55" fillId="0" borderId="5" xfId="10" applyNumberFormat="1" applyFont="1" applyBorder="1" applyAlignment="1" applyProtection="1">
      <alignment horizontal="center" vertical="center" wrapText="1"/>
      <protection hidden="1"/>
    </xf>
    <xf numFmtId="2" fontId="50" fillId="2" borderId="5" xfId="9" applyNumberFormat="1" applyFont="1" applyFill="1" applyBorder="1" applyAlignment="1">
      <alignment horizontal="center" vertical="center"/>
    </xf>
    <xf numFmtId="1" fontId="82" fillId="4" borderId="5" xfId="9" applyNumberFormat="1" applyFont="1" applyFill="1" applyBorder="1" applyAlignment="1">
      <alignment horizontal="center" vertical="center"/>
    </xf>
    <xf numFmtId="178" fontId="37" fillId="4" borderId="5" xfId="4" applyNumberFormat="1" applyFont="1" applyFill="1" applyBorder="1" applyAlignment="1">
      <alignment horizontal="center" vertical="center"/>
    </xf>
    <xf numFmtId="39" fontId="95" fillId="0" borderId="5" xfId="0" applyFont="1" applyBorder="1" applyAlignment="1">
      <alignment horizontal="left" vertical="center" wrapText="1"/>
    </xf>
    <xf numFmtId="0" fontId="46" fillId="0" borderId="5" xfId="0" applyNumberFormat="1" applyFont="1" applyBorder="1" applyAlignment="1">
      <alignment horizontal="left" vertical="top"/>
    </xf>
    <xf numFmtId="39" fontId="12" fillId="0" borderId="0" xfId="0" applyFont="1" applyAlignment="1">
      <alignment vertical="center"/>
    </xf>
    <xf numFmtId="1" fontId="95" fillId="0" borderId="5" xfId="0" applyNumberFormat="1" applyFont="1" applyBorder="1" applyAlignment="1" applyProtection="1">
      <alignment horizontal="center" vertical="center"/>
      <protection locked="0"/>
    </xf>
    <xf numFmtId="169" fontId="95" fillId="0" borderId="5" xfId="0" applyNumberFormat="1" applyFont="1" applyBorder="1" applyAlignment="1">
      <alignment horizontal="center" vertical="center"/>
    </xf>
    <xf numFmtId="39" fontId="49" fillId="0" borderId="5" xfId="0" applyFont="1" applyBorder="1" applyAlignment="1">
      <alignment horizontal="center" vertical="center" wrapText="1"/>
    </xf>
    <xf numFmtId="39" fontId="95" fillId="0" borderId="5" xfId="0" applyFont="1" applyBorder="1" applyAlignment="1">
      <alignment horizontal="center" vertical="center" wrapText="1"/>
    </xf>
    <xf numFmtId="39" fontId="41" fillId="0" borderId="5" xfId="0" applyFont="1" applyBorder="1" applyAlignment="1">
      <alignment horizontal="center" vertical="center" wrapText="1"/>
    </xf>
    <xf numFmtId="171" fontId="41" fillId="0" borderId="5" xfId="0" applyNumberFormat="1" applyFont="1" applyBorder="1" applyAlignment="1">
      <alignment horizontal="center" vertical="center" wrapText="1"/>
    </xf>
    <xf numFmtId="39" fontId="106" fillId="0" borderId="5" xfId="0" applyFont="1" applyBorder="1" applyAlignment="1">
      <alignment horizontal="center" vertical="center" wrapText="1"/>
    </xf>
    <xf numFmtId="39" fontId="106" fillId="0" borderId="5" xfId="0" applyFont="1" applyBorder="1" applyAlignment="1">
      <alignment vertical="center"/>
    </xf>
    <xf numFmtId="167" fontId="106" fillId="0" borderId="5" xfId="1" applyFont="1" applyFill="1" applyBorder="1" applyAlignment="1" applyProtection="1">
      <alignment vertical="center"/>
    </xf>
    <xf numFmtId="171" fontId="41" fillId="4" borderId="5" xfId="0" applyNumberFormat="1" applyFont="1" applyFill="1" applyBorder="1" applyAlignment="1">
      <alignment horizontal="center" vertical="center" wrapText="1"/>
    </xf>
    <xf numFmtId="39" fontId="42" fillId="4" borderId="0" xfId="0" applyFont="1" applyFill="1" applyAlignment="1" applyProtection="1">
      <alignment horizontal="center" vertical="center"/>
      <protection locked="0"/>
    </xf>
    <xf numFmtId="39" fontId="42" fillId="4" borderId="0" xfId="0" applyFont="1" applyFill="1" applyAlignment="1">
      <alignment horizontal="center" vertical="center"/>
    </xf>
    <xf numFmtId="39" fontId="19" fillId="4" borderId="0" xfId="0" applyFont="1" applyFill="1" applyAlignment="1" applyProtection="1">
      <alignment horizontal="center" vertical="center"/>
      <protection locked="0"/>
    </xf>
    <xf numFmtId="39" fontId="11" fillId="4" borderId="0" xfId="0" applyFont="1" applyFill="1" applyAlignment="1">
      <alignment horizontal="center" vertical="center"/>
    </xf>
    <xf numFmtId="39" fontId="42" fillId="4" borderId="0" xfId="0" applyFont="1" applyFill="1" applyAlignment="1" applyProtection="1">
      <alignment vertical="center"/>
      <protection locked="0"/>
    </xf>
    <xf numFmtId="39" fontId="19" fillId="4" borderId="0" xfId="0" applyFont="1" applyFill="1" applyAlignment="1" applyProtection="1">
      <alignment vertical="center"/>
      <protection locked="0"/>
    </xf>
    <xf numFmtId="39" fontId="11" fillId="4" borderId="0" xfId="0" applyFont="1" applyFill="1" applyAlignment="1">
      <alignment vertical="center"/>
    </xf>
    <xf numFmtId="39" fontId="36" fillId="23" borderId="0" xfId="0" applyFont="1" applyFill="1" applyAlignment="1">
      <alignment horizontal="center" vertical="center"/>
    </xf>
    <xf numFmtId="0" fontId="20" fillId="23" borderId="0" xfId="5" applyFont="1" applyFill="1"/>
    <xf numFmtId="0" fontId="36" fillId="23" borderId="0" xfId="5" applyFont="1" applyFill="1" applyAlignment="1" applyProtection="1">
      <alignment horizontal="center" vertical="center"/>
      <protection hidden="1"/>
    </xf>
    <xf numFmtId="0" fontId="28" fillId="23" borderId="0" xfId="5" applyFont="1" applyFill="1"/>
    <xf numFmtId="0" fontId="36" fillId="23" borderId="0" xfId="5" applyFont="1" applyFill="1" applyAlignment="1" applyProtection="1">
      <alignment horizontal="center"/>
      <protection hidden="1"/>
    </xf>
    <xf numFmtId="4" fontId="65" fillId="23" borderId="5" xfId="9" applyNumberFormat="1" applyFont="1" applyFill="1" applyBorder="1" applyAlignment="1" applyProtection="1">
      <alignment horizontal="center" vertical="center" wrapText="1"/>
      <protection hidden="1"/>
    </xf>
    <xf numFmtId="4" fontId="48" fillId="23" borderId="5" xfId="6" applyNumberFormat="1" applyFont="1" applyFill="1" applyBorder="1" applyAlignment="1" applyProtection="1">
      <alignment horizontal="center" vertical="center"/>
      <protection hidden="1"/>
    </xf>
    <xf numFmtId="1" fontId="52" fillId="23" borderId="5" xfId="9" applyNumberFormat="1" applyFont="1" applyFill="1" applyBorder="1" applyAlignment="1">
      <alignment horizontal="center" vertical="center"/>
    </xf>
    <xf numFmtId="1" fontId="95" fillId="0" borderId="5" xfId="1" applyNumberFormat="1" applyFont="1" applyFill="1" applyBorder="1" applyAlignment="1" applyProtection="1">
      <alignment horizontal="center" vertical="center"/>
      <protection locked="0"/>
    </xf>
    <xf numFmtId="1" fontId="102" fillId="0" borderId="5" xfId="9" applyNumberFormat="1" applyFont="1" applyBorder="1" applyAlignment="1" applyProtection="1">
      <alignment horizontal="center" vertical="center"/>
      <protection hidden="1"/>
    </xf>
    <xf numFmtId="167" fontId="51" fillId="2" borderId="5" xfId="1" applyFont="1" applyFill="1" applyBorder="1" applyAlignment="1">
      <alignment horizontal="center" vertical="center"/>
    </xf>
    <xf numFmtId="167" fontId="106" fillId="2" borderId="5" xfId="1" applyFont="1" applyFill="1" applyBorder="1" applyAlignment="1" applyProtection="1">
      <alignment horizontal="center" vertical="center"/>
    </xf>
    <xf numFmtId="39" fontId="135" fillId="2" borderId="5" xfId="0" applyFont="1" applyFill="1" applyBorder="1" applyAlignment="1">
      <alignment horizontal="left" vertical="center" wrapText="1"/>
    </xf>
    <xf numFmtId="39" fontId="55" fillId="2" borderId="5" xfId="0" applyFont="1" applyFill="1" applyBorder="1" applyAlignment="1">
      <alignment horizontal="left" vertical="center" wrapText="1"/>
    </xf>
    <xf numFmtId="0" fontId="36" fillId="2" borderId="0" xfId="2" applyFont="1" applyFill="1" applyAlignment="1" applyProtection="1">
      <alignment horizontal="left" vertical="top" textRotation="90"/>
      <protection hidden="1"/>
    </xf>
    <xf numFmtId="169" fontId="54" fillId="2" borderId="5" xfId="0" applyNumberFormat="1" applyFont="1" applyFill="1" applyBorder="1" applyAlignment="1">
      <alignment horizontal="center" vertical="center" textRotation="90"/>
    </xf>
    <xf numFmtId="0" fontId="40" fillId="2" borderId="5" xfId="0" applyNumberFormat="1" applyFont="1" applyFill="1" applyBorder="1" applyAlignment="1" applyProtection="1">
      <alignment horizontal="center" vertical="center" textRotation="90"/>
      <protection locked="0"/>
    </xf>
    <xf numFmtId="39" fontId="42" fillId="2" borderId="0" xfId="0" applyFont="1" applyFill="1" applyAlignment="1" applyProtection="1">
      <alignment vertical="center" textRotation="90"/>
      <protection locked="0"/>
    </xf>
    <xf numFmtId="39" fontId="120" fillId="2" borderId="0" xfId="0" applyFont="1" applyFill="1" applyAlignment="1" applyProtection="1">
      <alignment vertical="center" textRotation="90"/>
      <protection locked="0"/>
    </xf>
    <xf numFmtId="39" fontId="121" fillId="2" borderId="0" xfId="0" applyFont="1" applyFill="1" applyAlignment="1" applyProtection="1">
      <alignment vertical="center" textRotation="90"/>
      <protection locked="0"/>
    </xf>
    <xf numFmtId="39" fontId="122" fillId="0" borderId="0" xfId="0" applyFont="1" applyAlignment="1" applyProtection="1">
      <alignment vertical="center" textRotation="90"/>
      <protection locked="0"/>
    </xf>
    <xf numFmtId="39" fontId="19" fillId="0" borderId="0" xfId="0" applyFont="1" applyAlignment="1" applyProtection="1">
      <alignment vertical="center" textRotation="90"/>
      <protection locked="0"/>
    </xf>
    <xf numFmtId="39" fontId="11" fillId="0" borderId="0" xfId="0" applyFont="1" applyAlignment="1">
      <alignment vertical="center" textRotation="90"/>
    </xf>
    <xf numFmtId="0" fontId="36" fillId="2" borderId="0" xfId="2" applyFont="1" applyFill="1" applyAlignment="1" applyProtection="1">
      <alignment textRotation="90"/>
      <protection hidden="1"/>
    </xf>
    <xf numFmtId="39" fontId="54" fillId="2" borderId="5" xfId="0" applyFont="1" applyFill="1" applyBorder="1" applyAlignment="1" applyProtection="1">
      <alignment horizontal="center" vertical="center" textRotation="90" wrapText="1"/>
      <protection locked="0"/>
    </xf>
    <xf numFmtId="39" fontId="40" fillId="2" borderId="5" xfId="0" applyFont="1" applyFill="1" applyBorder="1" applyAlignment="1" applyProtection="1">
      <alignment horizontal="center" vertical="center" textRotation="90" wrapText="1"/>
      <protection locked="0"/>
    </xf>
    <xf numFmtId="39" fontId="42" fillId="2" borderId="0" xfId="0" applyFont="1" applyFill="1" applyAlignment="1">
      <alignment vertical="center" textRotation="90"/>
    </xf>
    <xf numFmtId="2" fontId="52" fillId="0" borderId="5" xfId="9" applyNumberFormat="1" applyFont="1" applyBorder="1" applyAlignment="1" applyProtection="1">
      <alignment horizontal="center" vertical="center"/>
      <protection hidden="1"/>
    </xf>
    <xf numFmtId="2" fontId="52" fillId="2" borderId="5" xfId="9" applyNumberFormat="1" applyFont="1" applyFill="1" applyBorder="1" applyAlignment="1" applyProtection="1">
      <alignment horizontal="center" vertical="center"/>
      <protection hidden="1"/>
    </xf>
    <xf numFmtId="2" fontId="52" fillId="0" borderId="5" xfId="10" applyNumberFormat="1" applyFont="1" applyBorder="1" applyAlignment="1" applyProtection="1">
      <alignment horizontal="center" vertical="center"/>
      <protection hidden="1"/>
    </xf>
    <xf numFmtId="2" fontId="52" fillId="0" borderId="5" xfId="9" applyNumberFormat="1" applyFont="1" applyBorder="1" applyAlignment="1">
      <alignment horizontal="center" vertical="center" wrapText="1"/>
    </xf>
    <xf numFmtId="2" fontId="52" fillId="2" borderId="5" xfId="10" applyNumberFormat="1" applyFont="1" applyFill="1" applyBorder="1" applyAlignment="1" applyProtection="1">
      <alignment horizontal="center" vertical="center"/>
      <protection hidden="1"/>
    </xf>
    <xf numFmtId="2" fontId="52" fillId="0" borderId="5" xfId="9" applyNumberFormat="1" applyFont="1" applyBorder="1" applyAlignment="1">
      <alignment horizontal="center" vertical="center"/>
    </xf>
    <xf numFmtId="2" fontId="52" fillId="0" borderId="5" xfId="9" applyNumberFormat="1" applyFont="1" applyBorder="1" applyAlignment="1" applyProtection="1">
      <alignment horizontal="center" vertical="center" wrapText="1"/>
      <protection hidden="1"/>
    </xf>
    <xf numFmtId="0" fontId="26" fillId="2" borderId="19" xfId="9" applyFont="1" applyFill="1" applyBorder="1" applyAlignment="1">
      <alignment horizontal="center" vertical="center" textRotation="90" wrapText="1"/>
    </xf>
    <xf numFmtId="0" fontId="46" fillId="0" borderId="19" xfId="8" applyFont="1" applyBorder="1" applyAlignment="1">
      <alignment horizontal="center" vertical="center"/>
    </xf>
    <xf numFmtId="39" fontId="130" fillId="0" borderId="41" xfId="0" applyFont="1" applyBorder="1" applyAlignment="1">
      <alignment horizontal="center" vertical="center"/>
    </xf>
    <xf numFmtId="39" fontId="130" fillId="0" borderId="42" xfId="0" applyFont="1" applyBorder="1" applyAlignment="1">
      <alignment horizontal="center" vertical="center"/>
    </xf>
    <xf numFmtId="164" fontId="100" fillId="4" borderId="44" xfId="0" applyNumberFormat="1" applyFont="1" applyFill="1" applyBorder="1" applyAlignment="1">
      <alignment horizontal="center" vertical="center"/>
    </xf>
    <xf numFmtId="39" fontId="0" fillId="0" borderId="46" xfId="0" applyBorder="1"/>
    <xf numFmtId="170" fontId="37" fillId="0" borderId="19" xfId="7" applyFont="1" applyFill="1" applyBorder="1" applyAlignment="1" applyProtection="1">
      <alignment horizontal="center" vertical="center"/>
      <protection hidden="1"/>
    </xf>
    <xf numFmtId="39" fontId="130" fillId="0" borderId="48" xfId="0" applyFont="1" applyBorder="1" applyAlignment="1">
      <alignment horizontal="center" vertical="center"/>
    </xf>
    <xf numFmtId="164" fontId="100" fillId="0" borderId="21" xfId="0" applyNumberFormat="1" applyFont="1" applyBorder="1" applyAlignment="1">
      <alignment horizontal="right" vertical="center"/>
    </xf>
    <xf numFmtId="176" fontId="37" fillId="4" borderId="5" xfId="1" applyNumberFormat="1" applyFont="1" applyFill="1" applyBorder="1" applyAlignment="1" applyProtection="1">
      <alignment vertical="center"/>
    </xf>
    <xf numFmtId="167" fontId="55" fillId="4" borderId="5" xfId="1" applyFont="1" applyFill="1" applyBorder="1" applyAlignment="1">
      <alignment horizontal="center" vertical="center"/>
    </xf>
    <xf numFmtId="14" fontId="102" fillId="0" borderId="19" xfId="0" applyNumberFormat="1" applyFont="1" applyBorder="1" applyAlignment="1">
      <alignment horizontal="center" wrapText="1"/>
    </xf>
    <xf numFmtId="39" fontId="137" fillId="0" borderId="0" xfId="0" applyFont="1"/>
    <xf numFmtId="39" fontId="137" fillId="0" borderId="0" xfId="0" applyFont="1" applyAlignment="1">
      <alignment vertical="center"/>
    </xf>
    <xf numFmtId="0" fontId="124" fillId="4" borderId="0" xfId="2" applyFont="1" applyFill="1" applyProtection="1">
      <protection hidden="1"/>
    </xf>
    <xf numFmtId="39" fontId="42" fillId="4" borderId="0" xfId="0" quotePrefix="1" applyFont="1" applyFill="1" applyAlignment="1" applyProtection="1">
      <alignment vertical="center"/>
      <protection locked="0"/>
    </xf>
    <xf numFmtId="39" fontId="42" fillId="4" borderId="0" xfId="0" applyFont="1" applyFill="1" applyAlignment="1" applyProtection="1">
      <alignment horizontal="right" vertical="center"/>
      <protection locked="0"/>
    </xf>
    <xf numFmtId="39" fontId="11" fillId="4" borderId="0" xfId="0" applyFont="1" applyFill="1" applyAlignment="1" applyProtection="1">
      <alignment horizontal="left" vertical="center"/>
      <protection locked="0"/>
    </xf>
    <xf numFmtId="0" fontId="36" fillId="4" borderId="0" xfId="2" applyFont="1" applyFill="1" applyProtection="1">
      <protection hidden="1"/>
    </xf>
    <xf numFmtId="1" fontId="42" fillId="4" borderId="0" xfId="0" applyNumberFormat="1" applyFont="1" applyFill="1" applyAlignment="1" applyProtection="1">
      <alignment vertical="center"/>
      <protection locked="0"/>
    </xf>
    <xf numFmtId="39" fontId="43" fillId="4" borderId="0" xfId="0" applyFont="1" applyFill="1" applyAlignment="1" applyProtection="1">
      <alignment horizontal="center" vertical="center"/>
      <protection locked="0"/>
    </xf>
    <xf numFmtId="39" fontId="43" fillId="4" borderId="0" xfId="0" applyFont="1" applyFill="1" applyAlignment="1">
      <alignment horizontal="center" vertical="center"/>
    </xf>
    <xf numFmtId="1" fontId="95" fillId="19" borderId="5" xfId="1" applyNumberFormat="1" applyFont="1" applyFill="1" applyBorder="1" applyAlignment="1" applyProtection="1">
      <alignment horizontal="center" vertical="center"/>
      <protection locked="0"/>
    </xf>
    <xf numFmtId="1" fontId="41" fillId="19" borderId="5" xfId="1" applyNumberFormat="1" applyFont="1" applyFill="1" applyBorder="1" applyAlignment="1" applyProtection="1">
      <alignment horizontal="center" vertical="center"/>
      <protection locked="0"/>
    </xf>
    <xf numFmtId="39" fontId="106" fillId="0" borderId="5" xfId="0" applyFont="1" applyBorder="1" applyAlignment="1">
      <alignment horizontal="left" vertical="center" wrapText="1"/>
    </xf>
    <xf numFmtId="1" fontId="95" fillId="4" borderId="5" xfId="1" applyNumberFormat="1" applyFont="1" applyFill="1" applyBorder="1" applyAlignment="1" applyProtection="1">
      <alignment horizontal="center" vertical="center"/>
      <protection locked="0"/>
    </xf>
    <xf numFmtId="0" fontId="130" fillId="2" borderId="0" xfId="9" applyFont="1" applyFill="1" applyAlignment="1">
      <alignment horizontal="center" vertical="center"/>
    </xf>
    <xf numFmtId="166" fontId="132" fillId="2" borderId="0" xfId="9" applyNumberFormat="1" applyFont="1" applyFill="1" applyAlignment="1">
      <alignment horizontal="center" vertical="center"/>
    </xf>
    <xf numFmtId="1" fontId="41" fillId="4" borderId="5" xfId="1" applyNumberFormat="1" applyFont="1" applyFill="1" applyBorder="1" applyAlignment="1" applyProtection="1">
      <alignment horizontal="center" vertical="center"/>
      <protection locked="0"/>
    </xf>
    <xf numFmtId="39" fontId="95" fillId="2" borderId="5" xfId="0" applyFont="1" applyFill="1" applyBorder="1" applyAlignment="1">
      <alignment horizontal="left" vertical="center" wrapText="1"/>
    </xf>
    <xf numFmtId="39" fontId="106" fillId="2" borderId="5" xfId="0" applyFont="1" applyFill="1" applyBorder="1" applyAlignment="1">
      <alignment horizontal="center" vertical="center" wrapText="1"/>
    </xf>
    <xf numFmtId="39" fontId="19" fillId="2" borderId="0" xfId="0" applyFont="1" applyFill="1" applyAlignment="1" applyProtection="1">
      <alignment horizontal="center" vertical="center"/>
      <protection locked="0"/>
    </xf>
    <xf numFmtId="39" fontId="11" fillId="2" borderId="0" xfId="0" applyFont="1" applyFill="1" applyAlignment="1">
      <alignment horizontal="center" vertical="center"/>
    </xf>
    <xf numFmtId="1" fontId="11" fillId="2" borderId="0" xfId="0" applyNumberFormat="1" applyFont="1" applyFill="1" applyAlignment="1">
      <alignment horizontal="center" vertical="center"/>
    </xf>
    <xf numFmtId="39" fontId="30" fillId="0" borderId="19" xfId="0" applyFont="1" applyBorder="1"/>
    <xf numFmtId="37" fontId="30" fillId="0" borderId="19" xfId="0" applyNumberFormat="1" applyFont="1" applyBorder="1" applyAlignment="1">
      <alignment horizontal="center"/>
    </xf>
    <xf numFmtId="39" fontId="139" fillId="0" borderId="19" xfId="0" applyFont="1" applyBorder="1"/>
    <xf numFmtId="39" fontId="139" fillId="0" borderId="19" xfId="0" applyFont="1" applyBorder="1" applyAlignment="1">
      <alignment horizontal="center"/>
    </xf>
    <xf numFmtId="39" fontId="30" fillId="0" borderId="19" xfId="0" applyFont="1" applyBorder="1" applyAlignment="1">
      <alignment horizontal="center"/>
    </xf>
    <xf numFmtId="39" fontId="30" fillId="4" borderId="19" xfId="0" applyFont="1" applyFill="1" applyBorder="1" applyAlignment="1">
      <alignment horizontal="center"/>
    </xf>
    <xf numFmtId="39" fontId="103" fillId="0" borderId="0" xfId="0" applyFont="1"/>
    <xf numFmtId="39" fontId="97" fillId="0" borderId="0" xfId="0" applyFont="1"/>
    <xf numFmtId="39" fontId="97" fillId="0" borderId="0" xfId="0" applyFont="1" applyAlignment="1">
      <alignment horizontal="right"/>
    </xf>
    <xf numFmtId="39" fontId="142" fillId="0" borderId="0" xfId="0" applyFont="1" applyAlignment="1">
      <alignment horizontal="right"/>
    </xf>
    <xf numFmtId="39" fontId="104" fillId="2" borderId="0" xfId="0" applyFont="1" applyFill="1"/>
    <xf numFmtId="39" fontId="143" fillId="2" borderId="0" xfId="0" applyFont="1" applyFill="1"/>
    <xf numFmtId="39" fontId="104" fillId="3" borderId="0" xfId="0" applyFont="1" applyFill="1"/>
    <xf numFmtId="39" fontId="103" fillId="3" borderId="0" xfId="0" applyFont="1" applyFill="1"/>
    <xf numFmtId="39" fontId="0" fillId="0" borderId="11" xfId="0" applyBorder="1"/>
    <xf numFmtId="39" fontId="144" fillId="0" borderId="11" xfId="0" applyFont="1" applyBorder="1"/>
    <xf numFmtId="39" fontId="144" fillId="0" borderId="49" xfId="0" applyFont="1" applyBorder="1"/>
    <xf numFmtId="39" fontId="0" fillId="0" borderId="49" xfId="0" applyBorder="1"/>
    <xf numFmtId="39" fontId="0" fillId="0" borderId="5" xfId="0" applyBorder="1"/>
    <xf numFmtId="39" fontId="97" fillId="7" borderId="5" xfId="0" applyFont="1" applyFill="1" applyBorder="1"/>
    <xf numFmtId="39" fontId="97" fillId="0" borderId="5" xfId="0" applyFont="1" applyBorder="1"/>
    <xf numFmtId="167" fontId="97" fillId="0" borderId="5" xfId="1" applyFont="1" applyBorder="1"/>
    <xf numFmtId="39" fontId="0" fillId="0" borderId="12" xfId="0" applyBorder="1"/>
    <xf numFmtId="39" fontId="89" fillId="0" borderId="11" xfId="0" applyFont="1" applyBorder="1"/>
    <xf numFmtId="39" fontId="46" fillId="26" borderId="5" xfId="0" applyFont="1" applyFill="1" applyBorder="1" applyAlignment="1">
      <alignment horizontal="center" vertical="center" textRotation="90" wrapText="1"/>
    </xf>
    <xf numFmtId="39" fontId="31" fillId="0" borderId="0" xfId="0" applyFont="1"/>
    <xf numFmtId="176" fontId="37" fillId="10" borderId="5" xfId="1" applyNumberFormat="1" applyFont="1" applyFill="1" applyBorder="1" applyAlignment="1" applyProtection="1">
      <alignment vertical="center"/>
    </xf>
    <xf numFmtId="39" fontId="57" fillId="10" borderId="0" xfId="0" applyFont="1" applyFill="1"/>
    <xf numFmtId="37" fontId="89" fillId="0" borderId="11" xfId="0" applyNumberFormat="1" applyFont="1" applyBorder="1"/>
    <xf numFmtId="0" fontId="82" fillId="2" borderId="5" xfId="9" quotePrefix="1" applyFont="1" applyFill="1" applyBorder="1" applyAlignment="1">
      <alignment horizontal="center" vertical="center" wrapText="1"/>
    </xf>
    <xf numFmtId="0" fontId="100" fillId="0" borderId="0" xfId="9" applyFont="1" applyAlignment="1" applyProtection="1">
      <alignment horizontal="center" vertical="center" wrapText="1"/>
      <protection hidden="1"/>
    </xf>
    <xf numFmtId="0" fontId="82" fillId="2" borderId="0" xfId="9" quotePrefix="1" applyFont="1" applyFill="1" applyAlignment="1">
      <alignment horizontal="center" vertical="center" wrapText="1"/>
    </xf>
    <xf numFmtId="166" fontId="100" fillId="2" borderId="0" xfId="4" applyFont="1" applyFill="1" applyBorder="1" applyAlignment="1">
      <alignment horizontal="center" vertical="center"/>
    </xf>
    <xf numFmtId="167" fontId="51" fillId="2" borderId="5" xfId="1" applyFont="1" applyFill="1" applyBorder="1" applyAlignment="1" applyProtection="1">
      <alignment vertical="center"/>
    </xf>
    <xf numFmtId="39" fontId="55" fillId="10" borderId="5" xfId="0" applyFont="1" applyFill="1" applyBorder="1" applyAlignment="1" applyProtection="1">
      <alignment horizontal="center" vertical="center"/>
      <protection locked="0"/>
    </xf>
    <xf numFmtId="167" fontId="100" fillId="10" borderId="5" xfId="1" applyFont="1" applyFill="1" applyBorder="1" applyAlignment="1" applyProtection="1">
      <alignment vertical="center"/>
    </xf>
    <xf numFmtId="176" fontId="55" fillId="10" borderId="5" xfId="1" applyNumberFormat="1" applyFont="1" applyFill="1" applyBorder="1" applyAlignment="1" applyProtection="1">
      <alignment vertical="center"/>
    </xf>
    <xf numFmtId="167" fontId="55" fillId="2" borderId="5" xfId="1" applyFont="1" applyFill="1" applyBorder="1" applyAlignment="1" applyProtection="1">
      <alignment vertical="center"/>
    </xf>
    <xf numFmtId="39" fontId="38" fillId="28" borderId="6" xfId="0" applyFont="1" applyFill="1" applyBorder="1" applyAlignment="1" applyProtection="1">
      <alignment horizontal="center" vertical="center" wrapText="1"/>
      <protection locked="0"/>
    </xf>
    <xf numFmtId="39" fontId="38" fillId="28" borderId="11" xfId="0" applyFont="1" applyFill="1" applyBorder="1" applyAlignment="1" applyProtection="1">
      <alignment horizontal="center" vertical="center"/>
      <protection locked="0"/>
    </xf>
    <xf numFmtId="39" fontId="38" fillId="28" borderId="12" xfId="0" applyFont="1" applyFill="1" applyBorder="1" applyAlignment="1" applyProtection="1">
      <alignment vertical="center" wrapText="1"/>
      <protection locked="0"/>
    </xf>
    <xf numFmtId="39" fontId="42" fillId="2" borderId="2" xfId="0" applyFont="1" applyFill="1" applyBorder="1" applyAlignment="1" applyProtection="1">
      <alignment horizontal="center" vertical="center"/>
      <protection locked="0"/>
    </xf>
    <xf numFmtId="39" fontId="130" fillId="0" borderId="51" xfId="0" applyFont="1" applyBorder="1" applyAlignment="1">
      <alignment horizontal="center" vertical="center"/>
    </xf>
    <xf numFmtId="164" fontId="100" fillId="0" borderId="52" xfId="0" applyNumberFormat="1" applyFont="1" applyBorder="1" applyAlignment="1">
      <alignment horizontal="right" vertical="center"/>
    </xf>
    <xf numFmtId="176" fontId="37" fillId="2" borderId="5" xfId="1" quotePrefix="1" applyNumberFormat="1" applyFont="1" applyFill="1" applyBorder="1" applyAlignment="1" applyProtection="1">
      <alignment vertical="center"/>
    </xf>
    <xf numFmtId="1" fontId="132" fillId="0" borderId="55" xfId="9" applyNumberFormat="1" applyFont="1" applyBorder="1" applyAlignment="1" applyProtection="1">
      <alignment horizontal="center" vertical="center" wrapText="1"/>
      <protection hidden="1"/>
    </xf>
    <xf numFmtId="1" fontId="132" fillId="0" borderId="16" xfId="9" applyNumberFormat="1" applyFont="1" applyBorder="1" applyAlignment="1" applyProtection="1">
      <alignment horizontal="center" vertical="center" wrapText="1"/>
      <protection hidden="1"/>
    </xf>
    <xf numFmtId="39" fontId="37" fillId="4" borderId="5" xfId="0" applyFont="1" applyFill="1" applyBorder="1" applyAlignment="1" applyProtection="1">
      <alignment horizontal="center" vertical="center"/>
      <protection locked="0"/>
    </xf>
    <xf numFmtId="39" fontId="106" fillId="10" borderId="5" xfId="0" applyFont="1" applyFill="1" applyBorder="1" applyAlignment="1">
      <alignment horizontal="left" vertical="center" wrapText="1"/>
    </xf>
    <xf numFmtId="1" fontId="41" fillId="2" borderId="6" xfId="0" applyNumberFormat="1" applyFont="1" applyFill="1" applyBorder="1" applyAlignment="1" applyProtection="1">
      <alignment horizontal="center" vertical="center"/>
      <protection locked="0"/>
    </xf>
    <xf numFmtId="1" fontId="0" fillId="0" borderId="24" xfId="0" applyNumberFormat="1" applyBorder="1" applyAlignment="1">
      <alignment vertical="center" textRotation="90"/>
    </xf>
    <xf numFmtId="39" fontId="101" fillId="2" borderId="6" xfId="0" applyFont="1" applyFill="1" applyBorder="1" applyAlignment="1" applyProtection="1">
      <alignment horizontal="center" vertical="center" textRotation="90" wrapText="1"/>
      <protection locked="0"/>
    </xf>
    <xf numFmtId="39" fontId="106" fillId="2" borderId="6" xfId="0" applyFont="1" applyFill="1" applyBorder="1" applyAlignment="1">
      <alignment horizontal="left" vertical="center" wrapText="1"/>
    </xf>
    <xf numFmtId="0" fontId="41" fillId="2" borderId="6" xfId="0" applyNumberFormat="1" applyFont="1" applyFill="1" applyBorder="1" applyAlignment="1">
      <alignment horizontal="center" vertical="center"/>
    </xf>
    <xf numFmtId="39" fontId="46" fillId="2" borderId="6" xfId="0" applyFont="1" applyFill="1" applyBorder="1" applyAlignment="1">
      <alignment horizontal="center" vertical="center" textRotation="90" wrapText="1"/>
    </xf>
    <xf numFmtId="2" fontId="55" fillId="21" borderId="23" xfId="0" applyNumberFormat="1" applyFont="1" applyFill="1" applyBorder="1" applyAlignment="1">
      <alignment horizontal="center" vertical="center" wrapText="1"/>
    </xf>
    <xf numFmtId="2" fontId="55" fillId="21" borderId="5" xfId="0" applyNumberFormat="1" applyFont="1" applyFill="1" applyBorder="1" applyAlignment="1">
      <alignment horizontal="center" vertical="center" wrapText="1"/>
    </xf>
    <xf numFmtId="167" fontId="51" fillId="21" borderId="5" xfId="1" applyFont="1" applyFill="1" applyBorder="1" applyAlignment="1" applyProtection="1">
      <alignment vertical="center"/>
    </xf>
    <xf numFmtId="39" fontId="102" fillId="4" borderId="45" xfId="0" applyFont="1" applyFill="1" applyBorder="1" applyAlignment="1">
      <alignment horizontal="center" vertical="center"/>
    </xf>
    <xf numFmtId="39" fontId="145" fillId="2" borderId="0" xfId="0" applyFont="1" applyFill="1" applyAlignment="1">
      <alignment vertical="center"/>
    </xf>
    <xf numFmtId="39" fontId="145" fillId="2" borderId="0" xfId="0" applyFont="1" applyFill="1" applyAlignment="1" applyProtection="1">
      <alignment vertical="center"/>
      <protection locked="0"/>
    </xf>
    <xf numFmtId="39" fontId="145" fillId="4" borderId="0" xfId="0" applyFont="1" applyFill="1" applyAlignment="1">
      <alignment horizontal="center" vertical="center"/>
    </xf>
    <xf numFmtId="39" fontId="146" fillId="2" borderId="0" xfId="0" applyFont="1" applyFill="1" applyAlignment="1" applyProtection="1">
      <alignment horizontal="center" vertical="center"/>
      <protection locked="0"/>
    </xf>
    <xf numFmtId="39" fontId="145" fillId="0" borderId="0" xfId="0" applyFont="1" applyAlignment="1" applyProtection="1">
      <alignment vertical="center"/>
      <protection locked="0"/>
    </xf>
    <xf numFmtId="39" fontId="145" fillId="4" borderId="0" xfId="0" applyFont="1" applyFill="1" applyAlignment="1" applyProtection="1">
      <alignment horizontal="center" vertical="center"/>
      <protection locked="0"/>
    </xf>
    <xf numFmtId="39" fontId="146" fillId="2" borderId="0" xfId="0" applyFont="1" applyFill="1" applyAlignment="1">
      <alignment horizontal="center" vertical="center"/>
    </xf>
    <xf numFmtId="39" fontId="147" fillId="2" borderId="0" xfId="0" applyFont="1" applyFill="1" applyAlignment="1">
      <alignment vertical="center"/>
    </xf>
    <xf numFmtId="39" fontId="147" fillId="2" borderId="0" xfId="0" applyFont="1" applyFill="1" applyAlignment="1" applyProtection="1">
      <alignment vertical="center"/>
      <protection locked="0"/>
    </xf>
    <xf numFmtId="39" fontId="148" fillId="2" borderId="0" xfId="0" applyFont="1" applyFill="1" applyAlignment="1" applyProtection="1">
      <alignment horizontal="center" vertical="center"/>
      <protection locked="0"/>
    </xf>
    <xf numFmtId="39" fontId="147" fillId="0" borderId="0" xfId="0" applyFont="1" applyAlignment="1" applyProtection="1">
      <alignment vertical="center"/>
      <protection locked="0"/>
    </xf>
    <xf numFmtId="39" fontId="148" fillId="2" borderId="0" xfId="0" applyFont="1" applyFill="1" applyAlignment="1">
      <alignment horizontal="center" vertical="center"/>
    </xf>
    <xf numFmtId="39" fontId="100" fillId="10" borderId="5" xfId="0" applyFont="1" applyFill="1" applyBorder="1" applyAlignment="1">
      <alignment horizontal="center" vertical="center" wrapText="1"/>
    </xf>
    <xf numFmtId="0" fontId="135" fillId="2" borderId="6" xfId="5" applyFont="1" applyFill="1" applyBorder="1" applyAlignment="1">
      <alignment vertical="center" wrapText="1"/>
    </xf>
    <xf numFmtId="39" fontId="135" fillId="2" borderId="11" xfId="0" applyFont="1" applyFill="1" applyBorder="1" applyAlignment="1">
      <alignment horizontal="left" vertical="center" wrapText="1"/>
    </xf>
    <xf numFmtId="39" fontId="38" fillId="4" borderId="6" xfId="0" applyFont="1" applyFill="1" applyBorder="1" applyAlignment="1" applyProtection="1">
      <alignment horizontal="center" vertical="center" wrapText="1"/>
      <protection locked="0"/>
    </xf>
    <xf numFmtId="39" fontId="38" fillId="4" borderId="11" xfId="0" applyFont="1" applyFill="1" applyBorder="1" applyAlignment="1" applyProtection="1">
      <alignment horizontal="center" vertical="center" wrapText="1"/>
      <protection locked="0"/>
    </xf>
    <xf numFmtId="39" fontId="38" fillId="4" borderId="12" xfId="0" applyFont="1" applyFill="1" applyBorder="1" applyAlignment="1" applyProtection="1">
      <alignment horizontal="center" vertical="center" wrapText="1"/>
      <protection locked="0"/>
    </xf>
    <xf numFmtId="0" fontId="125" fillId="2" borderId="0" xfId="2" applyFont="1" applyFill="1" applyAlignment="1" applyProtection="1">
      <alignment horizontal="center"/>
      <protection hidden="1"/>
    </xf>
    <xf numFmtId="39" fontId="135" fillId="2" borderId="12" xfId="0" applyFont="1" applyFill="1" applyBorder="1" applyAlignment="1">
      <alignment horizontal="left" vertical="center" wrapText="1"/>
    </xf>
    <xf numFmtId="167" fontId="51" fillId="16" borderId="5" xfId="1" applyFont="1" applyFill="1" applyBorder="1" applyAlignment="1" applyProtection="1">
      <alignment vertical="center"/>
    </xf>
    <xf numFmtId="39" fontId="149" fillId="2" borderId="0" xfId="0" applyFont="1" applyFill="1" applyAlignment="1">
      <alignment vertical="center"/>
    </xf>
    <xf numFmtId="0" fontId="55" fillId="2" borderId="0" xfId="2" applyFont="1" applyFill="1" applyAlignment="1" applyProtection="1">
      <alignment horizontal="center"/>
      <protection hidden="1"/>
    </xf>
    <xf numFmtId="0" fontId="55" fillId="4" borderId="0" xfId="2" applyFont="1" applyFill="1" applyAlignment="1" applyProtection="1">
      <alignment horizontal="center"/>
      <protection hidden="1"/>
    </xf>
    <xf numFmtId="0" fontId="55" fillId="0" borderId="0" xfId="2" applyFont="1" applyAlignment="1" applyProtection="1">
      <alignment horizontal="center"/>
      <protection hidden="1"/>
    </xf>
    <xf numFmtId="39" fontId="36" fillId="2" borderId="5" xfId="0" applyFont="1" applyFill="1" applyBorder="1" applyAlignment="1">
      <alignment horizontal="center" vertical="center"/>
    </xf>
    <xf numFmtId="39" fontId="151" fillId="2" borderId="0" xfId="0" applyFont="1" applyFill="1" applyAlignment="1">
      <alignment vertical="center"/>
    </xf>
    <xf numFmtId="39" fontId="149" fillId="0" borderId="0" xfId="0" applyFont="1" applyAlignment="1">
      <alignment vertical="center"/>
    </xf>
    <xf numFmtId="39" fontId="152" fillId="2" borderId="0" xfId="0" applyFont="1" applyFill="1" applyAlignment="1">
      <alignment vertical="center"/>
    </xf>
    <xf numFmtId="39" fontId="153" fillId="2" borderId="0" xfId="0" applyFont="1" applyFill="1" applyAlignment="1">
      <alignment vertical="center"/>
    </xf>
    <xf numFmtId="39" fontId="135" fillId="2" borderId="5" xfId="0" applyFont="1" applyFill="1" applyBorder="1" applyAlignment="1">
      <alignment horizontal="center" vertical="center" wrapText="1"/>
    </xf>
    <xf numFmtId="39" fontId="135" fillId="4" borderId="5" xfId="0" applyFont="1" applyFill="1" applyBorder="1" applyAlignment="1">
      <alignment horizontal="center" vertical="center" wrapText="1"/>
    </xf>
    <xf numFmtId="171" fontId="135" fillId="4" borderId="5" xfId="0" applyNumberFormat="1" applyFont="1" applyFill="1" applyBorder="1" applyAlignment="1">
      <alignment horizontal="center" vertical="center" wrapText="1"/>
    </xf>
    <xf numFmtId="167" fontId="135" fillId="2" borderId="5" xfId="1" applyFont="1" applyFill="1" applyBorder="1" applyAlignment="1" applyProtection="1">
      <alignment vertical="center"/>
    </xf>
    <xf numFmtId="167" fontId="135" fillId="0" borderId="5" xfId="1" applyFont="1" applyFill="1" applyBorder="1" applyAlignment="1">
      <alignment vertical="center"/>
    </xf>
    <xf numFmtId="167" fontId="135" fillId="4" borderId="5" xfId="1" applyFont="1" applyFill="1" applyBorder="1" applyAlignment="1" applyProtection="1">
      <alignment vertical="center"/>
    </xf>
    <xf numFmtId="167" fontId="135" fillId="2" borderId="5" xfId="1" applyFont="1" applyFill="1" applyBorder="1" applyAlignment="1">
      <alignment vertical="center"/>
    </xf>
    <xf numFmtId="39" fontId="135" fillId="2" borderId="5" xfId="0" applyFont="1" applyFill="1" applyBorder="1"/>
    <xf numFmtId="167" fontId="51" fillId="2" borderId="5" xfId="1" applyFont="1" applyFill="1" applyBorder="1" applyAlignment="1">
      <alignment vertical="center"/>
    </xf>
    <xf numFmtId="0" fontId="135" fillId="2" borderId="5" xfId="0" applyNumberFormat="1" applyFont="1" applyFill="1" applyBorder="1" applyAlignment="1">
      <alignment horizontal="left" vertical="top"/>
    </xf>
    <xf numFmtId="39" fontId="135" fillId="2" borderId="5" xfId="0" applyFont="1" applyFill="1" applyBorder="1" applyAlignment="1">
      <alignment vertical="center"/>
    </xf>
    <xf numFmtId="39" fontId="135" fillId="2" borderId="6" xfId="0" applyFont="1" applyFill="1" applyBorder="1" applyAlignment="1">
      <alignment horizontal="center" vertical="center" wrapText="1"/>
    </xf>
    <xf numFmtId="39" fontId="51" fillId="29" borderId="23" xfId="0" applyFont="1" applyFill="1" applyBorder="1" applyAlignment="1">
      <alignment horizontal="center" vertical="center" wrapText="1"/>
    </xf>
    <xf numFmtId="0" fontId="51" fillId="29" borderId="5" xfId="0" applyNumberFormat="1" applyFont="1" applyFill="1" applyBorder="1" applyAlignment="1">
      <alignment horizontal="left" vertical="top"/>
    </xf>
    <xf numFmtId="39" fontId="51" fillId="29" borderId="5" xfId="0" applyFont="1" applyFill="1" applyBorder="1" applyAlignment="1">
      <alignment vertical="center"/>
    </xf>
    <xf numFmtId="1" fontId="135" fillId="2" borderId="11" xfId="0" applyNumberFormat="1" applyFont="1" applyFill="1" applyBorder="1" applyAlignment="1" applyProtection="1">
      <alignment horizontal="center" vertical="center"/>
      <protection locked="0"/>
    </xf>
    <xf numFmtId="39" fontId="135" fillId="2" borderId="11" xfId="0" applyFont="1" applyFill="1" applyBorder="1" applyAlignment="1">
      <alignment horizontal="center" vertical="center" wrapText="1"/>
    </xf>
    <xf numFmtId="171" fontId="51" fillId="29" borderId="5" xfId="0" applyNumberFormat="1" applyFont="1" applyFill="1" applyBorder="1" applyAlignment="1">
      <alignment horizontal="center" vertical="center" wrapText="1"/>
    </xf>
    <xf numFmtId="167" fontId="51" fillId="29" borderId="5" xfId="1" applyFont="1" applyFill="1" applyBorder="1" applyAlignment="1" applyProtection="1">
      <alignment vertical="center"/>
    </xf>
    <xf numFmtId="39" fontId="152" fillId="0" borderId="0" xfId="0" applyFont="1" applyAlignment="1">
      <alignment vertical="center"/>
    </xf>
    <xf numFmtId="39" fontId="156" fillId="2" borderId="0" xfId="0" applyFont="1" applyFill="1" applyAlignment="1">
      <alignment vertical="center"/>
    </xf>
    <xf numFmtId="39" fontId="40" fillId="4" borderId="5" xfId="0" applyFont="1" applyFill="1" applyBorder="1" applyAlignment="1">
      <alignment horizontal="center" vertical="center" wrapText="1"/>
    </xf>
    <xf numFmtId="171" fontId="40" fillId="4" borderId="5" xfId="0" applyNumberFormat="1" applyFont="1" applyFill="1" applyBorder="1" applyAlignment="1">
      <alignment horizontal="center" vertical="center" wrapText="1"/>
    </xf>
    <xf numFmtId="167" fontId="40" fillId="2" borderId="5" xfId="1" applyFont="1" applyFill="1" applyBorder="1" applyAlignment="1" applyProtection="1">
      <alignment vertical="center"/>
    </xf>
    <xf numFmtId="1" fontId="40" fillId="19" borderId="5" xfId="1" applyNumberFormat="1" applyFont="1" applyFill="1" applyBorder="1" applyAlignment="1" applyProtection="1">
      <alignment horizontal="center" vertical="center"/>
      <protection locked="0"/>
    </xf>
    <xf numFmtId="167" fontId="40" fillId="0" borderId="5" xfId="1" applyFont="1" applyFill="1" applyBorder="1" applyAlignment="1">
      <alignment vertical="center"/>
    </xf>
    <xf numFmtId="167" fontId="40" fillId="4" borderId="5" xfId="1" applyFont="1" applyFill="1" applyBorder="1" applyAlignment="1" applyProtection="1">
      <alignment vertical="center"/>
    </xf>
    <xf numFmtId="167" fontId="40" fillId="2" borderId="5" xfId="1" applyFont="1" applyFill="1" applyBorder="1" applyAlignment="1">
      <alignment vertical="center"/>
    </xf>
    <xf numFmtId="39" fontId="40" fillId="2" borderId="5" xfId="0" applyFont="1" applyFill="1" applyBorder="1"/>
    <xf numFmtId="167" fontId="52" fillId="2" borderId="5" xfId="1" applyFont="1" applyFill="1" applyBorder="1" applyAlignment="1">
      <alignment vertical="center"/>
    </xf>
    <xf numFmtId="0" fontId="40" fillId="2" borderId="5" xfId="0" applyNumberFormat="1" applyFont="1" applyFill="1" applyBorder="1" applyAlignment="1">
      <alignment horizontal="left" vertical="top"/>
    </xf>
    <xf numFmtId="39" fontId="40" fillId="2" borderId="5" xfId="0" applyFont="1" applyFill="1" applyBorder="1" applyAlignment="1">
      <alignment vertical="center"/>
    </xf>
    <xf numFmtId="39" fontId="160" fillId="2" borderId="0" xfId="0" applyFont="1" applyFill="1" applyAlignment="1" applyProtection="1">
      <alignment vertical="center"/>
      <protection locked="0"/>
    </xf>
    <xf numFmtId="39" fontId="160" fillId="2" borderId="0" xfId="0" applyFont="1" applyFill="1" applyAlignment="1" applyProtection="1">
      <alignment horizontal="center" vertical="center"/>
      <protection locked="0"/>
    </xf>
    <xf numFmtId="39" fontId="160" fillId="4" borderId="0" xfId="0" applyFont="1" applyFill="1" applyAlignment="1" applyProtection="1">
      <alignment horizontal="center" vertical="center"/>
      <protection locked="0"/>
    </xf>
    <xf numFmtId="1" fontId="160" fillId="2" borderId="0" xfId="0" applyNumberFormat="1" applyFont="1" applyFill="1" applyAlignment="1" applyProtection="1">
      <alignment horizontal="center" vertical="center"/>
      <protection locked="0"/>
    </xf>
    <xf numFmtId="39" fontId="160" fillId="0" borderId="0" xfId="0" applyFont="1" applyAlignment="1" applyProtection="1">
      <alignment vertical="center"/>
      <protection locked="0"/>
    </xf>
    <xf numFmtId="39" fontId="160" fillId="4" borderId="0" xfId="0" applyFont="1" applyFill="1" applyAlignment="1" applyProtection="1">
      <alignment vertical="center"/>
      <protection locked="0"/>
    </xf>
    <xf numFmtId="39" fontId="160" fillId="2" borderId="0" xfId="0" applyFont="1" applyFill="1" applyAlignment="1" applyProtection="1">
      <alignment vertical="center" wrapText="1"/>
      <protection locked="0"/>
    </xf>
    <xf numFmtId="39" fontId="160" fillId="2" borderId="0" xfId="0" applyFont="1" applyFill="1" applyAlignment="1">
      <alignment vertical="center"/>
    </xf>
    <xf numFmtId="39" fontId="160" fillId="0" borderId="0" xfId="0" applyFont="1" applyAlignment="1">
      <alignment vertical="center"/>
    </xf>
    <xf numFmtId="39" fontId="156" fillId="0" borderId="0" xfId="0" applyFont="1" applyAlignment="1">
      <alignment vertical="center"/>
    </xf>
    <xf numFmtId="39" fontId="160" fillId="0" borderId="0" xfId="0" applyFont="1" applyAlignment="1" applyProtection="1">
      <alignment horizontal="center" vertical="center"/>
      <protection locked="0"/>
    </xf>
    <xf numFmtId="1" fontId="160" fillId="0" borderId="0" xfId="0" applyNumberFormat="1" applyFont="1" applyAlignment="1" applyProtection="1">
      <alignment horizontal="center" vertical="center"/>
      <protection locked="0"/>
    </xf>
    <xf numFmtId="39" fontId="161" fillId="0" borderId="0" xfId="0" applyFont="1" applyAlignment="1">
      <alignment vertical="center"/>
    </xf>
    <xf numFmtId="1" fontId="156" fillId="0" borderId="0" xfId="0" applyNumberFormat="1" applyFont="1" applyAlignment="1">
      <alignment horizontal="center" vertical="center"/>
    </xf>
    <xf numFmtId="39" fontId="162" fillId="0" borderId="0" xfId="0" applyFont="1"/>
    <xf numFmtId="39" fontId="163" fillId="0" borderId="0" xfId="0" applyFont="1"/>
    <xf numFmtId="39" fontId="164" fillId="0" borderId="0" xfId="0" applyFont="1" applyAlignment="1" applyProtection="1">
      <alignment vertical="center"/>
      <protection locked="0"/>
    </xf>
    <xf numFmtId="39" fontId="164" fillId="4" borderId="0" xfId="0" applyFont="1" applyFill="1" applyAlignment="1" applyProtection="1">
      <alignment horizontal="center" vertical="center"/>
      <protection locked="0"/>
    </xf>
    <xf numFmtId="1" fontId="164" fillId="0" borderId="0" xfId="0" applyNumberFormat="1" applyFont="1" applyAlignment="1" applyProtection="1">
      <alignment horizontal="center" vertical="center"/>
      <protection locked="0"/>
    </xf>
    <xf numFmtId="39" fontId="164" fillId="4" borderId="0" xfId="0" applyFont="1" applyFill="1" applyAlignment="1" applyProtection="1">
      <alignment vertical="center"/>
      <protection locked="0"/>
    </xf>
    <xf numFmtId="39" fontId="164" fillId="0" borderId="0" xfId="0" applyFont="1" applyAlignment="1" applyProtection="1">
      <alignment horizontal="center" vertical="center"/>
      <protection locked="0"/>
    </xf>
    <xf numFmtId="39" fontId="156" fillId="4" borderId="0" xfId="0" applyFont="1" applyFill="1" applyAlignment="1">
      <alignment horizontal="center" vertical="center"/>
    </xf>
    <xf numFmtId="39" fontId="156" fillId="4" borderId="0" xfId="0" applyFont="1" applyFill="1" applyAlignment="1">
      <alignment vertical="center"/>
    </xf>
    <xf numFmtId="39" fontId="156" fillId="0" borderId="0" xfId="0" applyFont="1" applyAlignment="1">
      <alignment horizontal="center" vertical="center"/>
    </xf>
    <xf numFmtId="39" fontId="14" fillId="4" borderId="0" xfId="0" applyFont="1" applyFill="1" applyAlignment="1">
      <alignment vertical="center"/>
    </xf>
    <xf numFmtId="1" fontId="40" fillId="2" borderId="12" xfId="0" applyNumberFormat="1" applyFont="1" applyFill="1" applyBorder="1" applyAlignment="1" applyProtection="1">
      <alignment horizontal="center" vertical="center"/>
      <protection locked="0"/>
    </xf>
    <xf numFmtId="1" fontId="159" fillId="0" borderId="21" xfId="0" applyNumberFormat="1" applyFont="1" applyBorder="1" applyAlignment="1">
      <alignment vertical="center" textRotation="90"/>
    </xf>
    <xf numFmtId="39" fontId="54" fillId="2" borderId="12" xfId="0" applyFont="1" applyFill="1" applyBorder="1" applyAlignment="1" applyProtection="1">
      <alignment horizontal="center" vertical="center" textRotation="90" wrapText="1"/>
      <protection locked="0"/>
    </xf>
    <xf numFmtId="39" fontId="40" fillId="2" borderId="12" xfId="0" applyFont="1" applyFill="1" applyBorder="1" applyAlignment="1">
      <alignment horizontal="center" vertical="center" wrapText="1"/>
    </xf>
    <xf numFmtId="39" fontId="40" fillId="10" borderId="12" xfId="0" applyFont="1" applyFill="1" applyBorder="1" applyAlignment="1">
      <alignment horizontal="left" vertical="center" wrapText="1"/>
    </xf>
    <xf numFmtId="39" fontId="165" fillId="2" borderId="0" xfId="0" applyFont="1" applyFill="1" applyAlignment="1">
      <alignment vertical="center"/>
    </xf>
    <xf numFmtId="1" fontId="135" fillId="2" borderId="5" xfId="0" applyNumberFormat="1" applyFont="1" applyFill="1" applyBorder="1" applyAlignment="1" applyProtection="1">
      <alignment horizontal="center" vertical="center"/>
      <protection locked="0"/>
    </xf>
    <xf numFmtId="169" fontId="154" fillId="2" borderId="5" xfId="0" applyNumberFormat="1" applyFont="1" applyFill="1" applyBorder="1" applyAlignment="1">
      <alignment horizontal="center" vertical="center" textRotation="90"/>
    </xf>
    <xf numFmtId="0" fontId="135" fillId="2" borderId="5" xfId="0" applyNumberFormat="1" applyFont="1" applyFill="1" applyBorder="1" applyAlignment="1" applyProtection="1">
      <alignment horizontal="center" vertical="center" textRotation="90"/>
      <protection locked="0"/>
    </xf>
    <xf numFmtId="39" fontId="51" fillId="29" borderId="5" xfId="0" applyFont="1" applyFill="1" applyBorder="1" applyAlignment="1">
      <alignment horizontal="center" vertical="center" wrapText="1"/>
    </xf>
    <xf numFmtId="1" fontId="135" fillId="2" borderId="12" xfId="0" applyNumberFormat="1" applyFont="1" applyFill="1" applyBorder="1" applyAlignment="1" applyProtection="1">
      <alignment horizontal="center" vertical="center"/>
      <protection locked="0"/>
    </xf>
    <xf numFmtId="1" fontId="57" fillId="0" borderId="21" xfId="0" applyNumberFormat="1" applyFont="1" applyBorder="1" applyAlignment="1">
      <alignment vertical="center" textRotation="90"/>
    </xf>
    <xf numFmtId="39" fontId="135" fillId="2" borderId="12" xfId="0" applyFont="1" applyFill="1" applyBorder="1" applyAlignment="1">
      <alignment horizontal="center" vertical="center" wrapText="1"/>
    </xf>
    <xf numFmtId="1" fontId="57" fillId="0" borderId="19" xfId="0" applyNumberFormat="1" applyFont="1" applyBorder="1" applyAlignment="1">
      <alignment vertical="center" textRotation="90"/>
    </xf>
    <xf numFmtId="1" fontId="135" fillId="2" borderId="6" xfId="0" applyNumberFormat="1" applyFont="1" applyFill="1" applyBorder="1" applyAlignment="1" applyProtection="1">
      <alignment horizontal="center" vertical="center"/>
      <protection locked="0"/>
    </xf>
    <xf numFmtId="39" fontId="135" fillId="4" borderId="23" xfId="0" applyFont="1" applyFill="1" applyBorder="1" applyAlignment="1">
      <alignment horizontal="center" vertical="center" wrapText="1"/>
    </xf>
    <xf numFmtId="1" fontId="135" fillId="2" borderId="49" xfId="0" applyNumberFormat="1" applyFont="1" applyFill="1" applyBorder="1" applyAlignment="1" applyProtection="1">
      <alignment horizontal="center" vertical="center"/>
      <protection locked="0"/>
    </xf>
    <xf numFmtId="39" fontId="135" fillId="29" borderId="23" xfId="0" applyFont="1" applyFill="1" applyBorder="1" applyAlignment="1">
      <alignment horizontal="center" vertical="center" wrapText="1"/>
    </xf>
    <xf numFmtId="171" fontId="135" fillId="29" borderId="5" xfId="0" applyNumberFormat="1" applyFont="1" applyFill="1" applyBorder="1" applyAlignment="1">
      <alignment horizontal="center" vertical="center" wrapText="1"/>
    </xf>
    <xf numFmtId="167" fontId="100" fillId="10" borderId="5" xfId="1" applyFont="1" applyFill="1" applyBorder="1" applyAlignment="1" applyProtection="1">
      <alignment horizontal="center" vertical="center" wrapText="1"/>
    </xf>
    <xf numFmtId="167" fontId="51" fillId="10" borderId="5" xfId="1" applyFont="1" applyFill="1" applyBorder="1" applyAlignment="1" applyProtection="1">
      <alignment horizontal="center" vertical="center" wrapText="1"/>
    </xf>
    <xf numFmtId="39" fontId="167" fillId="0" borderId="3" xfId="0" applyFont="1" applyBorder="1" applyAlignment="1">
      <alignment horizontal="center"/>
    </xf>
    <xf numFmtId="39" fontId="168" fillId="0" borderId="19" xfId="0" applyFont="1" applyBorder="1"/>
    <xf numFmtId="39" fontId="168" fillId="0" borderId="19" xfId="0" applyFont="1" applyBorder="1" applyAlignment="1">
      <alignment horizontal="center"/>
    </xf>
    <xf numFmtId="39" fontId="167" fillId="0" borderId="19" xfId="0" applyFont="1" applyBorder="1"/>
    <xf numFmtId="39" fontId="169" fillId="0" borderId="19" xfId="0" applyFont="1" applyBorder="1"/>
    <xf numFmtId="39" fontId="170" fillId="0" borderId="19" xfId="0" applyFont="1" applyBorder="1" applyAlignment="1">
      <alignment horizontal="center"/>
    </xf>
    <xf numFmtId="37" fontId="171" fillId="0" borderId="31" xfId="0" applyNumberFormat="1" applyFont="1" applyBorder="1" applyAlignment="1">
      <alignment horizontal="center"/>
    </xf>
    <xf numFmtId="37" fontId="30" fillId="0" borderId="69" xfId="0" applyNumberFormat="1" applyFont="1" applyBorder="1" applyAlignment="1">
      <alignment horizontal="center"/>
    </xf>
    <xf numFmtId="37" fontId="30" fillId="0" borderId="25" xfId="0" applyNumberFormat="1" applyFont="1" applyBorder="1" applyAlignment="1">
      <alignment horizontal="center"/>
    </xf>
    <xf numFmtId="37" fontId="169" fillId="0" borderId="19" xfId="0" applyNumberFormat="1" applyFont="1" applyBorder="1" applyAlignment="1">
      <alignment horizontal="center"/>
    </xf>
    <xf numFmtId="1" fontId="0" fillId="0" borderId="19" xfId="0" applyNumberFormat="1" applyBorder="1" applyAlignment="1">
      <alignment horizontal="center" vertical="center" textRotation="90"/>
    </xf>
    <xf numFmtId="0" fontId="125" fillId="2" borderId="0" xfId="2" applyFont="1" applyFill="1" applyProtection="1">
      <protection hidden="1"/>
    </xf>
    <xf numFmtId="39" fontId="170" fillId="19" borderId="19" xfId="0" applyFont="1" applyFill="1" applyBorder="1" applyAlignment="1">
      <alignment horizontal="center"/>
    </xf>
    <xf numFmtId="37" fontId="172" fillId="0" borderId="19" xfId="0" applyNumberFormat="1" applyFont="1" applyBorder="1"/>
    <xf numFmtId="176" fontId="37" fillId="19" borderId="5" xfId="1" applyNumberFormat="1" applyFont="1" applyFill="1" applyBorder="1" applyAlignment="1" applyProtection="1">
      <alignment vertical="center"/>
    </xf>
    <xf numFmtId="39" fontId="155" fillId="19" borderId="10" xfId="0" applyFont="1" applyFill="1" applyBorder="1" applyAlignment="1" applyProtection="1">
      <alignment horizontal="center" vertical="center" wrapText="1"/>
      <protection locked="0"/>
    </xf>
    <xf numFmtId="39" fontId="155" fillId="19" borderId="22" xfId="0" applyFont="1" applyFill="1" applyBorder="1" applyAlignment="1" applyProtection="1">
      <alignment horizontal="center" vertical="center" wrapText="1"/>
      <protection locked="0"/>
    </xf>
    <xf numFmtId="39" fontId="155" fillId="19" borderId="23" xfId="0" applyFont="1" applyFill="1" applyBorder="1" applyAlignment="1" applyProtection="1">
      <alignment horizontal="center" vertical="center" textRotation="90" wrapText="1"/>
      <protection locked="0"/>
    </xf>
    <xf numFmtId="39" fontId="157" fillId="19" borderId="5" xfId="0" applyFont="1" applyFill="1" applyBorder="1" applyAlignment="1" applyProtection="1">
      <alignment horizontal="center" vertical="center" wrapText="1"/>
      <protection locked="0"/>
    </xf>
    <xf numFmtId="39" fontId="157" fillId="19" borderId="12" xfId="0" applyFont="1" applyFill="1" applyBorder="1" applyAlignment="1" applyProtection="1">
      <alignment horizontal="center" vertical="center" wrapText="1"/>
      <protection locked="0"/>
    </xf>
    <xf numFmtId="39" fontId="155" fillId="19" borderId="5" xfId="0" applyFont="1" applyFill="1" applyBorder="1" applyAlignment="1" applyProtection="1">
      <alignment horizontal="center" vertical="center" wrapText="1"/>
      <protection locked="0"/>
    </xf>
    <xf numFmtId="39" fontId="158" fillId="19" borderId="5" xfId="0" applyFont="1" applyFill="1" applyBorder="1" applyAlignment="1" applyProtection="1">
      <alignment horizontal="center" vertical="center" wrapText="1"/>
      <protection locked="0"/>
    </xf>
    <xf numFmtId="39" fontId="51" fillId="19" borderId="23" xfId="0" applyFont="1" applyFill="1" applyBorder="1" applyAlignment="1">
      <alignment horizontal="center" vertical="center" wrapText="1"/>
    </xf>
    <xf numFmtId="0" fontId="51" fillId="19" borderId="5" xfId="0" applyNumberFormat="1" applyFont="1" applyFill="1" applyBorder="1" applyAlignment="1">
      <alignment horizontal="left" vertical="top"/>
    </xf>
    <xf numFmtId="39" fontId="51" fillId="19" borderId="5" xfId="0" applyFont="1" applyFill="1" applyBorder="1" applyAlignment="1">
      <alignment vertical="center"/>
    </xf>
    <xf numFmtId="39" fontId="52" fillId="19" borderId="5" xfId="0" applyFont="1" applyFill="1" applyBorder="1" applyAlignment="1">
      <alignment horizontal="center" vertical="center" wrapText="1"/>
    </xf>
    <xf numFmtId="171" fontId="52" fillId="19" borderId="5" xfId="0" applyNumberFormat="1" applyFont="1" applyFill="1" applyBorder="1" applyAlignment="1">
      <alignment horizontal="center" vertical="center" wrapText="1"/>
    </xf>
    <xf numFmtId="167" fontId="52" fillId="19" borderId="5" xfId="1" applyFont="1" applyFill="1" applyBorder="1" applyAlignment="1" applyProtection="1">
      <alignment vertical="center"/>
    </xf>
    <xf numFmtId="0" fontId="52" fillId="19" borderId="5" xfId="0" applyNumberFormat="1" applyFont="1" applyFill="1" applyBorder="1" applyAlignment="1">
      <alignment horizontal="left" vertical="top"/>
    </xf>
    <xf numFmtId="39" fontId="51" fillId="19" borderId="5" xfId="0" applyFont="1" applyFill="1" applyBorder="1" applyAlignment="1">
      <alignment horizontal="center" vertical="center" wrapText="1"/>
    </xf>
    <xf numFmtId="171" fontId="51" fillId="19" borderId="5" xfId="0" applyNumberFormat="1" applyFont="1" applyFill="1" applyBorder="1" applyAlignment="1">
      <alignment horizontal="center" vertical="center" wrapText="1"/>
    </xf>
    <xf numFmtId="167" fontId="51" fillId="19" borderId="5" xfId="1" applyFont="1" applyFill="1" applyBorder="1" applyAlignment="1" applyProtection="1">
      <alignment vertical="center"/>
    </xf>
    <xf numFmtId="39" fontId="135" fillId="19" borderId="23" xfId="0" applyFont="1" applyFill="1" applyBorder="1" applyAlignment="1">
      <alignment horizontal="center" vertical="center" wrapText="1"/>
    </xf>
    <xf numFmtId="171" fontId="135" fillId="19" borderId="5" xfId="0" applyNumberFormat="1" applyFont="1" applyFill="1" applyBorder="1" applyAlignment="1">
      <alignment horizontal="center" vertical="center" wrapText="1"/>
    </xf>
    <xf numFmtId="39" fontId="54" fillId="2" borderId="11" xfId="0" applyFont="1" applyFill="1" applyBorder="1" applyAlignment="1" applyProtection="1">
      <alignment horizontal="center" vertical="center" textRotation="90" wrapText="1"/>
      <protection locked="0"/>
    </xf>
    <xf numFmtId="39" fontId="54" fillId="2" borderId="50" xfId="0" applyFont="1" applyFill="1" applyBorder="1" applyAlignment="1" applyProtection="1">
      <alignment horizontal="center" vertical="center" textRotation="90" wrapText="1"/>
      <protection locked="0"/>
    </xf>
    <xf numFmtId="39" fontId="54" fillId="2" borderId="6" xfId="0" applyFont="1" applyFill="1" applyBorder="1" applyAlignment="1" applyProtection="1">
      <alignment horizontal="center" vertical="center" textRotation="90" wrapText="1"/>
      <protection locked="0"/>
    </xf>
    <xf numFmtId="39" fontId="106" fillId="2" borderId="11" xfId="0" applyFont="1" applyFill="1" applyBorder="1" applyAlignment="1">
      <alignment horizontal="center" vertical="center" wrapText="1"/>
    </xf>
    <xf numFmtId="39" fontId="120" fillId="2" borderId="0" xfId="0" applyFont="1" applyFill="1" applyAlignment="1">
      <alignment vertical="center"/>
    </xf>
    <xf numFmtId="39" fontId="173" fillId="0" borderId="0" xfId="0" applyFont="1" applyAlignment="1">
      <alignment vertical="center" wrapText="1"/>
    </xf>
    <xf numFmtId="176" fontId="51" fillId="2" borderId="5" xfId="1" applyNumberFormat="1" applyFont="1" applyFill="1" applyBorder="1" applyAlignment="1" applyProtection="1">
      <alignment vertical="center"/>
    </xf>
    <xf numFmtId="39" fontId="175" fillId="0" borderId="0" xfId="0" applyFont="1"/>
    <xf numFmtId="39" fontId="176" fillId="0" borderId="0" xfId="0" applyFont="1"/>
    <xf numFmtId="39" fontId="175" fillId="0" borderId="0" xfId="0" applyFont="1" applyAlignment="1">
      <alignment horizontal="left" indent="6"/>
    </xf>
    <xf numFmtId="0" fontId="36" fillId="2" borderId="0" xfId="2" applyFont="1" applyFill="1" applyAlignment="1" applyProtection="1">
      <alignment horizontal="left" indent="179"/>
      <protection hidden="1"/>
    </xf>
    <xf numFmtId="0" fontId="36" fillId="2" borderId="0" xfId="2" applyFont="1" applyFill="1" applyAlignment="1" applyProtection="1">
      <alignment horizontal="left" indent="181"/>
      <protection hidden="1"/>
    </xf>
    <xf numFmtId="39" fontId="156" fillId="2" borderId="0" xfId="0" applyFont="1" applyFill="1" applyAlignment="1">
      <alignment horizontal="left" vertical="center" indent="179"/>
    </xf>
    <xf numFmtId="39" fontId="167" fillId="0" borderId="24" xfId="0" applyFont="1" applyBorder="1"/>
    <xf numFmtId="39" fontId="167" fillId="2" borderId="19" xfId="0" applyFont="1" applyFill="1" applyBorder="1" applyAlignment="1">
      <alignment horizontal="left" vertical="center" wrapText="1"/>
    </xf>
    <xf numFmtId="1" fontId="41" fillId="2" borderId="10" xfId="0" applyNumberFormat="1" applyFont="1" applyFill="1" applyBorder="1" applyAlignment="1" applyProtection="1">
      <alignment horizontal="center" vertical="center"/>
      <protection locked="0"/>
    </xf>
    <xf numFmtId="1" fontId="0" fillId="0" borderId="0" xfId="0" applyNumberFormat="1" applyAlignment="1">
      <alignment horizontal="center" vertical="center" textRotation="90"/>
    </xf>
    <xf numFmtId="39" fontId="101" fillId="2" borderId="22" xfId="0" applyFont="1" applyFill="1" applyBorder="1" applyAlignment="1" applyProtection="1">
      <alignment horizontal="center" vertical="center" textRotation="90" wrapText="1"/>
      <protection locked="0"/>
    </xf>
    <xf numFmtId="39" fontId="135" fillId="2" borderId="23" xfId="0" applyFont="1" applyFill="1" applyBorder="1" applyAlignment="1">
      <alignment horizontal="left" vertical="center" wrapText="1"/>
    </xf>
    <xf numFmtId="39" fontId="23" fillId="2" borderId="0" xfId="0" applyFont="1" applyFill="1" applyAlignment="1">
      <alignment horizontal="left" vertical="center"/>
    </xf>
    <xf numFmtId="39" fontId="23" fillId="2" borderId="0" xfId="0" applyFont="1" applyFill="1" applyAlignment="1">
      <alignment horizontal="left" vertical="center" indent="104"/>
    </xf>
    <xf numFmtId="39" fontId="125" fillId="2" borderId="0" xfId="0" applyFont="1" applyFill="1" applyAlignment="1">
      <alignment vertical="center"/>
    </xf>
    <xf numFmtId="39" fontId="125" fillId="2" borderId="0" xfId="0" applyFont="1" applyFill="1" applyAlignment="1">
      <alignment horizontal="left" indent="13"/>
    </xf>
    <xf numFmtId="39" fontId="125" fillId="2" borderId="0" xfId="0" applyFont="1" applyFill="1" applyAlignment="1" applyProtection="1">
      <alignment vertical="center"/>
      <protection locked="0"/>
    </xf>
    <xf numFmtId="39" fontId="0" fillId="0" borderId="0" xfId="0" applyAlignment="1">
      <alignment horizontal="left" indent="48"/>
    </xf>
    <xf numFmtId="39" fontId="179" fillId="2" borderId="0" xfId="0" applyFont="1" applyFill="1" applyAlignment="1" applyProtection="1">
      <alignment vertical="center"/>
      <protection locked="0"/>
    </xf>
    <xf numFmtId="39" fontId="125" fillId="0" borderId="0" xfId="0" applyFont="1" applyAlignment="1">
      <alignment vertical="center"/>
    </xf>
    <xf numFmtId="39" fontId="125" fillId="4" borderId="0" xfId="0" applyFont="1" applyFill="1" applyAlignment="1">
      <alignment vertical="center"/>
    </xf>
    <xf numFmtId="1" fontId="125" fillId="0" borderId="0" xfId="0" applyNumberFormat="1" applyFont="1" applyAlignment="1">
      <alignment vertical="center"/>
    </xf>
    <xf numFmtId="39" fontId="125" fillId="0" borderId="0" xfId="0" applyFont="1" applyAlignment="1">
      <alignment horizontal="left" vertical="center" indent="76"/>
    </xf>
    <xf numFmtId="39" fontId="178" fillId="0" borderId="0" xfId="0" applyFont="1" applyAlignment="1">
      <alignment horizontal="left" indent="76"/>
    </xf>
    <xf numFmtId="39" fontId="125" fillId="2" borderId="0" xfId="0" applyFont="1" applyFill="1" applyAlignment="1" applyProtection="1">
      <alignment horizontal="right" vertical="center" indent="37"/>
      <protection locked="0"/>
    </xf>
    <xf numFmtId="39" fontId="42" fillId="2" borderId="0" xfId="0" applyFont="1" applyFill="1" applyAlignment="1" applyProtection="1">
      <alignment horizontal="right" vertical="center" indent="37"/>
      <protection locked="0"/>
    </xf>
    <xf numFmtId="39" fontId="42" fillId="4" borderId="0" xfId="0" applyFont="1" applyFill="1" applyAlignment="1" applyProtection="1">
      <alignment horizontal="right" vertical="center" indent="37"/>
      <protection locked="0"/>
    </xf>
    <xf numFmtId="39" fontId="101" fillId="2" borderId="28" xfId="0" applyFont="1" applyFill="1" applyBorder="1" applyAlignment="1" applyProtection="1">
      <alignment horizontal="center" vertical="center" textRotation="90" wrapText="1"/>
      <protection locked="0"/>
    </xf>
    <xf numFmtId="166" fontId="100" fillId="0" borderId="18" xfId="4" applyFont="1" applyBorder="1" applyAlignment="1" applyProtection="1">
      <alignment horizontal="center" vertical="center"/>
      <protection hidden="1"/>
    </xf>
    <xf numFmtId="1" fontId="100" fillId="0" borderId="11" xfId="0" applyNumberFormat="1" applyFont="1" applyBorder="1" applyAlignment="1">
      <alignment horizontal="center" vertical="center" textRotation="255"/>
    </xf>
    <xf numFmtId="1" fontId="100" fillId="0" borderId="28" xfId="0" applyNumberFormat="1" applyFont="1" applyBorder="1" applyAlignment="1">
      <alignment horizontal="center" vertical="center" textRotation="255"/>
    </xf>
    <xf numFmtId="1" fontId="100" fillId="0" borderId="53" xfId="0" applyNumberFormat="1" applyFont="1" applyBorder="1" applyAlignment="1">
      <alignment horizontal="center" vertical="center" textRotation="255"/>
    </xf>
    <xf numFmtId="0" fontId="124" fillId="2" borderId="0" xfId="2" applyFont="1" applyFill="1" applyAlignment="1" applyProtection="1">
      <alignment horizontal="left" indent="65"/>
      <protection hidden="1"/>
    </xf>
    <xf numFmtId="39" fontId="23" fillId="2" borderId="0" xfId="0" applyFont="1" applyFill="1" applyAlignment="1">
      <alignment horizontal="left" vertical="center" indent="65"/>
    </xf>
    <xf numFmtId="39" fontId="124" fillId="2" borderId="0" xfId="0" applyFont="1" applyFill="1" applyAlignment="1">
      <alignment horizontal="left" vertical="center" indent="72"/>
    </xf>
    <xf numFmtId="39" fontId="23" fillId="2" borderId="0" xfId="0" applyFont="1" applyFill="1" applyAlignment="1">
      <alignment horizontal="left" vertical="center" indent="72"/>
    </xf>
    <xf numFmtId="0" fontId="124" fillId="2" borderId="0" xfId="2" applyFont="1" applyFill="1" applyAlignment="1" applyProtection="1">
      <alignment horizontal="left" indent="72"/>
      <protection hidden="1"/>
    </xf>
    <xf numFmtId="39" fontId="125" fillId="2" borderId="0" xfId="0" applyFont="1" applyFill="1" applyAlignment="1">
      <alignment horizontal="right" vertical="center"/>
    </xf>
    <xf numFmtId="39" fontId="180" fillId="2" borderId="0" xfId="0" applyFont="1" applyFill="1" applyAlignment="1">
      <alignment vertical="center"/>
    </xf>
    <xf numFmtId="0" fontId="41" fillId="2" borderId="23" xfId="0" applyNumberFormat="1" applyFont="1" applyFill="1" applyBorder="1" applyAlignment="1">
      <alignment horizontal="center" vertical="center"/>
    </xf>
    <xf numFmtId="39" fontId="135" fillId="2" borderId="28" xfId="0" applyFont="1" applyFill="1" applyBorder="1" applyAlignment="1">
      <alignment horizontal="left" vertical="center" wrapText="1"/>
    </xf>
    <xf numFmtId="37" fontId="172" fillId="19" borderId="19" xfId="0" applyNumberFormat="1" applyFont="1" applyFill="1" applyBorder="1" applyAlignment="1">
      <alignment horizontal="center"/>
    </xf>
    <xf numFmtId="0" fontId="124" fillId="2" borderId="17" xfId="2" applyFont="1" applyFill="1" applyBorder="1" applyProtection="1">
      <protection hidden="1"/>
    </xf>
    <xf numFmtId="1" fontId="57" fillId="2" borderId="19" xfId="0" applyNumberFormat="1" applyFont="1" applyFill="1" applyBorder="1" applyAlignment="1">
      <alignment vertical="center" textRotation="90"/>
    </xf>
    <xf numFmtId="171" fontId="135" fillId="2" borderId="5" xfId="0" applyNumberFormat="1" applyFont="1" applyFill="1" applyBorder="1" applyAlignment="1">
      <alignment horizontal="center" vertical="center" wrapText="1"/>
    </xf>
    <xf numFmtId="1" fontId="0" fillId="0" borderId="28" xfId="0" applyNumberFormat="1" applyBorder="1" applyAlignment="1">
      <alignment vertical="center" textRotation="90"/>
    </xf>
    <xf numFmtId="39" fontId="135" fillId="2" borderId="6" xfId="0" applyFont="1" applyFill="1" applyBorder="1" applyAlignment="1">
      <alignment horizontal="left" vertical="center" wrapText="1"/>
    </xf>
    <xf numFmtId="39" fontId="38" fillId="4" borderId="5" xfId="0" applyFont="1" applyFill="1" applyBorder="1" applyAlignment="1" applyProtection="1">
      <alignment horizontal="center" vertical="center" wrapText="1"/>
      <protection locked="0"/>
    </xf>
    <xf numFmtId="39" fontId="38" fillId="32" borderId="5" xfId="0" applyFont="1" applyFill="1" applyBorder="1" applyAlignment="1" applyProtection="1">
      <alignment horizontal="center" vertical="center" wrapText="1"/>
      <protection locked="0"/>
    </xf>
    <xf numFmtId="176" fontId="37" fillId="30" borderId="5" xfId="1" applyNumberFormat="1" applyFont="1" applyFill="1" applyBorder="1" applyAlignment="1" applyProtection="1">
      <alignment vertical="center"/>
    </xf>
    <xf numFmtId="176" fontId="51" fillId="30" borderId="5" xfId="1" applyNumberFormat="1" applyFont="1" applyFill="1" applyBorder="1" applyAlignment="1" applyProtection="1">
      <alignment vertical="center"/>
    </xf>
    <xf numFmtId="39" fontId="38" fillId="33" borderId="5" xfId="0" applyFont="1" applyFill="1" applyBorder="1" applyAlignment="1" applyProtection="1">
      <alignment horizontal="center" vertical="center" wrapText="1"/>
      <protection locked="0"/>
    </xf>
    <xf numFmtId="39" fontId="37" fillId="2" borderId="0" xfId="0" applyFont="1" applyFill="1" applyAlignment="1" applyProtection="1">
      <alignment horizontal="center" vertical="center"/>
      <protection locked="0"/>
    </xf>
    <xf numFmtId="176" fontId="37" fillId="2" borderId="0" xfId="1" applyNumberFormat="1" applyFont="1" applyFill="1" applyBorder="1" applyAlignment="1" applyProtection="1">
      <alignment vertical="center"/>
    </xf>
    <xf numFmtId="176" fontId="37" fillId="4" borderId="0" xfId="1" applyNumberFormat="1" applyFont="1" applyFill="1" applyBorder="1" applyAlignment="1" applyProtection="1">
      <alignment vertical="center"/>
    </xf>
    <xf numFmtId="167" fontId="37" fillId="2" borderId="0" xfId="1" applyFont="1" applyFill="1" applyBorder="1" applyAlignment="1" applyProtection="1">
      <alignment vertical="center"/>
    </xf>
    <xf numFmtId="167" fontId="55" fillId="2" borderId="0" xfId="1" applyFont="1" applyFill="1" applyBorder="1" applyAlignment="1" applyProtection="1">
      <alignment vertical="center"/>
    </xf>
    <xf numFmtId="167" fontId="52" fillId="2" borderId="0" xfId="1" applyFont="1" applyFill="1" applyBorder="1" applyAlignment="1" applyProtection="1">
      <alignment horizontal="center" vertical="center" wrapText="1"/>
    </xf>
    <xf numFmtId="39" fontId="147" fillId="2" borderId="0" xfId="0" applyFont="1" applyFill="1" applyAlignment="1" applyProtection="1">
      <alignment horizontal="center" vertical="center"/>
      <protection locked="0"/>
    </xf>
    <xf numFmtId="39" fontId="147" fillId="2" borderId="0" xfId="0" applyFont="1" applyFill="1" applyAlignment="1">
      <alignment horizontal="center" vertical="center"/>
    </xf>
    <xf numFmtId="39" fontId="100" fillId="2" borderId="33" xfId="0" applyFont="1" applyFill="1" applyBorder="1" applyAlignment="1">
      <alignment horizontal="left" vertical="center" wrapText="1"/>
    </xf>
    <xf numFmtId="176" fontId="51" fillId="4" borderId="5" xfId="1" applyNumberFormat="1" applyFont="1" applyFill="1" applyBorder="1" applyAlignment="1" applyProtection="1">
      <alignment vertical="center"/>
    </xf>
    <xf numFmtId="39" fontId="31" fillId="34" borderId="19" xfId="0" applyFont="1" applyFill="1" applyBorder="1" applyAlignment="1">
      <alignment vertical="center"/>
    </xf>
    <xf numFmtId="39" fontId="139" fillId="34" borderId="19" xfId="0" applyFont="1" applyFill="1" applyBorder="1" applyAlignment="1">
      <alignment vertical="center"/>
    </xf>
    <xf numFmtId="39" fontId="30" fillId="4" borderId="19" xfId="0" applyFont="1" applyFill="1" applyBorder="1"/>
    <xf numFmtId="39" fontId="31" fillId="0" borderId="19" xfId="0" applyFont="1" applyBorder="1" applyAlignment="1">
      <alignment horizontal="center" vertical="center"/>
    </xf>
    <xf numFmtId="39" fontId="0" fillId="0" borderId="19" xfId="0" applyBorder="1" applyAlignment="1">
      <alignment horizontal="center" vertical="center"/>
    </xf>
    <xf numFmtId="39" fontId="182" fillId="0" borderId="19" xfId="0" applyFont="1" applyBorder="1" applyAlignment="1">
      <alignment horizontal="center" vertical="center"/>
    </xf>
    <xf numFmtId="39" fontId="182" fillId="34" borderId="19" xfId="0" applyFont="1" applyFill="1" applyBorder="1" applyAlignment="1">
      <alignment horizontal="center" vertical="center"/>
    </xf>
    <xf numFmtId="39" fontId="183" fillId="0" borderId="19" xfId="0" applyFont="1" applyBorder="1" applyAlignment="1">
      <alignment horizontal="center" vertical="center"/>
    </xf>
    <xf numFmtId="39" fontId="183" fillId="34" borderId="19" xfId="0" applyFont="1" applyFill="1" applyBorder="1" applyAlignment="1">
      <alignment horizontal="center" vertical="center"/>
    </xf>
    <xf numFmtId="39" fontId="30" fillId="4" borderId="19" xfId="0" applyFont="1" applyFill="1" applyBorder="1" applyAlignment="1">
      <alignment wrapText="1"/>
    </xf>
    <xf numFmtId="39" fontId="183" fillId="34" borderId="19" xfId="0" applyFont="1" applyFill="1" applyBorder="1" applyAlignment="1">
      <alignment vertical="center"/>
    </xf>
    <xf numFmtId="39" fontId="182" fillId="0" borderId="19" xfId="0" applyFont="1" applyBorder="1" applyAlignment="1">
      <alignment vertical="center"/>
    </xf>
    <xf numFmtId="39" fontId="140" fillId="34" borderId="19" xfId="0" applyFont="1" applyFill="1" applyBorder="1" applyAlignment="1">
      <alignment vertical="center"/>
    </xf>
    <xf numFmtId="39" fontId="186" fillId="35" borderId="19" xfId="0" applyFont="1" applyFill="1" applyBorder="1" applyAlignment="1">
      <alignment vertical="center"/>
    </xf>
    <xf numFmtId="39" fontId="186" fillId="35" borderId="19" xfId="0" applyFont="1" applyFill="1" applyBorder="1" applyAlignment="1">
      <alignment horizontal="center" vertical="center"/>
    </xf>
    <xf numFmtId="39" fontId="31" fillId="2" borderId="19" xfId="0" applyFont="1" applyFill="1" applyBorder="1" applyAlignment="1">
      <alignment vertical="center"/>
    </xf>
    <xf numFmtId="39" fontId="183" fillId="2" borderId="19" xfId="0" applyFont="1" applyFill="1" applyBorder="1" applyAlignment="1">
      <alignment horizontal="center" vertical="center"/>
    </xf>
    <xf numFmtId="39" fontId="182" fillId="2" borderId="19" xfId="0" applyFont="1" applyFill="1" applyBorder="1" applyAlignment="1">
      <alignment horizontal="center" vertical="center"/>
    </xf>
    <xf numFmtId="39" fontId="137" fillId="2" borderId="0" xfId="0" applyFont="1" applyFill="1"/>
    <xf numFmtId="39" fontId="161" fillId="2" borderId="0" xfId="0" applyFont="1" applyFill="1" applyAlignment="1">
      <alignment vertical="center"/>
    </xf>
    <xf numFmtId="1" fontId="156" fillId="2" borderId="0" xfId="0" applyNumberFormat="1" applyFont="1" applyFill="1" applyAlignment="1">
      <alignment horizontal="center" vertical="center"/>
    </xf>
    <xf numFmtId="39" fontId="162" fillId="2" borderId="0" xfId="0" applyFont="1" applyFill="1"/>
    <xf numFmtId="39" fontId="164" fillId="2" borderId="0" xfId="0" applyFont="1" applyFill="1" applyAlignment="1" applyProtection="1">
      <alignment vertical="center"/>
      <protection locked="0"/>
    </xf>
    <xf numFmtId="1" fontId="164" fillId="2" borderId="0" xfId="0" applyNumberFormat="1" applyFont="1" applyFill="1" applyAlignment="1" applyProtection="1">
      <alignment horizontal="center" vertical="center"/>
      <protection locked="0"/>
    </xf>
    <xf numFmtId="39" fontId="164" fillId="2" borderId="0" xfId="0" applyFont="1" applyFill="1" applyAlignment="1" applyProtection="1">
      <alignment horizontal="center" vertical="center"/>
      <protection locked="0"/>
    </xf>
    <xf numFmtId="39" fontId="155" fillId="2" borderId="5" xfId="0" applyFont="1" applyFill="1" applyBorder="1" applyAlignment="1" applyProtection="1">
      <alignment horizontal="center" vertical="center" wrapText="1"/>
      <protection locked="0"/>
    </xf>
    <xf numFmtId="1" fontId="182" fillId="0" borderId="20" xfId="0" applyNumberFormat="1" applyFont="1" applyBorder="1" applyAlignment="1">
      <alignment vertical="center" textRotation="90"/>
    </xf>
    <xf numFmtId="0" fontId="187" fillId="2" borderId="33" xfId="9" applyFont="1" applyFill="1" applyBorder="1" applyAlignment="1">
      <alignment horizontal="right" vertical="center" textRotation="90" wrapText="1"/>
    </xf>
    <xf numFmtId="1" fontId="41" fillId="4" borderId="5" xfId="0" applyNumberFormat="1" applyFont="1" applyFill="1" applyBorder="1" applyAlignment="1" applyProtection="1">
      <alignment horizontal="center" vertical="center"/>
      <protection locked="0"/>
    </xf>
    <xf numFmtId="169" fontId="98" fillId="4" borderId="5" xfId="0" applyNumberFormat="1" applyFont="1" applyFill="1" applyBorder="1" applyAlignment="1">
      <alignment horizontal="center" vertical="center"/>
    </xf>
    <xf numFmtId="39" fontId="101" fillId="4" borderId="5" xfId="0" applyFont="1" applyFill="1" applyBorder="1" applyAlignment="1" applyProtection="1">
      <alignment horizontal="center" vertical="center" wrapText="1"/>
      <protection locked="0"/>
    </xf>
    <xf numFmtId="166" fontId="97" fillId="0" borderId="19" xfId="4" applyFont="1" applyFill="1" applyBorder="1" applyAlignment="1">
      <alignment horizontal="center"/>
    </xf>
    <xf numFmtId="166" fontId="177" fillId="10" borderId="19" xfId="4" applyFont="1" applyFill="1" applyBorder="1" applyAlignment="1">
      <alignment horizontal="center" vertical="center"/>
    </xf>
    <xf numFmtId="167" fontId="188" fillId="2" borderId="5" xfId="1" applyFont="1" applyFill="1" applyBorder="1" applyAlignment="1">
      <alignment vertical="center"/>
    </xf>
    <xf numFmtId="39" fontId="188" fillId="2" borderId="5" xfId="0" applyFont="1" applyFill="1" applyBorder="1"/>
    <xf numFmtId="167" fontId="189" fillId="2" borderId="5" xfId="1" applyFont="1" applyFill="1" applyBorder="1" applyAlignment="1">
      <alignment vertical="center"/>
    </xf>
    <xf numFmtId="39" fontId="189" fillId="29" borderId="23" xfId="0" applyFont="1" applyFill="1" applyBorder="1" applyAlignment="1">
      <alignment horizontal="center" vertical="center" wrapText="1"/>
    </xf>
    <xf numFmtId="39" fontId="189" fillId="19" borderId="23" xfId="0" applyFont="1" applyFill="1" applyBorder="1" applyAlignment="1">
      <alignment horizontal="center" vertical="center" wrapText="1"/>
    </xf>
    <xf numFmtId="167" fontId="189" fillId="29" borderId="5" xfId="1" applyFont="1" applyFill="1" applyBorder="1" applyAlignment="1" applyProtection="1">
      <alignment vertical="center"/>
    </xf>
    <xf numFmtId="167" fontId="189" fillId="16" borderId="5" xfId="1" applyFont="1" applyFill="1" applyBorder="1" applyAlignment="1" applyProtection="1">
      <alignment vertical="center"/>
    </xf>
    <xf numFmtId="167" fontId="189" fillId="34" borderId="5" xfId="1" applyFont="1" applyFill="1" applyBorder="1" applyAlignment="1" applyProtection="1">
      <alignment vertical="center"/>
    </xf>
    <xf numFmtId="1" fontId="190" fillId="4" borderId="5" xfId="1" applyNumberFormat="1" applyFont="1" applyFill="1" applyBorder="1" applyAlignment="1" applyProtection="1">
      <alignment horizontal="center" vertical="center"/>
      <protection locked="0"/>
    </xf>
    <xf numFmtId="39" fontId="38" fillId="2" borderId="5" xfId="0" applyFont="1" applyFill="1" applyBorder="1" applyAlignment="1" applyProtection="1">
      <alignment horizontal="center" vertical="center" wrapText="1"/>
      <protection locked="0"/>
    </xf>
    <xf numFmtId="1" fontId="135" fillId="34" borderId="5" xfId="1" applyNumberFormat="1" applyFont="1" applyFill="1" applyBorder="1" applyAlignment="1" applyProtection="1">
      <alignment horizontal="center" vertical="center"/>
      <protection locked="0"/>
    </xf>
    <xf numFmtId="166" fontId="51" fillId="0" borderId="12" xfId="4" applyFont="1" applyBorder="1" applyAlignment="1" applyProtection="1">
      <alignment horizontal="center" vertical="center"/>
      <protection hidden="1"/>
    </xf>
    <xf numFmtId="1" fontId="190" fillId="34" borderId="5" xfId="1" applyNumberFormat="1" applyFont="1" applyFill="1" applyBorder="1" applyAlignment="1" applyProtection="1">
      <alignment horizontal="center" vertical="center"/>
      <protection locked="0"/>
    </xf>
    <xf numFmtId="39" fontId="132" fillId="4" borderId="6" xfId="0" applyFont="1" applyFill="1" applyBorder="1" applyAlignment="1">
      <alignment horizontal="center" vertical="center"/>
    </xf>
    <xf numFmtId="166" fontId="97" fillId="2" borderId="19" xfId="4" applyFont="1" applyFill="1" applyBorder="1" applyAlignment="1">
      <alignment horizontal="center"/>
    </xf>
    <xf numFmtId="39" fontId="132" fillId="3" borderId="6" xfId="0" applyFont="1" applyFill="1" applyBorder="1" applyAlignment="1">
      <alignment horizontal="center" vertical="center"/>
    </xf>
    <xf numFmtId="39" fontId="132" fillId="10" borderId="6" xfId="0" applyFont="1" applyFill="1" applyBorder="1" applyAlignment="1">
      <alignment horizontal="center" vertical="center"/>
    </xf>
    <xf numFmtId="39" fontId="132" fillId="18" borderId="6" xfId="0" applyFont="1" applyFill="1" applyBorder="1" applyAlignment="1">
      <alignment horizontal="center" vertical="center"/>
    </xf>
    <xf numFmtId="39" fontId="132" fillId="30" borderId="6" xfId="0" applyFont="1" applyFill="1" applyBorder="1" applyAlignment="1">
      <alignment horizontal="center" vertical="center"/>
    </xf>
    <xf numFmtId="39" fontId="132" fillId="31" borderId="6" xfId="0" applyFont="1" applyFill="1" applyBorder="1" applyAlignment="1">
      <alignment horizontal="center" vertical="center"/>
    </xf>
    <xf numFmtId="39" fontId="97" fillId="2" borderId="19" xfId="0" applyFont="1" applyFill="1" applyBorder="1" applyAlignment="1">
      <alignment horizontal="left"/>
    </xf>
    <xf numFmtId="37" fontId="97" fillId="2" borderId="19" xfId="0" applyNumberFormat="1" applyFont="1" applyFill="1" applyBorder="1" applyAlignment="1">
      <alignment horizontal="center" vertical="center"/>
    </xf>
    <xf numFmtId="37" fontId="97" fillId="2" borderId="19" xfId="0" applyNumberFormat="1" applyFont="1" applyFill="1" applyBorder="1" applyAlignment="1">
      <alignment horizontal="center" vertical="center" wrapText="1"/>
    </xf>
    <xf numFmtId="166" fontId="97" fillId="2" borderId="19" xfId="4" applyFont="1" applyFill="1" applyBorder="1" applyAlignment="1" applyProtection="1">
      <alignment horizontal="center" vertical="center"/>
    </xf>
    <xf numFmtId="166" fontId="97" fillId="2" borderId="19" xfId="4" applyFont="1" applyFill="1" applyBorder="1" applyAlignment="1">
      <alignment horizontal="center" vertical="center"/>
    </xf>
    <xf numFmtId="184" fontId="97" fillId="2" borderId="19" xfId="0" applyNumberFormat="1" applyFont="1" applyFill="1" applyBorder="1" applyAlignment="1">
      <alignment horizontal="center"/>
    </xf>
    <xf numFmtId="39" fontId="97" fillId="0" borderId="19" xfId="0" applyFont="1" applyBorder="1" applyAlignment="1">
      <alignment horizontal="left"/>
    </xf>
    <xf numFmtId="37" fontId="97" fillId="0" borderId="19" xfId="0" applyNumberFormat="1" applyFont="1" applyBorder="1" applyAlignment="1">
      <alignment horizontal="center" vertical="center"/>
    </xf>
    <xf numFmtId="166" fontId="97" fillId="0" borderId="19" xfId="4" applyFont="1" applyFill="1" applyBorder="1" applyAlignment="1">
      <alignment horizontal="center" vertical="center"/>
    </xf>
    <xf numFmtId="174" fontId="97" fillId="0" borderId="19" xfId="4" applyNumberFormat="1" applyFont="1" applyFill="1" applyBorder="1" applyAlignment="1">
      <alignment horizontal="center" vertical="center"/>
    </xf>
    <xf numFmtId="166" fontId="177" fillId="10" borderId="19" xfId="4" applyFont="1" applyFill="1" applyBorder="1" applyAlignment="1">
      <alignment vertical="center"/>
    </xf>
    <xf numFmtId="185" fontId="97" fillId="0" borderId="19" xfId="0" applyNumberFormat="1" applyFont="1" applyBorder="1" applyAlignment="1">
      <alignment horizontal="center" vertical="center"/>
    </xf>
    <xf numFmtId="174" fontId="97" fillId="2" borderId="19" xfId="4" applyNumberFormat="1" applyFont="1" applyFill="1" applyBorder="1" applyAlignment="1">
      <alignment horizontal="center" vertical="center"/>
    </xf>
    <xf numFmtId="185" fontId="97" fillId="2" borderId="19" xfId="0" applyNumberFormat="1" applyFont="1" applyFill="1" applyBorder="1" applyAlignment="1">
      <alignment horizontal="center" vertical="center"/>
    </xf>
    <xf numFmtId="1" fontId="155" fillId="35" borderId="5" xfId="0" applyNumberFormat="1" applyFont="1" applyFill="1" applyBorder="1" applyAlignment="1" applyProtection="1">
      <alignment horizontal="center" vertical="center" wrapText="1"/>
      <protection locked="0"/>
    </xf>
    <xf numFmtId="1" fontId="191" fillId="2" borderId="5" xfId="1" applyNumberFormat="1" applyFont="1" applyFill="1" applyBorder="1" applyAlignment="1" applyProtection="1">
      <alignment horizontal="center" vertical="center"/>
      <protection locked="0"/>
    </xf>
    <xf numFmtId="1" fontId="135" fillId="3" borderId="5" xfId="1" applyNumberFormat="1" applyFont="1" applyFill="1" applyBorder="1" applyAlignment="1" applyProtection="1">
      <alignment horizontal="center" vertical="center"/>
      <protection locked="0"/>
    </xf>
    <xf numFmtId="0" fontId="192" fillId="0" borderId="0" xfId="9" applyFont="1" applyAlignment="1">
      <alignment horizontal="center" vertical="center"/>
    </xf>
    <xf numFmtId="0" fontId="193" fillId="0" borderId="0" xfId="10" applyNumberFormat="1" applyFont="1" applyAlignment="1">
      <alignment vertical="center"/>
    </xf>
    <xf numFmtId="167" fontId="193" fillId="26" borderId="0" xfId="1" applyFont="1" applyFill="1" applyAlignment="1">
      <alignment vertical="center"/>
    </xf>
    <xf numFmtId="167" fontId="193" fillId="19" borderId="0" xfId="1" applyFont="1" applyFill="1" applyAlignment="1">
      <alignment vertical="center"/>
    </xf>
    <xf numFmtId="166" fontId="193" fillId="15" borderId="0" xfId="10" applyNumberFormat="1" applyFont="1" applyFill="1" applyAlignment="1">
      <alignment vertical="center"/>
    </xf>
    <xf numFmtId="167" fontId="193" fillId="27" borderId="0" xfId="1" applyFont="1" applyFill="1" applyAlignment="1">
      <alignment vertical="center"/>
    </xf>
    <xf numFmtId="0" fontId="193" fillId="2" borderId="0" xfId="10" applyNumberFormat="1" applyFont="1" applyFill="1" applyAlignment="1">
      <alignment vertical="center"/>
    </xf>
    <xf numFmtId="1" fontId="193" fillId="19" borderId="0" xfId="10" applyNumberFormat="1" applyFont="1" applyFill="1" applyAlignment="1">
      <alignment vertical="center"/>
    </xf>
    <xf numFmtId="1" fontId="193" fillId="2" borderId="0" xfId="10" applyNumberFormat="1" applyFont="1" applyFill="1" applyAlignment="1">
      <alignment vertical="center"/>
    </xf>
    <xf numFmtId="39" fontId="194" fillId="0" borderId="0" xfId="0" applyFont="1"/>
    <xf numFmtId="166" fontId="177" fillId="4" borderId="19" xfId="4" applyFont="1" applyFill="1" applyBorder="1" applyAlignment="1">
      <alignment horizontal="center" vertical="center"/>
    </xf>
    <xf numFmtId="174" fontId="97" fillId="2" borderId="19" xfId="0" applyNumberFormat="1" applyFont="1" applyFill="1" applyBorder="1" applyAlignment="1">
      <alignment horizontal="center" vertical="center"/>
    </xf>
    <xf numFmtId="39" fontId="63" fillId="2" borderId="19" xfId="0" applyFont="1" applyFill="1" applyBorder="1" applyAlignment="1">
      <alignment horizontal="left" vertical="center"/>
    </xf>
    <xf numFmtId="39" fontId="74" fillId="2" borderId="19" xfId="0" applyFont="1" applyFill="1" applyBorder="1" applyAlignment="1">
      <alignment horizontal="left" vertical="center"/>
    </xf>
    <xf numFmtId="39" fontId="63" fillId="0" borderId="19" xfId="0" applyFont="1" applyBorder="1" applyAlignment="1">
      <alignment horizontal="left" vertical="center"/>
    </xf>
    <xf numFmtId="166" fontId="97" fillId="2" borderId="19" xfId="4" applyFont="1" applyFill="1" applyBorder="1" applyAlignment="1">
      <alignment horizontal="left"/>
    </xf>
    <xf numFmtId="39" fontId="0" fillId="0" borderId="0" xfId="0" applyAlignment="1">
      <alignment horizontal="left" vertical="center"/>
    </xf>
    <xf numFmtId="39" fontId="137" fillId="0" borderId="0" xfId="0" applyFont="1" applyAlignment="1">
      <alignment horizontal="left" vertical="center"/>
    </xf>
    <xf numFmtId="174" fontId="97" fillId="0" borderId="19" xfId="0" applyNumberFormat="1" applyFont="1" applyBorder="1" applyAlignment="1">
      <alignment horizontal="center" vertical="center"/>
    </xf>
    <xf numFmtId="166" fontId="97" fillId="2" borderId="19" xfId="0" applyNumberFormat="1" applyFont="1" applyFill="1" applyBorder="1" applyAlignment="1">
      <alignment horizontal="center" vertical="center"/>
    </xf>
    <xf numFmtId="1" fontId="106" fillId="34" borderId="5" xfId="1" applyNumberFormat="1" applyFont="1" applyFill="1" applyBorder="1" applyAlignment="1" applyProtection="1">
      <alignment horizontal="center" vertical="center"/>
      <protection locked="0"/>
    </xf>
    <xf numFmtId="164" fontId="100" fillId="0" borderId="19" xfId="0" applyNumberFormat="1" applyFont="1" applyBorder="1" applyAlignment="1">
      <alignment horizontal="right" vertical="center"/>
    </xf>
    <xf numFmtId="166" fontId="177" fillId="36" borderId="19" xfId="4" applyFont="1" applyFill="1" applyBorder="1" applyAlignment="1">
      <alignment horizontal="center" vertical="center"/>
    </xf>
    <xf numFmtId="2" fontId="106" fillId="2" borderId="5" xfId="0" applyNumberFormat="1" applyFont="1" applyFill="1" applyBorder="1" applyAlignment="1">
      <alignment horizontal="center" vertical="center" wrapText="1"/>
    </xf>
    <xf numFmtId="1" fontId="106" fillId="2" borderId="5" xfId="1" applyNumberFormat="1" applyFont="1" applyFill="1" applyBorder="1" applyAlignment="1" applyProtection="1">
      <alignment horizontal="center" vertical="center"/>
      <protection locked="0"/>
    </xf>
    <xf numFmtId="2" fontId="106" fillId="2" borderId="5" xfId="1" applyNumberFormat="1" applyFont="1" applyFill="1" applyBorder="1" applyAlignment="1" applyProtection="1">
      <alignment horizontal="center" vertical="center"/>
      <protection locked="0"/>
    </xf>
    <xf numFmtId="167" fontId="106" fillId="2" borderId="5" xfId="1" applyFont="1" applyFill="1" applyBorder="1" applyAlignment="1">
      <alignment horizontal="center" vertical="center"/>
    </xf>
    <xf numFmtId="167" fontId="106" fillId="4" borderId="5" xfId="1" applyFont="1" applyFill="1" applyBorder="1" applyAlignment="1" applyProtection="1">
      <alignment horizontal="center" vertical="center"/>
    </xf>
    <xf numFmtId="167" fontId="135" fillId="2" borderId="5" xfId="1" applyFont="1" applyFill="1" applyBorder="1" applyAlignment="1">
      <alignment horizontal="center" vertical="center"/>
    </xf>
    <xf numFmtId="176" fontId="55" fillId="2" borderId="5" xfId="1" applyNumberFormat="1" applyFont="1" applyFill="1" applyBorder="1" applyAlignment="1" applyProtection="1">
      <alignment vertical="center"/>
    </xf>
    <xf numFmtId="176" fontId="55" fillId="4" borderId="5" xfId="1" applyNumberFormat="1" applyFont="1" applyFill="1" applyBorder="1" applyAlignment="1" applyProtection="1">
      <alignment vertical="center"/>
    </xf>
    <xf numFmtId="167" fontId="135" fillId="2" borderId="5" xfId="1" applyFont="1" applyFill="1" applyBorder="1" applyAlignment="1" applyProtection="1">
      <alignment horizontal="center" vertical="center"/>
    </xf>
    <xf numFmtId="1" fontId="135" fillId="2" borderId="5" xfId="1" applyNumberFormat="1" applyFont="1" applyFill="1" applyBorder="1" applyAlignment="1" applyProtection="1">
      <alignment horizontal="center" vertical="center"/>
      <protection locked="0"/>
    </xf>
    <xf numFmtId="2" fontId="135" fillId="2" borderId="5" xfId="1" applyNumberFormat="1" applyFont="1" applyFill="1" applyBorder="1" applyAlignment="1" applyProtection="1">
      <alignment horizontal="center" vertical="center"/>
      <protection locked="0"/>
    </xf>
    <xf numFmtId="39" fontId="124" fillId="2" borderId="5" xfId="0" applyFont="1" applyFill="1" applyBorder="1" applyAlignment="1" applyProtection="1">
      <alignment vertical="center" wrapText="1"/>
      <protection locked="0"/>
    </xf>
    <xf numFmtId="1" fontId="135" fillId="4" borderId="5" xfId="1" applyNumberFormat="1" applyFont="1" applyFill="1" applyBorder="1" applyAlignment="1" applyProtection="1">
      <alignment horizontal="center" vertical="center"/>
      <protection locked="0"/>
    </xf>
    <xf numFmtId="39" fontId="197" fillId="0" borderId="19" xfId="0" applyFont="1" applyBorder="1" applyAlignment="1">
      <alignment vertical="center"/>
    </xf>
    <xf numFmtId="39" fontId="198" fillId="0" borderId="19" xfId="0" applyFont="1" applyBorder="1" applyAlignment="1">
      <alignment horizontal="center" vertical="center"/>
    </xf>
    <xf numFmtId="39" fontId="0" fillId="4" borderId="19" xfId="0" applyFill="1" applyBorder="1" applyAlignment="1">
      <alignment vertical="center"/>
    </xf>
    <xf numFmtId="39" fontId="198" fillId="4" borderId="19" xfId="0" applyFont="1" applyFill="1" applyBorder="1" applyAlignment="1">
      <alignment horizontal="center" vertical="center"/>
    </xf>
    <xf numFmtId="39" fontId="170" fillId="0" borderId="19" xfId="0" applyFont="1" applyBorder="1" applyAlignment="1">
      <alignment vertical="center"/>
    </xf>
    <xf numFmtId="39" fontId="196" fillId="37" borderId="19" xfId="0" applyFont="1" applyFill="1" applyBorder="1" applyAlignment="1">
      <alignment vertical="center"/>
    </xf>
    <xf numFmtId="39" fontId="196" fillId="37" borderId="19" xfId="0" applyFont="1" applyFill="1" applyBorder="1" applyAlignment="1">
      <alignment horizontal="center" vertical="center"/>
    </xf>
    <xf numFmtId="39" fontId="196" fillId="37" borderId="19" xfId="0" applyFont="1" applyFill="1" applyBorder="1" applyAlignment="1">
      <alignment horizontal="center" vertical="center" wrapText="1"/>
    </xf>
    <xf numFmtId="39" fontId="0" fillId="4" borderId="19" xfId="0" applyFill="1" applyBorder="1"/>
    <xf numFmtId="167" fontId="51" fillId="4" borderId="5" xfId="1" applyFont="1" applyFill="1" applyBorder="1" applyAlignment="1" applyProtection="1">
      <alignment vertical="center"/>
    </xf>
    <xf numFmtId="167" fontId="189" fillId="2" borderId="5" xfId="1" applyFont="1" applyFill="1" applyBorder="1" applyAlignment="1">
      <alignment horizontal="center" vertical="center"/>
    </xf>
    <xf numFmtId="167" fontId="189" fillId="4" borderId="5" xfId="1" applyFont="1" applyFill="1" applyBorder="1" applyAlignment="1" applyProtection="1">
      <alignment vertical="center"/>
    </xf>
    <xf numFmtId="167" fontId="100" fillId="4" borderId="5" xfId="1" applyFont="1" applyFill="1" applyBorder="1" applyAlignment="1" applyProtection="1">
      <alignment vertical="center"/>
    </xf>
    <xf numFmtId="167" fontId="201" fillId="2" borderId="5" xfId="1" applyFont="1" applyFill="1" applyBorder="1" applyAlignment="1">
      <alignment horizontal="center" vertical="center"/>
    </xf>
    <xf numFmtId="167" fontId="200" fillId="4" borderId="5" xfId="1" applyFont="1" applyFill="1" applyBorder="1" applyAlignment="1" applyProtection="1">
      <alignment vertical="center"/>
    </xf>
    <xf numFmtId="1" fontId="191" fillId="4" borderId="5" xfId="1" applyNumberFormat="1" applyFont="1" applyFill="1" applyBorder="1" applyAlignment="1" applyProtection="1">
      <alignment horizontal="center" vertical="center"/>
      <protection locked="0"/>
    </xf>
    <xf numFmtId="1" fontId="106" fillId="4" borderId="5" xfId="1" applyNumberFormat="1" applyFont="1" applyFill="1" applyBorder="1" applyAlignment="1" applyProtection="1">
      <alignment horizontal="center" vertical="center"/>
      <protection locked="0"/>
    </xf>
    <xf numFmtId="167" fontId="51" fillId="34" borderId="5" xfId="1" applyFont="1" applyFill="1" applyBorder="1" applyAlignment="1" applyProtection="1">
      <alignment vertical="center"/>
    </xf>
    <xf numFmtId="167" fontId="55" fillId="34" borderId="5" xfId="1" applyFont="1" applyFill="1" applyBorder="1" applyAlignment="1" applyProtection="1">
      <alignment vertical="center"/>
    </xf>
    <xf numFmtId="169" fontId="95" fillId="2" borderId="5" xfId="0" applyNumberFormat="1" applyFont="1" applyFill="1" applyBorder="1" applyAlignment="1">
      <alignment horizontal="center" vertical="center"/>
    </xf>
    <xf numFmtId="39" fontId="49" fillId="2" borderId="5" xfId="0" applyFont="1" applyFill="1" applyBorder="1" applyAlignment="1">
      <alignment horizontal="center" vertical="center" wrapText="1"/>
    </xf>
    <xf numFmtId="167" fontId="106" fillId="2" borderId="5" xfId="1" applyFont="1" applyFill="1" applyBorder="1" applyAlignment="1">
      <alignment vertical="center"/>
    </xf>
    <xf numFmtId="39" fontId="106" fillId="2" borderId="5" xfId="0" applyFont="1" applyFill="1" applyBorder="1" applyAlignment="1">
      <alignment vertical="center"/>
    </xf>
    <xf numFmtId="0" fontId="46" fillId="2" borderId="5" xfId="0" applyNumberFormat="1" applyFont="1" applyFill="1" applyBorder="1" applyAlignment="1">
      <alignment horizontal="left" vertical="top"/>
    </xf>
    <xf numFmtId="167" fontId="106" fillId="2" borderId="5" xfId="1" applyFont="1" applyFill="1" applyBorder="1" applyAlignment="1" applyProtection="1">
      <alignment vertical="center"/>
    </xf>
    <xf numFmtId="167" fontId="190" fillId="2" borderId="5" xfId="1" applyFont="1" applyFill="1" applyBorder="1" applyAlignment="1">
      <alignment horizontal="center" vertical="center"/>
    </xf>
    <xf numFmtId="167" fontId="52" fillId="4" borderId="5" xfId="1" applyFont="1" applyFill="1" applyBorder="1" applyAlignment="1" applyProtection="1">
      <alignment horizontal="center" vertical="center" wrapText="1"/>
    </xf>
    <xf numFmtId="1" fontId="57" fillId="2" borderId="24" xfId="0" applyNumberFormat="1" applyFont="1" applyFill="1" applyBorder="1" applyAlignment="1">
      <alignment vertical="center" textRotation="90"/>
    </xf>
    <xf numFmtId="39" fontId="0" fillId="2" borderId="0" xfId="0" applyFill="1" applyAlignment="1">
      <alignment horizontal="center" vertical="center"/>
    </xf>
    <xf numFmtId="185" fontId="97" fillId="2" borderId="19" xfId="0" applyNumberFormat="1" applyFont="1" applyFill="1" applyBorder="1" applyAlignment="1">
      <alignment horizontal="left" vertical="center" indent="7"/>
    </xf>
    <xf numFmtId="39" fontId="55" fillId="2" borderId="47" xfId="0" applyFont="1" applyFill="1" applyBorder="1" applyAlignment="1">
      <alignment horizontal="left" vertical="center"/>
    </xf>
    <xf numFmtId="39" fontId="55" fillId="2" borderId="25" xfId="0" applyFont="1" applyFill="1" applyBorder="1" applyAlignment="1">
      <alignment horizontal="left" vertical="center"/>
    </xf>
    <xf numFmtId="167" fontId="202" fillId="2" borderId="5" xfId="1" applyFont="1" applyFill="1" applyBorder="1" applyAlignment="1">
      <alignment vertical="center"/>
    </xf>
    <xf numFmtId="39" fontId="203" fillId="29" borderId="23" xfId="0" applyFont="1" applyFill="1" applyBorder="1" applyAlignment="1">
      <alignment horizontal="center" vertical="center" wrapText="1"/>
    </xf>
    <xf numFmtId="167" fontId="203" fillId="4" borderId="5" xfId="1" applyFont="1" applyFill="1" applyBorder="1" applyAlignment="1" applyProtection="1">
      <alignment vertical="center"/>
    </xf>
    <xf numFmtId="167" fontId="203" fillId="10" borderId="5" xfId="1" applyFont="1" applyFill="1" applyBorder="1" applyAlignment="1" applyProtection="1">
      <alignment vertical="center"/>
    </xf>
    <xf numFmtId="1" fontId="191" fillId="2" borderId="16" xfId="0" applyNumberFormat="1" applyFont="1" applyFill="1" applyBorder="1" applyAlignment="1" applyProtection="1">
      <alignment horizontal="center" vertical="center"/>
      <protection locked="0"/>
    </xf>
    <xf numFmtId="1" fontId="194" fillId="2" borderId="64" xfId="0" applyNumberFormat="1" applyFont="1" applyFill="1" applyBorder="1" applyAlignment="1">
      <alignment vertical="center" textRotation="90"/>
    </xf>
    <xf numFmtId="39" fontId="204" fillId="2" borderId="18" xfId="0" applyFont="1" applyFill="1" applyBorder="1" applyAlignment="1" applyProtection="1">
      <alignment horizontal="center" vertical="center" textRotation="90" wrapText="1"/>
      <protection locked="0"/>
    </xf>
    <xf numFmtId="0" fontId="191" fillId="2" borderId="5" xfId="5" applyFont="1" applyFill="1" applyBorder="1" applyAlignment="1">
      <alignment vertical="center" wrapText="1"/>
    </xf>
    <xf numFmtId="39" fontId="191" fillId="2" borderId="5" xfId="0" applyFont="1" applyFill="1" applyBorder="1" applyAlignment="1">
      <alignment horizontal="center" vertical="center" wrapText="1"/>
    </xf>
    <xf numFmtId="171" fontId="191" fillId="2" borderId="5" xfId="0" applyNumberFormat="1" applyFont="1" applyFill="1" applyBorder="1" applyAlignment="1">
      <alignment horizontal="center" vertical="center" wrapText="1"/>
    </xf>
    <xf numFmtId="167" fontId="191" fillId="2" borderId="5" xfId="1" applyFont="1" applyFill="1" applyBorder="1" applyAlignment="1" applyProtection="1">
      <alignment vertical="center"/>
    </xf>
    <xf numFmtId="167" fontId="191" fillId="2" borderId="5" xfId="1" applyFont="1" applyFill="1" applyBorder="1" applyAlignment="1">
      <alignment vertical="center"/>
    </xf>
    <xf numFmtId="1" fontId="191" fillId="2" borderId="10" xfId="0" applyNumberFormat="1" applyFont="1" applyFill="1" applyBorder="1" applyAlignment="1" applyProtection="1">
      <alignment horizontal="center" vertical="center"/>
      <protection locked="0"/>
    </xf>
    <xf numFmtId="1" fontId="194" fillId="2" borderId="59" xfId="0" applyNumberFormat="1" applyFont="1" applyFill="1" applyBorder="1" applyAlignment="1">
      <alignment vertical="center" textRotation="90"/>
    </xf>
    <xf numFmtId="39" fontId="204" fillId="2" borderId="23" xfId="0" applyFont="1" applyFill="1" applyBorder="1" applyAlignment="1" applyProtection="1">
      <alignment horizontal="center" vertical="center" textRotation="90" wrapText="1"/>
      <protection locked="0"/>
    </xf>
    <xf numFmtId="1" fontId="191" fillId="2" borderId="13" xfId="0" applyNumberFormat="1" applyFont="1" applyFill="1" applyBorder="1" applyAlignment="1" applyProtection="1">
      <alignment horizontal="center" vertical="center"/>
      <protection locked="0"/>
    </xf>
    <xf numFmtId="1" fontId="194" fillId="2" borderId="60" xfId="0" applyNumberFormat="1" applyFont="1" applyFill="1" applyBorder="1" applyAlignment="1">
      <alignment vertical="center" textRotation="90"/>
    </xf>
    <xf numFmtId="39" fontId="204" fillId="2" borderId="15" xfId="0" applyFont="1" applyFill="1" applyBorder="1" applyAlignment="1" applyProtection="1">
      <alignment horizontal="center" vertical="center" textRotation="90" wrapText="1"/>
      <protection locked="0"/>
    </xf>
    <xf numFmtId="39" fontId="191" fillId="2" borderId="6" xfId="0" applyFont="1" applyFill="1" applyBorder="1" applyAlignment="1">
      <alignment horizontal="left" vertical="center" wrapText="1"/>
    </xf>
    <xf numFmtId="39" fontId="191" fillId="2" borderId="6" xfId="0" applyFont="1" applyFill="1" applyBorder="1" applyAlignment="1">
      <alignment horizontal="center" vertical="center" wrapText="1"/>
    </xf>
    <xf numFmtId="39" fontId="205" fillId="29" borderId="15" xfId="0" applyFont="1" applyFill="1" applyBorder="1" applyAlignment="1">
      <alignment horizontal="center" vertical="center" wrapText="1"/>
    </xf>
    <xf numFmtId="39" fontId="205" fillId="29" borderId="23" xfId="0" applyFont="1" applyFill="1" applyBorder="1" applyAlignment="1">
      <alignment horizontal="center" vertical="center" wrapText="1"/>
    </xf>
    <xf numFmtId="39" fontId="205" fillId="2" borderId="23" xfId="0" applyFont="1" applyFill="1" applyBorder="1" applyAlignment="1">
      <alignment horizontal="center" vertical="center" wrapText="1"/>
    </xf>
    <xf numFmtId="1" fontId="205" fillId="19" borderId="63" xfId="0" applyNumberFormat="1" applyFont="1" applyFill="1" applyBorder="1" applyAlignment="1" applyProtection="1">
      <alignment horizontal="center" vertical="center"/>
      <protection locked="0"/>
    </xf>
    <xf numFmtId="1" fontId="205" fillId="19" borderId="10" xfId="0" applyNumberFormat="1" applyFont="1" applyFill="1" applyBorder="1" applyAlignment="1" applyProtection="1">
      <alignment horizontal="center" vertical="center"/>
      <protection locked="0"/>
    </xf>
    <xf numFmtId="1" fontId="205" fillId="19" borderId="22" xfId="0" applyNumberFormat="1" applyFont="1" applyFill="1" applyBorder="1" applyAlignment="1" applyProtection="1">
      <alignment horizontal="center" vertical="center"/>
      <protection locked="0"/>
    </xf>
    <xf numFmtId="39" fontId="205" fillId="19" borderId="23" xfId="0" applyFont="1" applyFill="1" applyBorder="1" applyAlignment="1">
      <alignment horizontal="center" vertical="center" wrapText="1"/>
    </xf>
    <xf numFmtId="1" fontId="191" fillId="2" borderId="11" xfId="0" applyNumberFormat="1" applyFont="1" applyFill="1" applyBorder="1" applyAlignment="1" applyProtection="1">
      <alignment horizontal="center" vertical="center"/>
      <protection locked="0"/>
    </xf>
    <xf numFmtId="169" fontId="206" fillId="2" borderId="11" xfId="0" applyNumberFormat="1" applyFont="1" applyFill="1" applyBorder="1" applyAlignment="1">
      <alignment horizontal="right" vertical="center" textRotation="90"/>
    </xf>
    <xf numFmtId="39" fontId="204" fillId="2" borderId="11" xfId="0" applyFont="1" applyFill="1" applyBorder="1" applyAlignment="1" applyProtection="1">
      <alignment horizontal="center" vertical="center" textRotation="90" wrapText="1"/>
      <protection locked="0"/>
    </xf>
    <xf numFmtId="39" fontId="191" fillId="2" borderId="11" xfId="0" applyFont="1" applyFill="1" applyBorder="1" applyAlignment="1">
      <alignment horizontal="left" vertical="center" wrapText="1"/>
    </xf>
    <xf numFmtId="39" fontId="191" fillId="2" borderId="11" xfId="0" applyFont="1" applyFill="1" applyBorder="1" applyAlignment="1">
      <alignment horizontal="center" vertical="center" wrapText="1"/>
    </xf>
    <xf numFmtId="39" fontId="191" fillId="2" borderId="12" xfId="0" applyFont="1" applyFill="1" applyBorder="1" applyAlignment="1">
      <alignment horizontal="center" vertical="center" wrapText="1"/>
    </xf>
    <xf numFmtId="171" fontId="191" fillId="2" borderId="12" xfId="0" applyNumberFormat="1" applyFont="1" applyFill="1" applyBorder="1" applyAlignment="1">
      <alignment horizontal="center" vertical="center" wrapText="1"/>
    </xf>
    <xf numFmtId="167" fontId="191" fillId="2" borderId="12" xfId="1" applyFont="1" applyFill="1" applyBorder="1" applyAlignment="1" applyProtection="1">
      <alignment vertical="center"/>
    </xf>
    <xf numFmtId="171" fontId="205" fillId="29" borderId="5" xfId="0" applyNumberFormat="1" applyFont="1" applyFill="1" applyBorder="1" applyAlignment="1">
      <alignment horizontal="center" vertical="center" wrapText="1"/>
    </xf>
    <xf numFmtId="167" fontId="205" fillId="29" borderId="5" xfId="1" applyFont="1" applyFill="1" applyBorder="1" applyAlignment="1" applyProtection="1">
      <alignment vertical="center"/>
    </xf>
    <xf numFmtId="167" fontId="205" fillId="2" borderId="5" xfId="1" applyFont="1" applyFill="1" applyBorder="1" applyAlignment="1" applyProtection="1">
      <alignment vertical="center"/>
    </xf>
    <xf numFmtId="39" fontId="205" fillId="10" borderId="23" xfId="0" applyFont="1" applyFill="1" applyBorder="1" applyAlignment="1">
      <alignment horizontal="center" vertical="center" wrapText="1"/>
    </xf>
    <xf numFmtId="39" fontId="205" fillId="10" borderId="5" xfId="0" applyFont="1" applyFill="1" applyBorder="1" applyAlignment="1">
      <alignment horizontal="center" vertical="center" wrapText="1"/>
    </xf>
    <xf numFmtId="167" fontId="205" fillId="10" borderId="5" xfId="1" applyFont="1" applyFill="1" applyBorder="1" applyAlignment="1" applyProtection="1">
      <alignment vertical="center"/>
    </xf>
    <xf numFmtId="0" fontId="124" fillId="2" borderId="0" xfId="2" applyFont="1" applyFill="1" applyAlignment="1" applyProtection="1">
      <alignment horizontal="left" indent="69"/>
      <protection hidden="1"/>
    </xf>
    <xf numFmtId="0" fontId="124" fillId="2" borderId="0" xfId="2" applyFont="1" applyFill="1" applyAlignment="1" applyProtection="1">
      <alignment horizontal="left" indent="2"/>
      <protection hidden="1"/>
    </xf>
    <xf numFmtId="39" fontId="100" fillId="0" borderId="0" xfId="0" applyFont="1" applyAlignment="1">
      <alignment horizontal="center"/>
    </xf>
    <xf numFmtId="39" fontId="100" fillId="2" borderId="0" xfId="0" applyFont="1" applyFill="1" applyAlignment="1">
      <alignment horizontal="center"/>
    </xf>
    <xf numFmtId="39" fontId="97" fillId="2" borderId="0" xfId="0" applyFont="1" applyFill="1" applyAlignment="1">
      <alignment horizontal="left" vertical="center"/>
    </xf>
    <xf numFmtId="39" fontId="97" fillId="2" borderId="0" xfId="0" applyFont="1" applyFill="1" applyAlignment="1">
      <alignment horizontal="left" vertical="center" indent="29"/>
    </xf>
    <xf numFmtId="39" fontId="38" fillId="2" borderId="5" xfId="0" applyFont="1" applyFill="1" applyBorder="1" applyAlignment="1" applyProtection="1">
      <alignment horizontal="center" vertical="center" wrapText="1"/>
      <protection locked="0"/>
    </xf>
    <xf numFmtId="39" fontId="59" fillId="5" borderId="5" xfId="0" applyFont="1" applyFill="1" applyBorder="1" applyAlignment="1" applyProtection="1">
      <alignment horizontal="center" vertical="center" wrapText="1"/>
      <protection locked="0"/>
    </xf>
    <xf numFmtId="39" fontId="85" fillId="2" borderId="6" xfId="0" applyFont="1" applyFill="1" applyBorder="1" applyAlignment="1" applyProtection="1">
      <alignment horizontal="center" vertical="center" textRotation="255" wrapText="1"/>
      <protection locked="0"/>
    </xf>
    <xf numFmtId="39" fontId="85" fillId="2" borderId="11" xfId="0" applyFont="1" applyFill="1" applyBorder="1" applyAlignment="1" applyProtection="1">
      <alignment horizontal="center" vertical="center" textRotation="255" wrapText="1"/>
      <protection locked="0"/>
    </xf>
    <xf numFmtId="39" fontId="85" fillId="2" borderId="12" xfId="0" applyFont="1" applyFill="1" applyBorder="1" applyAlignment="1" applyProtection="1">
      <alignment horizontal="center" vertical="center" textRotation="255" wrapText="1"/>
      <protection locked="0"/>
    </xf>
    <xf numFmtId="39" fontId="58" fillId="5" borderId="6" xfId="0" applyFont="1" applyFill="1" applyBorder="1" applyAlignment="1" applyProtection="1">
      <alignment horizontal="center" vertical="center" wrapText="1"/>
      <protection locked="0"/>
    </xf>
    <xf numFmtId="39" fontId="58" fillId="5" borderId="11" xfId="0" applyFont="1" applyFill="1" applyBorder="1" applyAlignment="1" applyProtection="1">
      <alignment horizontal="center" vertical="center" wrapText="1"/>
      <protection locked="0"/>
    </xf>
    <xf numFmtId="39" fontId="58" fillId="5" borderId="12" xfId="0" applyFont="1" applyFill="1" applyBorder="1" applyAlignment="1" applyProtection="1">
      <alignment horizontal="center" vertical="center" wrapText="1"/>
      <protection locked="0"/>
    </xf>
    <xf numFmtId="39" fontId="38" fillId="2" borderId="5" xfId="0" applyFont="1" applyFill="1" applyBorder="1" applyAlignment="1">
      <alignment horizontal="center" vertical="center"/>
    </xf>
    <xf numFmtId="39" fontId="39" fillId="2" borderId="5" xfId="0" applyFont="1" applyFill="1" applyBorder="1" applyAlignment="1" applyProtection="1">
      <alignment horizontal="center" vertical="center" wrapText="1"/>
      <protection locked="0"/>
    </xf>
    <xf numFmtId="39" fontId="85" fillId="2" borderId="5" xfId="0" applyFont="1" applyFill="1" applyBorder="1" applyAlignment="1" applyProtection="1">
      <alignment horizontal="center" vertical="center" wrapText="1"/>
      <protection locked="0"/>
    </xf>
    <xf numFmtId="39" fontId="108" fillId="2" borderId="5" xfId="0" applyFont="1" applyFill="1" applyBorder="1" applyAlignment="1" applyProtection="1">
      <alignment horizontal="center" vertical="center" wrapText="1"/>
      <protection locked="0"/>
    </xf>
    <xf numFmtId="1" fontId="38" fillId="2" borderId="5" xfId="0" applyNumberFormat="1" applyFont="1" applyFill="1" applyBorder="1" applyAlignment="1" applyProtection="1">
      <alignment horizontal="center" vertical="center" wrapText="1"/>
      <protection locked="0"/>
    </xf>
    <xf numFmtId="39" fontId="39" fillId="0" borderId="5" xfId="0" applyFont="1" applyBorder="1" applyAlignment="1" applyProtection="1">
      <alignment horizontal="center" vertical="center" wrapText="1"/>
      <protection locked="0"/>
    </xf>
    <xf numFmtId="39" fontId="38" fillId="4" borderId="5" xfId="0" applyFont="1" applyFill="1" applyBorder="1" applyAlignment="1" applyProtection="1">
      <alignment horizontal="center" vertical="center" wrapText="1"/>
      <protection locked="0"/>
    </xf>
    <xf numFmtId="39" fontId="87" fillId="22" borderId="5" xfId="0" applyFont="1" applyFill="1" applyBorder="1" applyAlignment="1" applyProtection="1">
      <alignment horizontal="center" vertical="center" wrapText="1"/>
      <protection locked="0"/>
    </xf>
    <xf numFmtId="39" fontId="43" fillId="2" borderId="0" xfId="0" applyFont="1" applyFill="1" applyAlignment="1">
      <alignment horizontal="center" vertical="center"/>
    </xf>
    <xf numFmtId="39" fontId="43" fillId="2" borderId="0" xfId="0" applyFont="1" applyFill="1" applyAlignment="1" applyProtection="1">
      <alignment horizontal="center" vertical="center"/>
      <protection locked="0"/>
    </xf>
    <xf numFmtId="39" fontId="11" fillId="2" borderId="0" xfId="0" applyFont="1" applyFill="1" applyAlignment="1" applyProtection="1">
      <alignment horizontal="left" vertical="center"/>
      <protection locked="0"/>
    </xf>
    <xf numFmtId="39" fontId="37" fillId="2" borderId="10" xfId="0" applyFont="1" applyFill="1" applyBorder="1" applyAlignment="1" applyProtection="1">
      <alignment horizontal="center" vertical="center"/>
      <protection locked="0"/>
    </xf>
    <xf numFmtId="39" fontId="37" fillId="2" borderId="22" xfId="0" applyFont="1" applyFill="1" applyBorder="1" applyAlignment="1" applyProtection="1">
      <alignment horizontal="center" vertical="center"/>
      <protection locked="0"/>
    </xf>
    <xf numFmtId="39" fontId="37" fillId="2" borderId="23" xfId="0" applyFont="1" applyFill="1" applyBorder="1" applyAlignment="1" applyProtection="1">
      <alignment horizontal="center" vertical="center"/>
      <protection locked="0"/>
    </xf>
    <xf numFmtId="39" fontId="42" fillId="2" borderId="3" xfId="0" applyFont="1" applyFill="1" applyBorder="1" applyAlignment="1">
      <alignment horizontal="center" vertical="center"/>
    </xf>
    <xf numFmtId="1" fontId="42" fillId="2" borderId="3" xfId="0" applyNumberFormat="1" applyFont="1" applyFill="1" applyBorder="1" applyAlignment="1" applyProtection="1">
      <alignment horizontal="center" vertical="center"/>
      <protection locked="0"/>
    </xf>
    <xf numFmtId="39" fontId="43" fillId="2" borderId="2" xfId="0" applyFont="1" applyFill="1" applyBorder="1" applyAlignment="1" applyProtection="1">
      <alignment horizontal="center" vertical="center"/>
      <protection locked="0"/>
    </xf>
    <xf numFmtId="1" fontId="38" fillId="4" borderId="6" xfId="0" applyNumberFormat="1" applyFont="1" applyFill="1" applyBorder="1" applyAlignment="1" applyProtection="1">
      <alignment horizontal="center" vertical="center" wrapText="1"/>
      <protection locked="0"/>
    </xf>
    <xf numFmtId="1" fontId="38" fillId="4" borderId="12" xfId="0" applyNumberFormat="1" applyFont="1" applyFill="1" applyBorder="1" applyAlignment="1" applyProtection="1">
      <alignment horizontal="center" vertical="center" wrapText="1"/>
      <protection locked="0"/>
    </xf>
    <xf numFmtId="39" fontId="38" fillId="4" borderId="6" xfId="0" applyFont="1" applyFill="1" applyBorder="1" applyAlignment="1" applyProtection="1">
      <alignment horizontal="center" vertical="center" wrapText="1"/>
      <protection locked="0"/>
    </xf>
    <xf numFmtId="39" fontId="38" fillId="4" borderId="11" xfId="0" applyFont="1" applyFill="1" applyBorder="1" applyAlignment="1" applyProtection="1">
      <alignment horizontal="center" vertical="center" wrapText="1"/>
      <protection locked="0"/>
    </xf>
    <xf numFmtId="39" fontId="38" fillId="4" borderId="12" xfId="0" applyFont="1" applyFill="1" applyBorder="1" applyAlignment="1" applyProtection="1">
      <alignment horizontal="center" vertical="center" wrapText="1"/>
      <protection locked="0"/>
    </xf>
    <xf numFmtId="39" fontId="79" fillId="2" borderId="5" xfId="0" applyFont="1" applyFill="1" applyBorder="1" applyAlignment="1" applyProtection="1">
      <alignment horizontal="center" vertical="center" wrapText="1"/>
      <protection locked="0"/>
    </xf>
    <xf numFmtId="39" fontId="86" fillId="4" borderId="6" xfId="0" applyFont="1" applyFill="1" applyBorder="1" applyAlignment="1" applyProtection="1">
      <alignment horizontal="center" vertical="center" wrapText="1"/>
      <protection locked="0"/>
    </xf>
    <xf numFmtId="39" fontId="86" fillId="4" borderId="11" xfId="0" applyFont="1" applyFill="1" applyBorder="1" applyAlignment="1" applyProtection="1">
      <alignment horizontal="center" vertical="center" wrapText="1"/>
      <protection locked="0"/>
    </xf>
    <xf numFmtId="39" fontId="86" fillId="4" borderId="12" xfId="0" applyFont="1" applyFill="1" applyBorder="1" applyAlignment="1" applyProtection="1">
      <alignment horizontal="center" vertical="center" wrapText="1"/>
      <protection locked="0"/>
    </xf>
    <xf numFmtId="39" fontId="36" fillId="2" borderId="0" xfId="0" applyFont="1" applyFill="1" applyAlignment="1">
      <alignment horizontal="center" vertical="center"/>
    </xf>
    <xf numFmtId="0" fontId="36" fillId="2" borderId="0" xfId="2" applyFont="1" applyFill="1" applyAlignment="1" applyProtection="1">
      <alignment horizontal="center"/>
      <protection hidden="1"/>
    </xf>
    <xf numFmtId="39" fontId="38" fillId="2" borderId="6" xfId="0" applyFont="1" applyFill="1" applyBorder="1" applyAlignment="1" applyProtection="1">
      <alignment horizontal="center" vertical="center" textRotation="90" wrapText="1"/>
      <protection locked="0"/>
    </xf>
    <xf numFmtId="39" fontId="38" fillId="2" borderId="11" xfId="0" applyFont="1" applyFill="1" applyBorder="1" applyAlignment="1" applyProtection="1">
      <alignment horizontal="center" vertical="center" textRotation="90" wrapText="1"/>
      <protection locked="0"/>
    </xf>
    <xf numFmtId="39" fontId="38" fillId="2" borderId="12" xfId="0" applyFont="1" applyFill="1" applyBorder="1" applyAlignment="1" applyProtection="1">
      <alignment horizontal="center" vertical="center" textRotation="90" wrapText="1"/>
      <protection locked="0"/>
    </xf>
    <xf numFmtId="39" fontId="58" fillId="5" borderId="5" xfId="0" applyFont="1" applyFill="1" applyBorder="1" applyAlignment="1" applyProtection="1">
      <alignment horizontal="center" vertical="center" wrapText="1"/>
      <protection locked="0"/>
    </xf>
    <xf numFmtId="39" fontId="35" fillId="0" borderId="0" xfId="0" applyFont="1" applyAlignment="1">
      <alignment horizontal="center" vertical="center"/>
    </xf>
    <xf numFmtId="39" fontId="35" fillId="2" borderId="0" xfId="0" applyFont="1" applyFill="1" applyAlignment="1">
      <alignment horizontal="center" vertical="center"/>
    </xf>
    <xf numFmtId="0" fontId="56" fillId="0" borderId="6" xfId="9" applyFont="1" applyBorder="1" applyAlignment="1" applyProtection="1">
      <alignment horizontal="center" vertical="center"/>
      <protection hidden="1"/>
    </xf>
    <xf numFmtId="0" fontId="56" fillId="0" borderId="11" xfId="9" applyFont="1" applyBorder="1" applyAlignment="1" applyProtection="1">
      <alignment horizontal="center" vertical="center"/>
      <protection hidden="1"/>
    </xf>
    <xf numFmtId="0" fontId="56" fillId="0" borderId="12" xfId="9" applyFont="1" applyBorder="1" applyAlignment="1" applyProtection="1">
      <alignment horizontal="center" vertical="center"/>
      <protection hidden="1"/>
    </xf>
    <xf numFmtId="0" fontId="66" fillId="6" borderId="6" xfId="9" applyFont="1" applyFill="1" applyBorder="1" applyAlignment="1" applyProtection="1">
      <alignment horizontal="center" vertical="center" textRotation="255"/>
      <protection hidden="1"/>
    </xf>
    <xf numFmtId="0" fontId="66" fillId="6" borderId="11" xfId="9" applyFont="1" applyFill="1" applyBorder="1" applyAlignment="1" applyProtection="1">
      <alignment horizontal="center" vertical="center" textRotation="255"/>
      <protection hidden="1"/>
    </xf>
    <xf numFmtId="0" fontId="66" fillId="6" borderId="12" xfId="9" applyFont="1" applyFill="1" applyBorder="1" applyAlignment="1" applyProtection="1">
      <alignment horizontal="center" vertical="center" textRotation="255"/>
      <protection hidden="1"/>
    </xf>
    <xf numFmtId="0" fontId="67" fillId="0" borderId="6" xfId="9" applyFont="1" applyBorder="1" applyAlignment="1" applyProtection="1">
      <alignment horizontal="center" vertical="center" wrapText="1"/>
      <protection hidden="1"/>
    </xf>
    <xf numFmtId="0" fontId="67" fillId="0" borderId="11" xfId="9" applyFont="1" applyBorder="1" applyAlignment="1" applyProtection="1">
      <alignment horizontal="center" vertical="center" wrapText="1"/>
      <protection hidden="1"/>
    </xf>
    <xf numFmtId="0" fontId="67" fillId="0" borderId="12" xfId="9" applyFont="1" applyBorder="1" applyAlignment="1" applyProtection="1">
      <alignment horizontal="center" vertical="center" wrapText="1"/>
      <protection hidden="1"/>
    </xf>
    <xf numFmtId="0" fontId="56" fillId="0" borderId="6" xfId="9" applyFont="1" applyBorder="1" applyAlignment="1" applyProtection="1">
      <alignment horizontal="center" vertical="center" textRotation="90"/>
      <protection hidden="1"/>
    </xf>
    <xf numFmtId="0" fontId="56" fillId="0" borderId="11" xfId="9" applyFont="1" applyBorder="1" applyAlignment="1" applyProtection="1">
      <alignment horizontal="center" vertical="center" textRotation="90"/>
      <protection hidden="1"/>
    </xf>
    <xf numFmtId="0" fontId="56" fillId="0" borderId="12" xfId="9" applyFont="1" applyBorder="1" applyAlignment="1" applyProtection="1">
      <alignment horizontal="center" vertical="center" textRotation="90"/>
      <protection hidden="1"/>
    </xf>
    <xf numFmtId="0" fontId="56" fillId="2" borderId="6" xfId="9" applyFont="1" applyFill="1" applyBorder="1" applyAlignment="1" applyProtection="1">
      <alignment horizontal="center" vertical="center"/>
      <protection hidden="1"/>
    </xf>
    <xf numFmtId="0" fontId="56" fillId="2" borderId="12" xfId="9" applyFont="1" applyFill="1" applyBorder="1" applyAlignment="1" applyProtection="1">
      <alignment horizontal="center" vertical="center"/>
      <protection hidden="1"/>
    </xf>
    <xf numFmtId="0" fontId="32" fillId="2" borderId="6" xfId="9" applyFont="1" applyFill="1" applyBorder="1" applyAlignment="1" applyProtection="1">
      <alignment horizontal="center" vertical="center"/>
      <protection hidden="1"/>
    </xf>
    <xf numFmtId="0" fontId="32" fillId="2" borderId="12" xfId="9" applyFont="1" applyFill="1" applyBorder="1" applyAlignment="1" applyProtection="1">
      <alignment horizontal="center" vertical="center"/>
      <protection hidden="1"/>
    </xf>
    <xf numFmtId="0" fontId="21" fillId="11" borderId="6" xfId="9" applyFont="1" applyFill="1" applyBorder="1" applyAlignment="1" applyProtection="1">
      <alignment horizontal="center" vertical="center" textRotation="90"/>
      <protection hidden="1"/>
    </xf>
    <xf numFmtId="0" fontId="21" fillId="11" borderId="11" xfId="9" applyFont="1" applyFill="1" applyBorder="1" applyAlignment="1" applyProtection="1">
      <alignment horizontal="center" vertical="center" textRotation="90"/>
      <protection hidden="1"/>
    </xf>
    <xf numFmtId="0" fontId="21" fillId="11" borderId="12" xfId="9" applyFont="1" applyFill="1" applyBorder="1" applyAlignment="1" applyProtection="1">
      <alignment horizontal="center" vertical="center" textRotation="90"/>
      <protection hidden="1"/>
    </xf>
    <xf numFmtId="0" fontId="56" fillId="2" borderId="6" xfId="9" applyFont="1" applyFill="1" applyBorder="1" applyAlignment="1" applyProtection="1">
      <alignment horizontal="center" vertical="center" textRotation="90"/>
      <protection hidden="1"/>
    </xf>
    <xf numFmtId="0" fontId="56" fillId="2" borderId="11" xfId="9" applyFont="1" applyFill="1" applyBorder="1" applyAlignment="1" applyProtection="1">
      <alignment horizontal="center" vertical="center" textRotation="90"/>
      <protection hidden="1"/>
    </xf>
    <xf numFmtId="0" fontId="56" fillId="2" borderId="12" xfId="9" applyFont="1" applyFill="1" applyBorder="1" applyAlignment="1" applyProtection="1">
      <alignment horizontal="center" vertical="center" textRotation="90"/>
      <protection hidden="1"/>
    </xf>
    <xf numFmtId="0" fontId="56" fillId="0" borderId="6" xfId="9" applyFont="1" applyBorder="1" applyAlignment="1" applyProtection="1">
      <alignment horizontal="center" vertical="center" textRotation="90" wrapText="1"/>
      <protection hidden="1"/>
    </xf>
    <xf numFmtId="0" fontId="56" fillId="0" borderId="11" xfId="9" applyFont="1" applyBorder="1" applyAlignment="1" applyProtection="1">
      <alignment horizontal="center" vertical="center" textRotation="90" wrapText="1"/>
      <protection hidden="1"/>
    </xf>
    <xf numFmtId="0" fontId="56" fillId="0" borderId="12" xfId="9" applyFont="1" applyBorder="1" applyAlignment="1" applyProtection="1">
      <alignment horizontal="center" vertical="center" textRotation="90" wrapText="1"/>
      <protection hidden="1"/>
    </xf>
    <xf numFmtId="0" fontId="56" fillId="2" borderId="6" xfId="9" applyFont="1" applyFill="1" applyBorder="1" applyAlignment="1">
      <alignment horizontal="center" vertical="center" textRotation="90"/>
    </xf>
    <xf numFmtId="0" fontId="56" fillId="2" borderId="11" xfId="9" applyFont="1" applyFill="1" applyBorder="1" applyAlignment="1">
      <alignment horizontal="center" vertical="center" textRotation="90"/>
    </xf>
    <xf numFmtId="0" fontId="56" fillId="2" borderId="12" xfId="9" applyFont="1" applyFill="1" applyBorder="1" applyAlignment="1">
      <alignment horizontal="center" vertical="center" textRotation="90"/>
    </xf>
    <xf numFmtId="0" fontId="68" fillId="6" borderId="6" xfId="9" applyFont="1" applyFill="1" applyBorder="1" applyAlignment="1">
      <alignment horizontal="center" vertical="center" textRotation="90"/>
    </xf>
    <xf numFmtId="0" fontId="68" fillId="6" borderId="11" xfId="9" applyFont="1" applyFill="1" applyBorder="1" applyAlignment="1">
      <alignment horizontal="center" vertical="center" textRotation="90"/>
    </xf>
    <xf numFmtId="0" fontId="68" fillId="6" borderId="12" xfId="9" applyFont="1" applyFill="1" applyBorder="1" applyAlignment="1">
      <alignment horizontal="center" vertical="center" textRotation="90"/>
    </xf>
    <xf numFmtId="4" fontId="56" fillId="0" borderId="6" xfId="9" applyNumberFormat="1" applyFont="1" applyBorder="1" applyAlignment="1" applyProtection="1">
      <alignment horizontal="center" vertical="center" textRotation="90"/>
      <protection hidden="1"/>
    </xf>
    <xf numFmtId="4" fontId="56" fillId="0" borderId="11" xfId="9" applyNumberFormat="1" applyFont="1" applyBorder="1" applyAlignment="1" applyProtection="1">
      <alignment horizontal="center" vertical="center" textRotation="90"/>
      <protection hidden="1"/>
    </xf>
    <xf numFmtId="4" fontId="56" fillId="0" borderId="12" xfId="9" applyNumberFormat="1" applyFont="1" applyBorder="1" applyAlignment="1" applyProtection="1">
      <alignment horizontal="center" vertical="center" textRotation="90"/>
      <protection hidden="1"/>
    </xf>
    <xf numFmtId="0" fontId="69" fillId="6" borderId="6" xfId="9" applyFont="1" applyFill="1" applyBorder="1" applyAlignment="1" applyProtection="1">
      <alignment horizontal="center" vertical="center" textRotation="90"/>
      <protection hidden="1"/>
    </xf>
    <xf numFmtId="0" fontId="69" fillId="6" borderId="11" xfId="9" applyFont="1" applyFill="1" applyBorder="1" applyAlignment="1" applyProtection="1">
      <alignment horizontal="center" vertical="center" textRotation="90"/>
      <protection hidden="1"/>
    </xf>
    <xf numFmtId="0" fontId="69" fillId="6" borderId="12" xfId="9" applyFont="1" applyFill="1" applyBorder="1" applyAlignment="1" applyProtection="1">
      <alignment horizontal="center" vertical="center" textRotation="90"/>
      <protection hidden="1"/>
    </xf>
    <xf numFmtId="0" fontId="56" fillId="9" borderId="6" xfId="9" applyFont="1" applyFill="1" applyBorder="1" applyAlignment="1" applyProtection="1">
      <alignment horizontal="center" vertical="center"/>
      <protection hidden="1"/>
    </xf>
    <xf numFmtId="0" fontId="56" fillId="9" borderId="11" xfId="9" applyFont="1" applyFill="1" applyBorder="1" applyAlignment="1" applyProtection="1">
      <alignment horizontal="center" vertical="center"/>
      <protection hidden="1"/>
    </xf>
    <xf numFmtId="0" fontId="56" fillId="9" borderId="12" xfId="9" applyFont="1" applyFill="1" applyBorder="1" applyAlignment="1" applyProtection="1">
      <alignment horizontal="center" vertical="center"/>
      <protection hidden="1"/>
    </xf>
    <xf numFmtId="0" fontId="66" fillId="7" borderId="6" xfId="9" applyFont="1" applyFill="1" applyBorder="1" applyAlignment="1" applyProtection="1">
      <alignment horizontal="center" vertical="center" textRotation="90"/>
      <protection hidden="1"/>
    </xf>
    <xf numFmtId="0" fontId="66" fillId="7" borderId="11" xfId="9" applyFont="1" applyFill="1" applyBorder="1" applyAlignment="1" applyProtection="1">
      <alignment horizontal="center" vertical="center" textRotation="90"/>
      <protection hidden="1"/>
    </xf>
    <xf numFmtId="0" fontId="66" fillId="7" borderId="12" xfId="9" applyFont="1" applyFill="1" applyBorder="1" applyAlignment="1" applyProtection="1">
      <alignment horizontal="center" vertical="center" textRotation="90"/>
      <protection hidden="1"/>
    </xf>
    <xf numFmtId="1" fontId="70" fillId="0" borderId="6" xfId="6" applyNumberFormat="1" applyFont="1" applyBorder="1" applyAlignment="1" applyProtection="1">
      <alignment horizontal="center" vertical="center" textRotation="90"/>
      <protection hidden="1"/>
    </xf>
    <xf numFmtId="1" fontId="70" fillId="0" borderId="11" xfId="6" applyNumberFormat="1" applyFont="1" applyBorder="1" applyAlignment="1" applyProtection="1">
      <alignment horizontal="center" vertical="center" textRotation="90"/>
      <protection hidden="1"/>
    </xf>
    <xf numFmtId="1" fontId="70" fillId="0" borderId="12" xfId="6" applyNumberFormat="1" applyFont="1" applyBorder="1" applyAlignment="1" applyProtection="1">
      <alignment horizontal="center" vertical="center" textRotation="90"/>
      <protection hidden="1"/>
    </xf>
    <xf numFmtId="170" fontId="70" fillId="0" borderId="13" xfId="6" applyFont="1" applyBorder="1" applyAlignment="1" applyProtection="1">
      <alignment horizontal="center" vertical="center"/>
      <protection hidden="1"/>
    </xf>
    <xf numFmtId="170" fontId="70" fillId="0" borderId="14" xfId="6" applyFont="1" applyBorder="1" applyAlignment="1" applyProtection="1">
      <alignment horizontal="center" vertical="center"/>
      <protection hidden="1"/>
    </xf>
    <xf numFmtId="170" fontId="70" fillId="0" borderId="15" xfId="6" applyFont="1" applyBorder="1" applyAlignment="1" applyProtection="1">
      <alignment horizontal="center" vertical="center"/>
      <protection hidden="1"/>
    </xf>
    <xf numFmtId="170" fontId="70" fillId="0" borderId="16" xfId="6" applyFont="1" applyBorder="1" applyAlignment="1" applyProtection="1">
      <alignment horizontal="center" vertical="center"/>
      <protection hidden="1"/>
    </xf>
    <xf numFmtId="170" fontId="70" fillId="0" borderId="17" xfId="6" applyFont="1" applyBorder="1" applyAlignment="1" applyProtection="1">
      <alignment horizontal="center" vertical="center"/>
      <protection hidden="1"/>
    </xf>
    <xf numFmtId="170" fontId="70" fillId="0" borderId="18" xfId="6" applyFont="1" applyBorder="1" applyAlignment="1" applyProtection="1">
      <alignment horizontal="center" vertical="center"/>
      <protection hidden="1"/>
    </xf>
    <xf numFmtId="3" fontId="56" fillId="0" borderId="6" xfId="9" applyNumberFormat="1" applyFont="1" applyBorder="1" applyAlignment="1" applyProtection="1">
      <alignment horizontal="center" vertical="center" textRotation="90"/>
      <protection hidden="1"/>
    </xf>
    <xf numFmtId="3" fontId="56" fillId="0" borderId="11" xfId="9" applyNumberFormat="1" applyFont="1" applyBorder="1" applyAlignment="1" applyProtection="1">
      <alignment horizontal="center" vertical="center" textRotation="90"/>
      <protection hidden="1"/>
    </xf>
    <xf numFmtId="3" fontId="56" fillId="0" borderId="12" xfId="9" applyNumberFormat="1" applyFont="1" applyBorder="1" applyAlignment="1" applyProtection="1">
      <alignment horizontal="center" vertical="center" textRotation="90"/>
      <protection hidden="1"/>
    </xf>
    <xf numFmtId="3" fontId="56" fillId="2" borderId="6" xfId="9" applyNumberFormat="1" applyFont="1" applyFill="1" applyBorder="1" applyAlignment="1" applyProtection="1">
      <alignment horizontal="center" vertical="center" textRotation="90"/>
      <protection hidden="1"/>
    </xf>
    <xf numFmtId="3" fontId="56" fillId="2" borderId="11" xfId="9" applyNumberFormat="1" applyFont="1" applyFill="1" applyBorder="1" applyAlignment="1" applyProtection="1">
      <alignment horizontal="center" vertical="center" textRotation="90"/>
      <protection hidden="1"/>
    </xf>
    <xf numFmtId="3" fontId="56" fillId="2" borderId="12" xfId="9" applyNumberFormat="1" applyFont="1" applyFill="1" applyBorder="1" applyAlignment="1" applyProtection="1">
      <alignment horizontal="center" vertical="center" textRotation="90"/>
      <protection hidden="1"/>
    </xf>
    <xf numFmtId="172" fontId="56" fillId="0" borderId="6" xfId="6" applyNumberFormat="1" applyFont="1" applyBorder="1" applyAlignment="1" applyProtection="1">
      <alignment horizontal="center" vertical="center" textRotation="90"/>
      <protection hidden="1"/>
    </xf>
    <xf numFmtId="172" fontId="56" fillId="0" borderId="11" xfId="6" applyNumberFormat="1" applyFont="1" applyBorder="1" applyAlignment="1" applyProtection="1">
      <alignment horizontal="center" vertical="center" textRotation="90"/>
      <protection hidden="1"/>
    </xf>
    <xf numFmtId="172" fontId="56" fillId="0" borderId="12" xfId="6" applyNumberFormat="1" applyFont="1" applyBorder="1" applyAlignment="1" applyProtection="1">
      <alignment horizontal="center" vertical="center" textRotation="90"/>
      <protection hidden="1"/>
    </xf>
    <xf numFmtId="0" fontId="81" fillId="2" borderId="6" xfId="9" applyFont="1" applyFill="1" applyBorder="1" applyAlignment="1" applyProtection="1">
      <alignment horizontal="center" vertical="center" textRotation="90"/>
      <protection hidden="1"/>
    </xf>
    <xf numFmtId="0" fontId="81" fillId="2" borderId="11" xfId="9" applyFont="1" applyFill="1" applyBorder="1" applyAlignment="1" applyProtection="1">
      <alignment horizontal="center" vertical="center" textRotation="90"/>
      <protection hidden="1"/>
    </xf>
    <xf numFmtId="0" fontId="81" fillId="2" borderId="12" xfId="9" applyFont="1" applyFill="1" applyBorder="1" applyAlignment="1" applyProtection="1">
      <alignment horizontal="center" vertical="center" textRotation="90"/>
      <protection hidden="1"/>
    </xf>
    <xf numFmtId="39" fontId="35" fillId="0" borderId="0" xfId="0" applyFont="1" applyAlignment="1">
      <alignment horizontal="center"/>
    </xf>
    <xf numFmtId="39" fontId="53" fillId="0" borderId="0" xfId="0" applyFont="1" applyAlignment="1">
      <alignment horizontal="center" vertical="center"/>
    </xf>
    <xf numFmtId="39" fontId="53" fillId="0" borderId="0" xfId="0" applyFont="1" applyAlignment="1">
      <alignment horizontal="center"/>
    </xf>
    <xf numFmtId="1" fontId="50" fillId="0" borderId="6" xfId="9" applyNumberFormat="1" applyFont="1" applyBorder="1" applyAlignment="1" applyProtection="1">
      <alignment horizontal="center" vertical="center" wrapText="1"/>
      <protection hidden="1"/>
    </xf>
    <xf numFmtId="1" fontId="50" fillId="0" borderId="11" xfId="9" applyNumberFormat="1" applyFont="1" applyBorder="1" applyAlignment="1" applyProtection="1">
      <alignment horizontal="center" vertical="center" wrapText="1"/>
      <protection hidden="1"/>
    </xf>
    <xf numFmtId="1" fontId="50" fillId="0" borderId="12" xfId="9" applyNumberFormat="1" applyFont="1" applyBorder="1" applyAlignment="1" applyProtection="1">
      <alignment horizontal="center" vertical="center" wrapText="1"/>
      <protection hidden="1"/>
    </xf>
    <xf numFmtId="4" fontId="37" fillId="0" borderId="6" xfId="9" applyNumberFormat="1" applyFont="1" applyBorder="1" applyAlignment="1" applyProtection="1">
      <alignment horizontal="center" vertical="center" wrapText="1"/>
      <protection hidden="1"/>
    </xf>
    <xf numFmtId="4" fontId="37" fillId="0" borderId="11" xfId="9" applyNumberFormat="1" applyFont="1" applyBorder="1" applyAlignment="1" applyProtection="1">
      <alignment horizontal="center" vertical="center" wrapText="1"/>
      <protection hidden="1"/>
    </xf>
    <xf numFmtId="4" fontId="37" fillId="0" borderId="12" xfId="9" applyNumberFormat="1" applyFont="1" applyBorder="1" applyAlignment="1" applyProtection="1">
      <alignment horizontal="center" vertical="center" wrapText="1"/>
      <protection hidden="1"/>
    </xf>
    <xf numFmtId="39" fontId="44" fillId="0" borderId="3" xfId="0" applyFont="1" applyBorder="1" applyAlignment="1">
      <alignment horizontal="center" vertical="center"/>
    </xf>
    <xf numFmtId="39" fontId="44" fillId="0" borderId="2" xfId="0" applyFont="1" applyBorder="1" applyAlignment="1">
      <alignment horizontal="center" vertical="center"/>
    </xf>
    <xf numFmtId="1" fontId="56" fillId="0" borderId="6" xfId="9" applyNumberFormat="1" applyFont="1" applyBorder="1" applyAlignment="1" applyProtection="1">
      <alignment horizontal="center" vertical="center" textRotation="90"/>
      <protection hidden="1"/>
    </xf>
    <xf numFmtId="1" fontId="56" fillId="0" borderId="11" xfId="9" applyNumberFormat="1" applyFont="1" applyBorder="1" applyAlignment="1" applyProtection="1">
      <alignment horizontal="center" vertical="center" textRotation="90"/>
      <protection hidden="1"/>
    </xf>
    <xf numFmtId="1" fontId="56" fillId="0" borderId="12" xfId="9" applyNumberFormat="1" applyFont="1" applyBorder="1" applyAlignment="1" applyProtection="1">
      <alignment horizontal="center" vertical="center" textRotation="90"/>
      <protection hidden="1"/>
    </xf>
    <xf numFmtId="39" fontId="199" fillId="2" borderId="0" xfId="0" applyFont="1" applyFill="1" applyAlignment="1">
      <alignment horizontal="center" vertical="center"/>
    </xf>
    <xf numFmtId="0" fontId="199" fillId="2" borderId="0" xfId="2" applyFont="1" applyFill="1" applyAlignment="1" applyProtection="1">
      <alignment horizontal="center"/>
      <protection hidden="1"/>
    </xf>
    <xf numFmtId="39" fontId="36" fillId="2" borderId="5" xfId="0" applyFont="1" applyFill="1" applyBorder="1" applyAlignment="1" applyProtection="1">
      <alignment horizontal="center" vertical="center" wrapText="1"/>
      <protection locked="0"/>
    </xf>
    <xf numFmtId="39" fontId="36" fillId="2" borderId="6" xfId="0" applyFont="1" applyFill="1" applyBorder="1" applyAlignment="1" applyProtection="1">
      <alignment horizontal="center" vertical="center" wrapText="1"/>
      <protection locked="0"/>
    </xf>
    <xf numFmtId="39" fontId="36" fillId="2" borderId="5" xfId="0" applyFont="1" applyFill="1" applyBorder="1" applyAlignment="1" applyProtection="1">
      <alignment horizontal="center" vertical="center" textRotation="90" wrapText="1"/>
      <protection locked="0"/>
    </xf>
    <xf numFmtId="39" fontId="36" fillId="2" borderId="6" xfId="0" applyFont="1" applyFill="1" applyBorder="1" applyAlignment="1" applyProtection="1">
      <alignment horizontal="center" vertical="center" textRotation="90" wrapText="1"/>
      <protection locked="0"/>
    </xf>
    <xf numFmtId="39" fontId="155" fillId="2" borderId="6" xfId="0" applyFont="1" applyFill="1" applyBorder="1" applyAlignment="1" applyProtection="1">
      <alignment horizontal="center" vertical="center" textRotation="255" wrapText="1"/>
      <protection locked="0"/>
    </xf>
    <xf numFmtId="39" fontId="155" fillId="2" borderId="11" xfId="0" applyFont="1" applyFill="1" applyBorder="1" applyAlignment="1" applyProtection="1">
      <alignment horizontal="center" vertical="center" textRotation="255" wrapText="1"/>
      <protection locked="0"/>
    </xf>
    <xf numFmtId="39" fontId="155" fillId="2" borderId="12" xfId="0" applyFont="1" applyFill="1" applyBorder="1" applyAlignment="1" applyProtection="1">
      <alignment horizontal="center" vertical="center" textRotation="255" wrapText="1"/>
      <protection locked="0"/>
    </xf>
    <xf numFmtId="1" fontId="36" fillId="2" borderId="5" xfId="0" applyNumberFormat="1" applyFont="1" applyFill="1" applyBorder="1" applyAlignment="1" applyProtection="1">
      <alignment horizontal="center" vertical="center" wrapText="1"/>
      <protection locked="0"/>
    </xf>
    <xf numFmtId="39" fontId="150" fillId="0" borderId="5" xfId="0" applyFont="1" applyBorder="1" applyAlignment="1" applyProtection="1">
      <alignment horizontal="center" vertical="center" wrapText="1"/>
      <protection locked="0"/>
    </xf>
    <xf numFmtId="39" fontId="160" fillId="2" borderId="0" xfId="0" applyFont="1" applyFill="1" applyAlignment="1" applyProtection="1">
      <alignment horizontal="center" vertical="center"/>
      <protection locked="0"/>
    </xf>
    <xf numFmtId="1" fontId="36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36" fillId="2" borderId="12" xfId="0" applyNumberFormat="1" applyFont="1" applyFill="1" applyBorder="1" applyAlignment="1" applyProtection="1">
      <alignment horizontal="center" vertical="center" wrapText="1"/>
      <protection locked="0"/>
    </xf>
    <xf numFmtId="39" fontId="147" fillId="2" borderId="2" xfId="0" applyFont="1" applyFill="1" applyBorder="1" applyAlignment="1" applyProtection="1">
      <alignment horizontal="center" vertical="center"/>
      <protection locked="0"/>
    </xf>
    <xf numFmtId="39" fontId="36" fillId="10" borderId="5" xfId="0" applyFont="1" applyFill="1" applyBorder="1" applyAlignment="1" applyProtection="1">
      <alignment horizontal="center" vertical="center" wrapText="1"/>
      <protection locked="0"/>
    </xf>
    <xf numFmtId="39" fontId="36" fillId="2" borderId="5" xfId="0" applyFont="1" applyFill="1" applyBorder="1" applyAlignment="1">
      <alignment horizontal="center" vertical="center"/>
    </xf>
    <xf numFmtId="39" fontId="36" fillId="4" borderId="5" xfId="0" applyFont="1" applyFill="1" applyBorder="1" applyAlignment="1" applyProtection="1">
      <alignment horizontal="center" vertical="center" wrapText="1"/>
      <protection locked="0"/>
    </xf>
    <xf numFmtId="39" fontId="147" fillId="2" borderId="0" xfId="0" applyFont="1" applyFill="1" applyAlignment="1" applyProtection="1">
      <alignment horizontal="center" vertical="center"/>
      <protection locked="0"/>
    </xf>
    <xf numFmtId="1" fontId="205" fillId="29" borderId="56" xfId="0" applyNumberFormat="1" applyFont="1" applyFill="1" applyBorder="1" applyAlignment="1" applyProtection="1">
      <alignment horizontal="center" vertical="center"/>
      <protection locked="0"/>
    </xf>
    <xf numFmtId="1" fontId="205" fillId="29" borderId="61" xfId="0" applyNumberFormat="1" applyFont="1" applyFill="1" applyBorder="1" applyAlignment="1" applyProtection="1">
      <alignment horizontal="center" vertical="center"/>
      <protection locked="0"/>
    </xf>
    <xf numFmtId="1" fontId="205" fillId="29" borderId="62" xfId="0" applyNumberFormat="1" applyFont="1" applyFill="1" applyBorder="1" applyAlignment="1" applyProtection="1">
      <alignment horizontal="center" vertical="center"/>
      <protection locked="0"/>
    </xf>
    <xf numFmtId="1" fontId="205" fillId="29" borderId="57" xfId="0" applyNumberFormat="1" applyFont="1" applyFill="1" applyBorder="1" applyAlignment="1" applyProtection="1">
      <alignment horizontal="center" vertical="center"/>
      <protection locked="0"/>
    </xf>
    <xf numFmtId="1" fontId="205" fillId="29" borderId="58" xfId="0" applyNumberFormat="1" applyFont="1" applyFill="1" applyBorder="1" applyAlignment="1" applyProtection="1">
      <alignment horizontal="center" vertical="center"/>
      <protection locked="0"/>
    </xf>
    <xf numFmtId="39" fontId="205" fillId="10" borderId="56" xfId="0" applyFont="1" applyFill="1" applyBorder="1" applyAlignment="1">
      <alignment horizontal="center" vertical="center" wrapText="1"/>
    </xf>
    <xf numFmtId="39" fontId="205" fillId="10" borderId="57" xfId="0" applyFont="1" applyFill="1" applyBorder="1" applyAlignment="1">
      <alignment horizontal="center" vertical="center" wrapText="1"/>
    </xf>
    <xf numFmtId="39" fontId="205" fillId="10" borderId="58" xfId="0" applyFont="1" applyFill="1" applyBorder="1" applyAlignment="1">
      <alignment horizontal="center" vertical="center" wrapText="1"/>
    </xf>
    <xf numFmtId="39" fontId="36" fillId="4" borderId="6" xfId="0" applyFont="1" applyFill="1" applyBorder="1" applyAlignment="1" applyProtection="1">
      <alignment horizontal="center" vertical="center" wrapText="1"/>
      <protection locked="0"/>
    </xf>
    <xf numFmtId="39" fontId="36" fillId="4" borderId="11" xfId="0" applyFont="1" applyFill="1" applyBorder="1" applyAlignment="1" applyProtection="1">
      <alignment horizontal="center" vertical="center" wrapText="1"/>
      <protection locked="0"/>
    </xf>
    <xf numFmtId="39" fontId="36" fillId="4" borderId="12" xfId="0" applyFont="1" applyFill="1" applyBorder="1" applyAlignment="1" applyProtection="1">
      <alignment horizontal="center" vertical="center" wrapText="1"/>
      <protection locked="0"/>
    </xf>
    <xf numFmtId="39" fontId="147" fillId="2" borderId="0" xfId="0" applyFont="1" applyFill="1" applyAlignment="1">
      <alignment horizontal="center" vertical="center"/>
    </xf>
    <xf numFmtId="39" fontId="86" fillId="4" borderId="5" xfId="0" applyFont="1" applyFill="1" applyBorder="1" applyAlignment="1" applyProtection="1">
      <alignment horizontal="center" vertical="center" wrapText="1"/>
      <protection locked="0"/>
    </xf>
    <xf numFmtId="39" fontId="36" fillId="2" borderId="12" xfId="0" applyFont="1" applyFill="1" applyBorder="1" applyAlignment="1" applyProtection="1">
      <alignment horizontal="center" vertical="center" wrapText="1"/>
      <protection locked="0"/>
    </xf>
    <xf numFmtId="39" fontId="150" fillId="2" borderId="5" xfId="0" applyFont="1" applyFill="1" applyBorder="1" applyAlignment="1" applyProtection="1">
      <alignment horizontal="center" vertical="center" wrapText="1"/>
      <protection locked="0"/>
    </xf>
    <xf numFmtId="39" fontId="36" fillId="19" borderId="10" xfId="0" applyFont="1" applyFill="1" applyBorder="1" applyAlignment="1" applyProtection="1">
      <alignment horizontal="center" vertical="center" wrapText="1"/>
      <protection locked="0"/>
    </xf>
    <xf numFmtId="39" fontId="36" fillId="19" borderId="22" xfId="0" applyFont="1" applyFill="1" applyBorder="1" applyAlignment="1" applyProtection="1">
      <alignment horizontal="center" vertical="center" wrapText="1"/>
      <protection locked="0"/>
    </xf>
    <xf numFmtId="39" fontId="36" fillId="19" borderId="23" xfId="0" applyFont="1" applyFill="1" applyBorder="1" applyAlignment="1" applyProtection="1">
      <alignment horizontal="center" vertical="center" wrapText="1"/>
      <protection locked="0"/>
    </xf>
    <xf numFmtId="1" fontId="51" fillId="29" borderId="56" xfId="0" applyNumberFormat="1" applyFont="1" applyFill="1" applyBorder="1" applyAlignment="1" applyProtection="1">
      <alignment horizontal="center" vertical="center"/>
      <protection locked="0"/>
    </xf>
    <xf numFmtId="1" fontId="51" fillId="29" borderId="57" xfId="0" applyNumberFormat="1" applyFont="1" applyFill="1" applyBorder="1" applyAlignment="1" applyProtection="1">
      <alignment horizontal="center" vertical="center"/>
      <protection locked="0"/>
    </xf>
    <xf numFmtId="1" fontId="51" fillId="29" borderId="58" xfId="0" applyNumberFormat="1" applyFont="1" applyFill="1" applyBorder="1" applyAlignment="1" applyProtection="1">
      <alignment horizontal="center" vertical="center"/>
      <protection locked="0"/>
    </xf>
    <xf numFmtId="1" fontId="51" fillId="19" borderId="10" xfId="0" applyNumberFormat="1" applyFont="1" applyFill="1" applyBorder="1" applyAlignment="1" applyProtection="1">
      <alignment horizontal="center" vertical="center"/>
      <protection locked="0"/>
    </xf>
    <xf numFmtId="1" fontId="51" fillId="19" borderId="22" xfId="0" applyNumberFormat="1" applyFont="1" applyFill="1" applyBorder="1" applyAlignment="1" applyProtection="1">
      <alignment horizontal="center" vertical="center"/>
      <protection locked="0"/>
    </xf>
    <xf numFmtId="1" fontId="51" fillId="19" borderId="23" xfId="0" applyNumberFormat="1" applyFont="1" applyFill="1" applyBorder="1" applyAlignment="1" applyProtection="1">
      <alignment horizontal="center" vertical="center"/>
      <protection locked="0"/>
    </xf>
    <xf numFmtId="1" fontId="51" fillId="29" borderId="13" xfId="0" applyNumberFormat="1" applyFont="1" applyFill="1" applyBorder="1" applyAlignment="1" applyProtection="1">
      <alignment horizontal="center" vertical="center"/>
      <protection locked="0"/>
    </xf>
    <xf numFmtId="1" fontId="51" fillId="29" borderId="14" xfId="0" applyNumberFormat="1" applyFont="1" applyFill="1" applyBorder="1" applyAlignment="1" applyProtection="1">
      <alignment horizontal="center" vertical="center"/>
      <protection locked="0"/>
    </xf>
    <xf numFmtId="1" fontId="51" fillId="29" borderId="15" xfId="0" applyNumberFormat="1" applyFont="1" applyFill="1" applyBorder="1" applyAlignment="1" applyProtection="1">
      <alignment horizontal="center" vertical="center"/>
      <protection locked="0"/>
    </xf>
    <xf numFmtId="1" fontId="51" fillId="29" borderId="65" xfId="0" applyNumberFormat="1" applyFont="1" applyFill="1" applyBorder="1" applyAlignment="1" applyProtection="1">
      <alignment horizontal="center" vertical="center"/>
      <protection locked="0"/>
    </xf>
    <xf numFmtId="1" fontId="51" fillId="29" borderId="61" xfId="0" applyNumberFormat="1" applyFont="1" applyFill="1" applyBorder="1" applyAlignment="1" applyProtection="1">
      <alignment horizontal="center" vertical="center"/>
      <protection locked="0"/>
    </xf>
    <xf numFmtId="1" fontId="51" fillId="29" borderId="62" xfId="0" applyNumberFormat="1" applyFont="1" applyFill="1" applyBorder="1" applyAlignment="1" applyProtection="1">
      <alignment horizontal="center" vertical="center"/>
      <protection locked="0"/>
    </xf>
    <xf numFmtId="1" fontId="55" fillId="19" borderId="13" xfId="0" applyNumberFormat="1" applyFont="1" applyFill="1" applyBorder="1" applyAlignment="1" applyProtection="1">
      <alignment horizontal="center" vertical="center"/>
      <protection locked="0"/>
    </xf>
    <xf numFmtId="1" fontId="55" fillId="19" borderId="14" xfId="0" applyNumberFormat="1" applyFont="1" applyFill="1" applyBorder="1" applyAlignment="1" applyProtection="1">
      <alignment horizontal="center" vertical="center"/>
      <protection locked="0"/>
    </xf>
    <xf numFmtId="1" fontId="55" fillId="19" borderId="15" xfId="0" applyNumberFormat="1" applyFont="1" applyFill="1" applyBorder="1" applyAlignment="1" applyProtection="1">
      <alignment horizontal="center" vertical="center"/>
      <protection locked="0"/>
    </xf>
    <xf numFmtId="39" fontId="108" fillId="2" borderId="6" xfId="0" applyFont="1" applyFill="1" applyBorder="1" applyAlignment="1" applyProtection="1">
      <alignment horizontal="center" vertical="center" textRotation="255" wrapText="1"/>
      <protection locked="0"/>
    </xf>
    <xf numFmtId="39" fontId="108" fillId="2" borderId="11" xfId="0" applyFont="1" applyFill="1" applyBorder="1" applyAlignment="1" applyProtection="1">
      <alignment horizontal="center" vertical="center" textRotation="255" wrapText="1"/>
      <protection locked="0"/>
    </xf>
    <xf numFmtId="39" fontId="108" fillId="2" borderId="12" xfId="0" applyFont="1" applyFill="1" applyBorder="1" applyAlignment="1" applyProtection="1">
      <alignment horizontal="center" vertical="center" textRotation="255" wrapText="1"/>
      <protection locked="0"/>
    </xf>
    <xf numFmtId="39" fontId="100" fillId="10" borderId="10" xfId="0" applyFont="1" applyFill="1" applyBorder="1" applyAlignment="1">
      <alignment horizontal="center" vertical="center" wrapText="1"/>
    </xf>
    <xf numFmtId="39" fontId="100" fillId="10" borderId="22" xfId="0" applyFont="1" applyFill="1" applyBorder="1" applyAlignment="1">
      <alignment horizontal="center" vertical="center" wrapText="1"/>
    </xf>
    <xf numFmtId="39" fontId="100" fillId="10" borderId="23" xfId="0" applyFont="1" applyFill="1" applyBorder="1" applyAlignment="1">
      <alignment horizontal="center" vertical="center" wrapText="1"/>
    </xf>
    <xf numFmtId="39" fontId="145" fillId="2" borderId="2" xfId="0" applyFont="1" applyFill="1" applyBorder="1" applyAlignment="1" applyProtection="1">
      <alignment horizontal="center" vertical="center"/>
      <protection locked="0"/>
    </xf>
    <xf numFmtId="39" fontId="145" fillId="2" borderId="0" xfId="0" applyFont="1" applyFill="1" applyAlignment="1" applyProtection="1">
      <alignment horizontal="center" vertical="center"/>
      <protection locked="0"/>
    </xf>
    <xf numFmtId="39" fontId="145" fillId="2" borderId="0" xfId="0" applyFont="1" applyFill="1" applyAlignment="1">
      <alignment horizontal="center" vertical="center"/>
    </xf>
    <xf numFmtId="1" fontId="120" fillId="2" borderId="3" xfId="0" applyNumberFormat="1" applyFont="1" applyFill="1" applyBorder="1" applyAlignment="1" applyProtection="1">
      <alignment horizontal="center" vertical="center"/>
      <protection locked="0"/>
    </xf>
    <xf numFmtId="39" fontId="120" fillId="2" borderId="2" xfId="0" applyFont="1" applyFill="1" applyBorder="1" applyAlignment="1" applyProtection="1">
      <alignment horizontal="center" vertical="center"/>
      <protection locked="0"/>
    </xf>
    <xf numFmtId="39" fontId="120" fillId="2" borderId="0" xfId="0" applyFont="1" applyFill="1" applyAlignment="1">
      <alignment horizontal="center" vertical="center"/>
    </xf>
    <xf numFmtId="39" fontId="121" fillId="2" borderId="0" xfId="0" applyFont="1" applyFill="1" applyAlignment="1" applyProtection="1">
      <alignment horizontal="left" vertical="center"/>
      <protection locked="0"/>
    </xf>
    <xf numFmtId="39" fontId="120" fillId="2" borderId="3" xfId="0" applyFont="1" applyFill="1" applyBorder="1" applyAlignment="1">
      <alignment horizontal="center" vertical="center"/>
    </xf>
    <xf numFmtId="39" fontId="120" fillId="2" borderId="0" xfId="0" applyFont="1" applyFill="1" applyAlignment="1" applyProtection="1">
      <alignment horizontal="center" vertical="center"/>
      <protection locked="0"/>
    </xf>
    <xf numFmtId="39" fontId="38" fillId="2" borderId="5" xfId="0" applyFont="1" applyFill="1" applyBorder="1" applyAlignment="1" applyProtection="1">
      <alignment horizontal="center" vertical="center" textRotation="90" wrapText="1"/>
      <protection locked="0"/>
    </xf>
    <xf numFmtId="39" fontId="124" fillId="2" borderId="0" xfId="0" applyFont="1" applyFill="1" applyAlignment="1">
      <alignment horizontal="center" vertical="center"/>
    </xf>
    <xf numFmtId="0" fontId="124" fillId="2" borderId="0" xfId="2" applyFont="1" applyFill="1" applyAlignment="1" applyProtection="1">
      <alignment horizontal="center"/>
      <protection hidden="1"/>
    </xf>
    <xf numFmtId="1" fontId="38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38" fillId="2" borderId="12" xfId="0" applyNumberFormat="1" applyFont="1" applyFill="1" applyBorder="1" applyAlignment="1" applyProtection="1">
      <alignment horizontal="center" vertical="center" wrapText="1"/>
      <protection locked="0"/>
    </xf>
    <xf numFmtId="39" fontId="38" fillId="2" borderId="6" xfId="0" applyFont="1" applyFill="1" applyBorder="1" applyAlignment="1" applyProtection="1">
      <alignment horizontal="center" vertical="center" wrapText="1"/>
      <protection locked="0"/>
    </xf>
    <xf numFmtId="39" fontId="38" fillId="2" borderId="12" xfId="0" applyFont="1" applyFill="1" applyBorder="1" applyAlignment="1" applyProtection="1">
      <alignment horizontal="center" vertical="center" wrapText="1"/>
      <protection locked="0"/>
    </xf>
    <xf numFmtId="39" fontId="38" fillId="2" borderId="11" xfId="0" applyFont="1" applyFill="1" applyBorder="1" applyAlignment="1" applyProtection="1">
      <alignment horizontal="center" vertical="center" wrapText="1"/>
      <protection locked="0"/>
    </xf>
    <xf numFmtId="0" fontId="56" fillId="4" borderId="5" xfId="9" applyFont="1" applyFill="1" applyBorder="1" applyAlignment="1" applyProtection="1">
      <alignment horizontal="center" vertical="center"/>
      <protection hidden="1"/>
    </xf>
    <xf numFmtId="0" fontId="56" fillId="0" borderId="5" xfId="9" applyFont="1" applyBorder="1" applyAlignment="1" applyProtection="1">
      <alignment horizontal="center" vertical="center"/>
      <protection hidden="1"/>
    </xf>
    <xf numFmtId="0" fontId="66" fillId="6" borderId="5" xfId="9" applyFont="1" applyFill="1" applyBorder="1" applyAlignment="1" applyProtection="1">
      <alignment horizontal="center" vertical="center" textRotation="255"/>
      <protection hidden="1"/>
    </xf>
    <xf numFmtId="0" fontId="67" fillId="0" borderId="5" xfId="9" applyFont="1" applyBorder="1" applyAlignment="1" applyProtection="1">
      <alignment horizontal="center" vertical="center" wrapText="1"/>
      <protection hidden="1"/>
    </xf>
    <xf numFmtId="0" fontId="56" fillId="0" borderId="5" xfId="9" applyFont="1" applyBorder="1" applyAlignment="1" applyProtection="1">
      <alignment horizontal="center" vertical="center" textRotation="90"/>
      <protection hidden="1"/>
    </xf>
    <xf numFmtId="0" fontId="68" fillId="6" borderId="5" xfId="9" applyFont="1" applyFill="1" applyBorder="1" applyAlignment="1">
      <alignment horizontal="center" vertical="center" textRotation="90"/>
    </xf>
    <xf numFmtId="0" fontId="21" fillId="11" borderId="5" xfId="9" applyFont="1" applyFill="1" applyBorder="1" applyAlignment="1" applyProtection="1">
      <alignment horizontal="center" vertical="center" textRotation="90"/>
      <protection hidden="1"/>
    </xf>
    <xf numFmtId="0" fontId="56" fillId="4" borderId="5" xfId="9" applyFont="1" applyFill="1" applyBorder="1" applyAlignment="1" applyProtection="1">
      <alignment horizontal="center" vertical="center" textRotation="90"/>
      <protection hidden="1"/>
    </xf>
    <xf numFmtId="0" fontId="56" fillId="2" borderId="5" xfId="9" applyFont="1" applyFill="1" applyBorder="1" applyAlignment="1" applyProtection="1">
      <alignment horizontal="center" vertical="center"/>
      <protection hidden="1"/>
    </xf>
    <xf numFmtId="0" fontId="21" fillId="13" borderId="5" xfId="9" applyFont="1" applyFill="1" applyBorder="1" applyAlignment="1" applyProtection="1">
      <alignment horizontal="center" vertical="center" textRotation="90"/>
      <protection hidden="1"/>
    </xf>
    <xf numFmtId="0" fontId="56" fillId="4" borderId="5" xfId="9" applyFont="1" applyFill="1" applyBorder="1" applyAlignment="1">
      <alignment horizontal="center" vertical="center" textRotation="90"/>
    </xf>
    <xf numFmtId="0" fontId="56" fillId="0" borderId="5" xfId="9" applyFont="1" applyBorder="1" applyAlignment="1" applyProtection="1">
      <alignment horizontal="center" vertical="center" textRotation="90" wrapText="1"/>
      <protection hidden="1"/>
    </xf>
    <xf numFmtId="4" fontId="56" fillId="0" borderId="5" xfId="9" applyNumberFormat="1" applyFont="1" applyBorder="1" applyAlignment="1" applyProtection="1">
      <alignment horizontal="center" vertical="center" textRotation="90"/>
      <protection hidden="1"/>
    </xf>
    <xf numFmtId="0" fontId="56" fillId="9" borderId="5" xfId="9" applyFont="1" applyFill="1" applyBorder="1" applyAlignment="1" applyProtection="1">
      <alignment horizontal="center" vertical="center"/>
      <protection hidden="1"/>
    </xf>
    <xf numFmtId="0" fontId="66" fillId="7" borderId="5" xfId="9" applyFont="1" applyFill="1" applyBorder="1" applyAlignment="1" applyProtection="1">
      <alignment horizontal="center" vertical="center" textRotation="90"/>
      <protection hidden="1"/>
    </xf>
    <xf numFmtId="172" fontId="56" fillId="0" borderId="5" xfId="6" applyNumberFormat="1" applyFont="1" applyBorder="1" applyAlignment="1" applyProtection="1">
      <alignment horizontal="center" vertical="center" textRotation="90"/>
      <protection hidden="1"/>
    </xf>
    <xf numFmtId="0" fontId="69" fillId="6" borderId="5" xfId="9" applyFont="1" applyFill="1" applyBorder="1" applyAlignment="1" applyProtection="1">
      <alignment horizontal="center" vertical="center" textRotation="90"/>
      <protection hidden="1"/>
    </xf>
    <xf numFmtId="0" fontId="21" fillId="2" borderId="6" xfId="9" applyFont="1" applyFill="1" applyBorder="1" applyAlignment="1" applyProtection="1">
      <alignment horizontal="center" vertical="center" textRotation="90" wrapText="1"/>
      <protection hidden="1"/>
    </xf>
    <xf numFmtId="0" fontId="21" fillId="2" borderId="11" xfId="9" applyFont="1" applyFill="1" applyBorder="1" applyAlignment="1" applyProtection="1">
      <alignment horizontal="center" vertical="center" textRotation="90" wrapText="1"/>
      <protection hidden="1"/>
    </xf>
    <xf numFmtId="0" fontId="21" fillId="2" borderId="12" xfId="9" applyFont="1" applyFill="1" applyBorder="1" applyAlignment="1" applyProtection="1">
      <alignment horizontal="center" vertical="center" textRotation="90" wrapText="1"/>
      <protection hidden="1"/>
    </xf>
    <xf numFmtId="1" fontId="50" fillId="0" borderId="5" xfId="9" applyNumberFormat="1" applyFont="1" applyBorder="1" applyAlignment="1" applyProtection="1">
      <alignment horizontal="center" vertical="center" wrapText="1"/>
      <protection hidden="1"/>
    </xf>
    <xf numFmtId="4" fontId="37" fillId="0" borderId="5" xfId="9" applyNumberFormat="1" applyFont="1" applyBorder="1" applyAlignment="1" applyProtection="1">
      <alignment horizontal="center" vertical="center" wrapText="1"/>
      <protection hidden="1"/>
    </xf>
    <xf numFmtId="1" fontId="56" fillId="0" borderId="5" xfId="9" applyNumberFormat="1" applyFont="1" applyBorder="1" applyAlignment="1" applyProtection="1">
      <alignment horizontal="center" vertical="center" textRotation="90"/>
      <protection hidden="1"/>
    </xf>
    <xf numFmtId="1" fontId="70" fillId="0" borderId="5" xfId="6" applyNumberFormat="1" applyFont="1" applyBorder="1" applyAlignment="1" applyProtection="1">
      <alignment horizontal="center" vertical="center" textRotation="90"/>
      <protection hidden="1"/>
    </xf>
    <xf numFmtId="170" fontId="70" fillId="0" borderId="5" xfId="6" applyFont="1" applyBorder="1" applyAlignment="1" applyProtection="1">
      <alignment horizontal="center" vertical="center"/>
      <protection hidden="1"/>
    </xf>
    <xf numFmtId="3" fontId="56" fillId="0" borderId="5" xfId="9" applyNumberFormat="1" applyFont="1" applyBorder="1" applyAlignment="1" applyProtection="1">
      <alignment horizontal="center" vertical="center" textRotation="90"/>
      <protection hidden="1"/>
    </xf>
    <xf numFmtId="3" fontId="56" fillId="2" borderId="5" xfId="9" applyNumberFormat="1" applyFont="1" applyFill="1" applyBorder="1" applyAlignment="1" applyProtection="1">
      <alignment horizontal="center" vertical="center" textRotation="90"/>
      <protection hidden="1"/>
    </xf>
    <xf numFmtId="39" fontId="44" fillId="0" borderId="0" xfId="0" applyFont="1" applyAlignment="1">
      <alignment horizontal="center" vertical="center"/>
    </xf>
    <xf numFmtId="0" fontId="125" fillId="2" borderId="0" xfId="2" applyFont="1" applyFill="1" applyAlignment="1" applyProtection="1">
      <alignment horizontal="center"/>
      <protection hidden="1"/>
    </xf>
    <xf numFmtId="39" fontId="37" fillId="4" borderId="10" xfId="0" applyFont="1" applyFill="1" applyBorder="1" applyAlignment="1" applyProtection="1">
      <alignment horizontal="center" vertical="center"/>
      <protection locked="0"/>
    </xf>
    <xf numFmtId="39" fontId="37" fillId="4" borderId="22" xfId="0" applyFont="1" applyFill="1" applyBorder="1" applyAlignment="1" applyProtection="1">
      <alignment horizontal="center" vertical="center"/>
      <protection locked="0"/>
    </xf>
    <xf numFmtId="39" fontId="37" fillId="4" borderId="23" xfId="0" applyFont="1" applyFill="1" applyBorder="1" applyAlignment="1" applyProtection="1">
      <alignment horizontal="center" vertical="center"/>
      <protection locked="0"/>
    </xf>
    <xf numFmtId="39" fontId="125" fillId="2" borderId="0" xfId="0" applyFont="1" applyFill="1" applyAlignment="1">
      <alignment horizontal="center" vertical="center"/>
    </xf>
    <xf numFmtId="39" fontId="38" fillId="2" borderId="6" xfId="0" applyFont="1" applyFill="1" applyBorder="1" applyAlignment="1" applyProtection="1">
      <alignment horizontal="center" vertical="center" textRotation="255" wrapText="1"/>
      <protection locked="0"/>
    </xf>
    <xf numFmtId="39" fontId="38" fillId="2" borderId="11" xfId="0" applyFont="1" applyFill="1" applyBorder="1" applyAlignment="1" applyProtection="1">
      <alignment horizontal="center" vertical="center" textRotation="255" wrapText="1"/>
      <protection locked="0"/>
    </xf>
    <xf numFmtId="39" fontId="38" fillId="2" borderId="12" xfId="0" applyFont="1" applyFill="1" applyBorder="1" applyAlignment="1" applyProtection="1">
      <alignment horizontal="center" vertical="center" textRotation="255" wrapText="1"/>
      <protection locked="0"/>
    </xf>
    <xf numFmtId="39" fontId="38" fillId="2" borderId="5" xfId="0" applyFont="1" applyFill="1" applyBorder="1" applyAlignment="1" applyProtection="1">
      <alignment horizontal="center" vertical="center" textRotation="255" wrapText="1"/>
      <protection locked="0"/>
    </xf>
    <xf numFmtId="39" fontId="86" fillId="2" borderId="5" xfId="0" applyFont="1" applyFill="1" applyBorder="1" applyAlignment="1" applyProtection="1">
      <alignment horizontal="center" vertical="center" wrapText="1"/>
      <protection locked="0"/>
    </xf>
    <xf numFmtId="39" fontId="138" fillId="2" borderId="5" xfId="0" applyFont="1" applyFill="1" applyBorder="1" applyAlignment="1" applyProtection="1">
      <alignment horizontal="center" vertical="center" wrapText="1"/>
      <protection locked="0"/>
    </xf>
    <xf numFmtId="39" fontId="38" fillId="32" borderId="6" xfId="0" applyFont="1" applyFill="1" applyBorder="1" applyAlignment="1" applyProtection="1">
      <alignment horizontal="center" vertical="center" wrapText="1"/>
      <protection locked="0"/>
    </xf>
    <xf numFmtId="39" fontId="38" fillId="32" borderId="11" xfId="0" applyFont="1" applyFill="1" applyBorder="1" applyAlignment="1" applyProtection="1">
      <alignment horizontal="center" vertical="center" wrapText="1"/>
      <protection locked="0"/>
    </xf>
    <xf numFmtId="39" fontId="38" fillId="32" borderId="12" xfId="0" applyFont="1" applyFill="1" applyBorder="1" applyAlignment="1" applyProtection="1">
      <alignment horizontal="center" vertical="center" wrapText="1"/>
      <protection locked="0"/>
    </xf>
    <xf numFmtId="39" fontId="100" fillId="2" borderId="10" xfId="0" applyFont="1" applyFill="1" applyBorder="1" applyAlignment="1" applyProtection="1">
      <alignment horizontal="center" vertical="center"/>
      <protection locked="0"/>
    </xf>
    <xf numFmtId="39" fontId="100" fillId="2" borderId="22" xfId="0" applyFont="1" applyFill="1" applyBorder="1" applyAlignment="1" applyProtection="1">
      <alignment horizontal="center" vertical="center"/>
      <protection locked="0"/>
    </xf>
    <xf numFmtId="39" fontId="100" fillId="2" borderId="23" xfId="0" applyFont="1" applyFill="1" applyBorder="1" applyAlignment="1" applyProtection="1">
      <alignment horizontal="center" vertical="center"/>
      <protection locked="0"/>
    </xf>
    <xf numFmtId="1" fontId="100" fillId="2" borderId="66" xfId="0" applyNumberFormat="1" applyFont="1" applyFill="1" applyBorder="1" applyAlignment="1" applyProtection="1">
      <alignment horizontal="center" vertical="center"/>
      <protection locked="0"/>
    </xf>
    <xf numFmtId="1" fontId="100" fillId="2" borderId="67" xfId="0" applyNumberFormat="1" applyFont="1" applyFill="1" applyBorder="1" applyAlignment="1" applyProtection="1">
      <alignment horizontal="center" vertical="center"/>
      <protection locked="0"/>
    </xf>
    <xf numFmtId="1" fontId="100" fillId="2" borderId="68" xfId="0" applyNumberFormat="1" applyFont="1" applyFill="1" applyBorder="1" applyAlignment="1" applyProtection="1">
      <alignment horizontal="center" vertical="center"/>
      <protection locked="0"/>
    </xf>
    <xf numFmtId="39" fontId="38" fillId="21" borderId="5" xfId="0" applyFont="1" applyFill="1" applyBorder="1" applyAlignment="1" applyProtection="1">
      <alignment horizontal="center" vertical="center" wrapText="1"/>
      <protection locked="0"/>
    </xf>
    <xf numFmtId="39" fontId="42" fillId="2" borderId="0" xfId="0" applyFont="1" applyFill="1" applyAlignment="1">
      <alignment horizontal="center" vertical="center"/>
    </xf>
    <xf numFmtId="1" fontId="42" fillId="2" borderId="0" xfId="0" applyNumberFormat="1" applyFont="1" applyFill="1" applyAlignment="1" applyProtection="1">
      <alignment horizontal="center" vertical="center"/>
      <protection locked="0"/>
    </xf>
    <xf numFmtId="39" fontId="37" fillId="2" borderId="17" xfId="0" applyFont="1" applyFill="1" applyBorder="1" applyAlignment="1" applyProtection="1">
      <alignment horizontal="center" vertical="center"/>
      <protection locked="0"/>
    </xf>
    <xf numFmtId="39" fontId="138" fillId="2" borderId="6" xfId="0" applyFont="1" applyFill="1" applyBorder="1" applyAlignment="1" applyProtection="1">
      <alignment horizontal="center" vertical="center" wrapText="1"/>
      <protection locked="0"/>
    </xf>
    <xf numFmtId="39" fontId="138" fillId="2" borderId="11" xfId="0" applyFont="1" applyFill="1" applyBorder="1" applyAlignment="1" applyProtection="1">
      <alignment horizontal="center" vertical="center" wrapText="1"/>
      <protection locked="0"/>
    </xf>
    <xf numFmtId="39" fontId="138" fillId="2" borderId="12" xfId="0" applyFont="1" applyFill="1" applyBorder="1" applyAlignment="1" applyProtection="1">
      <alignment horizontal="center" vertical="center" wrapText="1"/>
      <protection locked="0"/>
    </xf>
    <xf numFmtId="39" fontId="38" fillId="2" borderId="10" xfId="0" applyFont="1" applyFill="1" applyBorder="1" applyAlignment="1">
      <alignment horizontal="center" vertical="center"/>
    </xf>
    <xf numFmtId="39" fontId="38" fillId="2" borderId="22" xfId="0" applyFont="1" applyFill="1" applyBorder="1" applyAlignment="1">
      <alignment horizontal="center" vertical="center"/>
    </xf>
    <xf numFmtId="39" fontId="38" fillId="2" borderId="23" xfId="0" applyFont="1" applyFill="1" applyBorder="1" applyAlignment="1">
      <alignment horizontal="center" vertical="center"/>
    </xf>
    <xf numFmtId="39" fontId="79" fillId="2" borderId="6" xfId="0" applyFont="1" applyFill="1" applyBorder="1" applyAlignment="1" applyProtection="1">
      <alignment horizontal="center" vertical="center" wrapText="1"/>
      <protection locked="0"/>
    </xf>
    <xf numFmtId="39" fontId="79" fillId="2" borderId="11" xfId="0" applyFont="1" applyFill="1" applyBorder="1" applyAlignment="1" applyProtection="1">
      <alignment horizontal="center" vertical="center" wrapText="1"/>
      <protection locked="0"/>
    </xf>
    <xf numFmtId="39" fontId="79" fillId="2" borderId="12" xfId="0" applyFont="1" applyFill="1" applyBorder="1" applyAlignment="1" applyProtection="1">
      <alignment horizontal="center" vertical="center" wrapText="1"/>
      <protection locked="0"/>
    </xf>
    <xf numFmtId="39" fontId="38" fillId="2" borderId="10" xfId="0" applyFont="1" applyFill="1" applyBorder="1" applyAlignment="1" applyProtection="1">
      <alignment horizontal="center" vertical="center" wrapText="1"/>
      <protection locked="0"/>
    </xf>
    <xf numFmtId="39" fontId="38" fillId="2" borderId="22" xfId="0" applyFont="1" applyFill="1" applyBorder="1" applyAlignment="1" applyProtection="1">
      <alignment horizontal="center" vertical="center" wrapText="1"/>
      <protection locked="0"/>
    </xf>
    <xf numFmtId="39" fontId="38" fillId="2" borderId="23" xfId="0" applyFont="1" applyFill="1" applyBorder="1" applyAlignment="1" applyProtection="1">
      <alignment horizontal="center" vertical="center" wrapText="1"/>
      <protection locked="0"/>
    </xf>
    <xf numFmtId="0" fontId="119" fillId="0" borderId="0" xfId="9" applyFont="1" applyAlignment="1" applyProtection="1">
      <alignment horizontal="center" vertical="center"/>
      <protection hidden="1"/>
    </xf>
    <xf numFmtId="39" fontId="42" fillId="2" borderId="0" xfId="0" applyFont="1" applyFill="1" applyAlignment="1" applyProtection="1">
      <alignment horizontal="left" vertical="center" indent="13"/>
      <protection locked="0"/>
    </xf>
    <xf numFmtId="0" fontId="100" fillId="0" borderId="53" xfId="9" applyFont="1" applyBorder="1" applyAlignment="1" applyProtection="1">
      <alignment horizontal="center" vertical="center" wrapText="1"/>
      <protection hidden="1"/>
    </xf>
    <xf numFmtId="0" fontId="100" fillId="0" borderId="54" xfId="9" applyFont="1" applyBorder="1" applyAlignment="1" applyProtection="1">
      <alignment horizontal="center" vertical="center" wrapText="1"/>
      <protection hidden="1"/>
    </xf>
    <xf numFmtId="0" fontId="132" fillId="0" borderId="38" xfId="9" applyFont="1" applyBorder="1" applyAlignment="1" applyProtection="1">
      <alignment horizontal="center" vertical="center"/>
      <protection hidden="1"/>
    </xf>
    <xf numFmtId="0" fontId="132" fillId="0" borderId="35" xfId="9" applyFont="1" applyBorder="1" applyAlignment="1" applyProtection="1">
      <alignment horizontal="center" vertical="center"/>
      <protection hidden="1"/>
    </xf>
    <xf numFmtId="0" fontId="132" fillId="0" borderId="34" xfId="9" applyFont="1" applyBorder="1" applyAlignment="1" applyProtection="1">
      <alignment horizontal="center" vertical="center"/>
      <protection hidden="1"/>
    </xf>
    <xf numFmtId="0" fontId="132" fillId="0" borderId="33" xfId="9" applyFont="1" applyBorder="1" applyAlignment="1" applyProtection="1">
      <alignment horizontal="center" vertical="center"/>
      <protection hidden="1"/>
    </xf>
    <xf numFmtId="1" fontId="132" fillId="0" borderId="37" xfId="9" applyNumberFormat="1" applyFont="1" applyBorder="1" applyAlignment="1" applyProtection="1">
      <alignment horizontal="center" vertical="center" wrapText="1"/>
      <protection hidden="1"/>
    </xf>
    <xf numFmtId="1" fontId="132" fillId="0" borderId="12" xfId="9" applyNumberFormat="1" applyFont="1" applyBorder="1" applyAlignment="1" applyProtection="1">
      <alignment horizontal="center" vertical="center" wrapText="1"/>
      <protection hidden="1"/>
    </xf>
    <xf numFmtId="4" fontId="132" fillId="0" borderId="39" xfId="9" applyNumberFormat="1" applyFont="1" applyBorder="1" applyAlignment="1" applyProtection="1">
      <alignment horizontal="center" vertical="center" wrapText="1"/>
      <protection hidden="1"/>
    </xf>
    <xf numFmtId="4" fontId="132" fillId="0" borderId="36" xfId="9" applyNumberFormat="1" applyFont="1" applyBorder="1" applyAlignment="1" applyProtection="1">
      <alignment horizontal="center" vertical="center" wrapText="1"/>
      <protection hidden="1"/>
    </xf>
    <xf numFmtId="39" fontId="141" fillId="0" borderId="0" xfId="0" applyFont="1" applyAlignment="1">
      <alignment horizontal="center"/>
    </xf>
    <xf numFmtId="39" fontId="139" fillId="0" borderId="0" xfId="0" applyFont="1" applyAlignment="1">
      <alignment horizontal="center"/>
    </xf>
    <xf numFmtId="39" fontId="140" fillId="0" borderId="3" xfId="0" applyFont="1" applyBorder="1" applyAlignment="1">
      <alignment horizontal="center"/>
    </xf>
    <xf numFmtId="39" fontId="38" fillId="2" borderId="6" xfId="0" applyFont="1" applyFill="1" applyBorder="1" applyAlignment="1" applyProtection="1">
      <alignment horizontal="center" vertical="center" textRotation="255"/>
      <protection locked="0"/>
    </xf>
    <xf numFmtId="39" fontId="38" fillId="2" borderId="11" xfId="0" applyFont="1" applyFill="1" applyBorder="1" applyAlignment="1" applyProtection="1">
      <alignment horizontal="center" vertical="center" textRotation="255"/>
      <protection locked="0"/>
    </xf>
    <xf numFmtId="39" fontId="38" fillId="2" borderId="12" xfId="0" applyFont="1" applyFill="1" applyBorder="1" applyAlignment="1" applyProtection="1">
      <alignment horizontal="center" vertical="center" textRotation="255"/>
      <protection locked="0"/>
    </xf>
    <xf numFmtId="0" fontId="55" fillId="0" borderId="0" xfId="9" applyFont="1" applyAlignment="1" applyProtection="1">
      <alignment horizontal="center" vertical="center"/>
      <protection hidden="1"/>
    </xf>
    <xf numFmtId="0" fontId="55" fillId="0" borderId="0" xfId="9" applyFont="1" applyAlignment="1" applyProtection="1">
      <alignment horizontal="center"/>
      <protection hidden="1"/>
    </xf>
    <xf numFmtId="39" fontId="55" fillId="0" borderId="0" xfId="9" applyNumberFormat="1" applyFont="1" applyAlignment="1" applyProtection="1">
      <alignment horizontal="center"/>
      <protection hidden="1"/>
    </xf>
    <xf numFmtId="170" fontId="26" fillId="0" borderId="29" xfId="9" applyNumberFormat="1" applyFont="1" applyBorder="1" applyAlignment="1">
      <alignment horizontal="center" vertical="center"/>
    </xf>
    <xf numFmtId="170" fontId="26" fillId="0" borderId="0" xfId="9" applyNumberFormat="1" applyFont="1" applyAlignment="1">
      <alignment horizontal="center" vertical="center"/>
    </xf>
    <xf numFmtId="4" fontId="18" fillId="0" borderId="26" xfId="9" applyNumberFormat="1" applyFont="1" applyBorder="1" applyAlignment="1">
      <alignment horizontal="center" vertical="center"/>
    </xf>
    <xf numFmtId="4" fontId="18" fillId="0" borderId="27" xfId="9" applyNumberFormat="1" applyFont="1" applyBorder="1" applyAlignment="1">
      <alignment horizontal="center" vertical="center"/>
    </xf>
    <xf numFmtId="0" fontId="71" fillId="2" borderId="6" xfId="9" applyFont="1" applyFill="1" applyBorder="1" applyAlignment="1" applyProtection="1">
      <alignment horizontal="center" vertical="center"/>
      <protection hidden="1"/>
    </xf>
    <xf numFmtId="0" fontId="71" fillId="2" borderId="12" xfId="9" applyFont="1" applyFill="1" applyBorder="1" applyAlignment="1" applyProtection="1">
      <alignment horizontal="center" vertical="center"/>
      <protection hidden="1"/>
    </xf>
    <xf numFmtId="0" fontId="56" fillId="2" borderId="5" xfId="9" applyFont="1" applyFill="1" applyBorder="1" applyAlignment="1">
      <alignment horizontal="center" vertical="center" textRotation="90"/>
    </xf>
    <xf numFmtId="0" fontId="56" fillId="2" borderId="5" xfId="9" applyFont="1" applyFill="1" applyBorder="1" applyAlignment="1" applyProtection="1">
      <alignment horizontal="center" vertical="center" textRotation="90"/>
      <protection hidden="1"/>
    </xf>
    <xf numFmtId="39" fontId="136" fillId="0" borderId="0" xfId="0" applyFont="1" applyAlignment="1">
      <alignment horizontal="center"/>
    </xf>
    <xf numFmtId="39" fontId="52" fillId="0" borderId="2" xfId="0" applyFont="1" applyBorder="1" applyAlignment="1">
      <alignment horizontal="center"/>
    </xf>
    <xf numFmtId="39" fontId="55" fillId="0" borderId="47" xfId="0" applyFont="1" applyBorder="1" applyAlignment="1">
      <alignment horizontal="left" vertical="center"/>
    </xf>
    <xf numFmtId="39" fontId="55" fillId="0" borderId="25" xfId="0" applyFont="1" applyBorder="1" applyAlignment="1">
      <alignment horizontal="left" vertical="center"/>
    </xf>
    <xf numFmtId="39" fontId="55" fillId="2" borderId="47" xfId="0" applyFont="1" applyFill="1" applyBorder="1" applyAlignment="1">
      <alignment horizontal="left" vertical="center"/>
    </xf>
    <xf numFmtId="39" fontId="55" fillId="2" borderId="25" xfId="0" applyFont="1" applyFill="1" applyBorder="1" applyAlignment="1">
      <alignment horizontal="left" vertical="center"/>
    </xf>
    <xf numFmtId="39" fontId="52" fillId="0" borderId="0" xfId="0" applyFont="1" applyAlignment="1">
      <alignment horizontal="center"/>
    </xf>
    <xf numFmtId="39" fontId="0" fillId="0" borderId="0" xfId="0" applyAlignment="1">
      <alignment horizontal="center"/>
    </xf>
    <xf numFmtId="39" fontId="0" fillId="0" borderId="3" xfId="0" applyBorder="1" applyAlignment="1">
      <alignment horizontal="center"/>
    </xf>
    <xf numFmtId="39" fontId="130" fillId="0" borderId="40" xfId="0" applyFont="1" applyBorder="1" applyAlignment="1">
      <alignment horizontal="center" vertical="center"/>
    </xf>
    <xf numFmtId="39" fontId="130" fillId="0" borderId="41" xfId="0" applyFont="1" applyBorder="1" applyAlignment="1">
      <alignment horizontal="center" vertical="center"/>
    </xf>
    <xf numFmtId="39" fontId="100" fillId="0" borderId="43" xfId="0" applyFont="1" applyBorder="1" applyAlignment="1">
      <alignment horizontal="center"/>
    </xf>
    <xf numFmtId="39" fontId="100" fillId="0" borderId="44" xfId="0" applyFont="1" applyBorder="1" applyAlignment="1">
      <alignment horizontal="center"/>
    </xf>
    <xf numFmtId="39" fontId="181" fillId="2" borderId="0" xfId="0" applyFont="1" applyFill="1" applyAlignment="1">
      <alignment horizontal="center" vertical="center"/>
    </xf>
    <xf numFmtId="1" fontId="38" fillId="19" borderId="5" xfId="0" applyNumberFormat="1" applyFont="1" applyFill="1" applyBorder="1" applyAlignment="1" applyProtection="1">
      <alignment horizontal="center" vertical="center" wrapText="1"/>
      <protection locked="0"/>
    </xf>
    <xf numFmtId="39" fontId="125" fillId="2" borderId="0" xfId="0" applyFont="1" applyFill="1" applyAlignment="1">
      <alignment horizontal="center"/>
    </xf>
    <xf numFmtId="39" fontId="42" fillId="2" borderId="0" xfId="0" applyFont="1" applyFill="1" applyAlignment="1">
      <alignment horizontal="left" vertical="center"/>
    </xf>
    <xf numFmtId="39" fontId="166" fillId="0" borderId="0" xfId="0" applyFont="1" applyAlignment="1">
      <alignment horizontal="center"/>
    </xf>
    <xf numFmtId="39" fontId="174" fillId="0" borderId="0" xfId="0" applyFont="1" applyAlignment="1">
      <alignment horizontal="center"/>
    </xf>
    <xf numFmtId="39" fontId="37" fillId="2" borderId="18" xfId="0" applyFont="1" applyFill="1" applyBorder="1" applyAlignment="1" applyProtection="1">
      <alignment horizontal="center" vertical="center"/>
      <protection locked="0"/>
    </xf>
    <xf numFmtId="39" fontId="125" fillId="2" borderId="0" xfId="0" applyFont="1" applyFill="1" applyAlignment="1" applyProtection="1">
      <alignment horizontal="center" vertical="center"/>
      <protection locked="0"/>
    </xf>
    <xf numFmtId="39" fontId="59" fillId="5" borderId="6" xfId="0" applyFont="1" applyFill="1" applyBorder="1" applyAlignment="1" applyProtection="1">
      <alignment horizontal="center" vertical="center" wrapText="1"/>
      <protection locked="0"/>
    </xf>
    <xf numFmtId="39" fontId="59" fillId="5" borderId="11" xfId="0" applyFont="1" applyFill="1" applyBorder="1" applyAlignment="1" applyProtection="1">
      <alignment horizontal="center" vertical="center" wrapText="1"/>
      <protection locked="0"/>
    </xf>
    <xf numFmtId="39" fontId="59" fillId="5" borderId="12" xfId="0" applyFont="1" applyFill="1" applyBorder="1" applyAlignment="1" applyProtection="1">
      <alignment horizontal="center" vertical="center" wrapText="1"/>
      <protection locked="0"/>
    </xf>
    <xf numFmtId="0" fontId="20" fillId="0" borderId="2" xfId="5" applyFont="1" applyBorder="1" applyAlignment="1">
      <alignment horizontal="center"/>
    </xf>
    <xf numFmtId="0" fontId="20" fillId="0" borderId="0" xfId="5" applyFont="1" applyAlignment="1">
      <alignment horizontal="center"/>
    </xf>
    <xf numFmtId="39" fontId="0" fillId="0" borderId="2" xfId="0" applyBorder="1" applyAlignment="1">
      <alignment horizontal="center"/>
    </xf>
    <xf numFmtId="0" fontId="36" fillId="0" borderId="0" xfId="5" applyFont="1" applyAlignment="1" applyProtection="1">
      <alignment horizontal="center" vertical="center"/>
      <protection hidden="1"/>
    </xf>
    <xf numFmtId="0" fontId="36" fillId="0" borderId="0" xfId="5" applyFont="1" applyAlignment="1" applyProtection="1">
      <alignment horizontal="center"/>
      <protection hidden="1"/>
    </xf>
    <xf numFmtId="0" fontId="48" fillId="4" borderId="5" xfId="9" applyFont="1" applyFill="1" applyBorder="1" applyAlignment="1" applyProtection="1">
      <alignment horizontal="center" vertical="center"/>
      <protection hidden="1"/>
    </xf>
    <xf numFmtId="0" fontId="60" fillId="6" borderId="5" xfId="9" applyFont="1" applyFill="1" applyBorder="1" applyAlignment="1" applyProtection="1">
      <alignment horizontal="center" vertical="center" textRotation="90"/>
      <protection hidden="1"/>
    </xf>
    <xf numFmtId="0" fontId="61" fillId="4" borderId="5" xfId="9" applyFont="1" applyFill="1" applyBorder="1" applyAlignment="1">
      <alignment horizontal="center" vertical="center" textRotation="90" wrapText="1"/>
    </xf>
    <xf numFmtId="0" fontId="60" fillId="6" borderId="5" xfId="9" applyFont="1" applyFill="1" applyBorder="1" applyAlignment="1">
      <alignment horizontal="center" vertical="center" textRotation="90" wrapText="1"/>
    </xf>
    <xf numFmtId="4" fontId="26" fillId="2" borderId="5" xfId="9" applyNumberFormat="1" applyFont="1" applyFill="1" applyBorder="1" applyAlignment="1" applyProtection="1">
      <alignment horizontal="center" vertical="center" textRotation="90" wrapText="1"/>
      <protection hidden="1"/>
    </xf>
    <xf numFmtId="0" fontId="26" fillId="0" borderId="5" xfId="9" applyFont="1" applyBorder="1" applyAlignment="1" applyProtection="1">
      <alignment horizontal="center" vertical="center" textRotation="90" wrapText="1"/>
      <protection hidden="1"/>
    </xf>
    <xf numFmtId="39" fontId="36" fillId="0" borderId="0" xfId="0" applyFont="1" applyAlignment="1">
      <alignment horizontal="center" vertical="center"/>
    </xf>
    <xf numFmtId="0" fontId="48" fillId="0" borderId="5" xfId="9" applyFont="1" applyBorder="1" applyAlignment="1" applyProtection="1">
      <alignment horizontal="center" vertical="center" wrapText="1"/>
      <protection hidden="1"/>
    </xf>
    <xf numFmtId="0" fontId="60" fillId="18" borderId="5" xfId="9" applyFont="1" applyFill="1" applyBorder="1" applyAlignment="1" applyProtection="1">
      <alignment horizontal="center" vertical="center" textRotation="90" wrapText="1"/>
      <protection hidden="1"/>
    </xf>
    <xf numFmtId="0" fontId="48" fillId="0" borderId="5" xfId="9" applyFont="1" applyBorder="1" applyAlignment="1" applyProtection="1">
      <alignment horizontal="center" vertical="center" textRotation="90" wrapText="1"/>
      <protection hidden="1"/>
    </xf>
    <xf numFmtId="1" fontId="48" fillId="4" borderId="5" xfId="9" applyNumberFormat="1" applyFont="1" applyFill="1" applyBorder="1" applyAlignment="1" applyProtection="1">
      <alignment horizontal="center" vertical="center"/>
      <protection hidden="1"/>
    </xf>
    <xf numFmtId="0" fontId="60" fillId="11" borderId="5" xfId="9" applyFont="1" applyFill="1" applyBorder="1" applyAlignment="1" applyProtection="1">
      <alignment horizontal="center" vertical="center" textRotation="90"/>
      <protection hidden="1"/>
    </xf>
    <xf numFmtId="0" fontId="61" fillId="4" borderId="5" xfId="9" applyFont="1" applyFill="1" applyBorder="1" applyAlignment="1" applyProtection="1">
      <alignment horizontal="center" vertical="center" textRotation="90" wrapText="1"/>
      <protection hidden="1"/>
    </xf>
    <xf numFmtId="0" fontId="60" fillId="7" borderId="5" xfId="9" applyFont="1" applyFill="1" applyBorder="1" applyAlignment="1" applyProtection="1">
      <alignment horizontal="center" vertical="center" textRotation="90" wrapText="1"/>
      <protection hidden="1"/>
    </xf>
    <xf numFmtId="0" fontId="60" fillId="6" borderId="5" xfId="9" applyFont="1" applyFill="1" applyBorder="1" applyAlignment="1" applyProtection="1">
      <alignment horizontal="center" vertical="center" textRotation="90" wrapText="1"/>
      <protection hidden="1"/>
    </xf>
    <xf numFmtId="4" fontId="26" fillId="5" borderId="5" xfId="9" applyNumberFormat="1" applyFont="1" applyFill="1" applyBorder="1" applyAlignment="1" applyProtection="1">
      <alignment horizontal="center" vertical="center" wrapText="1"/>
      <protection hidden="1"/>
    </xf>
    <xf numFmtId="4" fontId="26" fillId="0" borderId="5" xfId="9" applyNumberFormat="1" applyFont="1" applyBorder="1" applyAlignment="1" applyProtection="1">
      <alignment horizontal="center" vertical="center" textRotation="90" wrapText="1"/>
      <protection hidden="1"/>
    </xf>
    <xf numFmtId="4" fontId="26" fillId="0" borderId="5" xfId="9" applyNumberFormat="1" applyFont="1" applyBorder="1" applyAlignment="1" applyProtection="1">
      <alignment horizontal="center" vertical="center" wrapText="1"/>
      <protection hidden="1"/>
    </xf>
    <xf numFmtId="4" fontId="62" fillId="0" borderId="5" xfId="9" applyNumberFormat="1" applyFont="1" applyBorder="1" applyAlignment="1" applyProtection="1">
      <alignment horizontal="center" vertical="center" textRotation="90" wrapText="1"/>
      <protection hidden="1"/>
    </xf>
    <xf numFmtId="4" fontId="63" fillId="0" borderId="5" xfId="9" applyNumberFormat="1" applyFont="1" applyBorder="1" applyAlignment="1" applyProtection="1">
      <alignment horizontal="center" vertical="center" wrapText="1"/>
      <protection hidden="1"/>
    </xf>
    <xf numFmtId="4" fontId="26" fillId="23" borderId="5" xfId="9" applyNumberFormat="1" applyFont="1" applyFill="1" applyBorder="1" applyAlignment="1" applyProtection="1">
      <alignment horizontal="center" vertical="center" wrapText="1"/>
      <protection hidden="1"/>
    </xf>
    <xf numFmtId="4" fontId="62" fillId="4" borderId="5" xfId="9" applyNumberFormat="1" applyFont="1" applyFill="1" applyBorder="1" applyAlignment="1" applyProtection="1">
      <alignment horizontal="center" vertical="center" textRotation="90" wrapText="1"/>
      <protection hidden="1"/>
    </xf>
    <xf numFmtId="0" fontId="26" fillId="0" borderId="5" xfId="6" applyNumberFormat="1" applyFont="1" applyBorder="1" applyAlignment="1" applyProtection="1">
      <alignment horizontal="center" vertical="center" textRotation="90" wrapText="1"/>
      <protection hidden="1"/>
    </xf>
    <xf numFmtId="4" fontId="60" fillId="8" borderId="5" xfId="9" applyNumberFormat="1" applyFont="1" applyFill="1" applyBorder="1" applyAlignment="1" applyProtection="1">
      <alignment horizontal="center" vertical="center" wrapText="1"/>
      <protection hidden="1"/>
    </xf>
    <xf numFmtId="0" fontId="48" fillId="0" borderId="6" xfId="9" applyFont="1" applyBorder="1" applyAlignment="1" applyProtection="1">
      <alignment horizontal="center" vertical="center" textRotation="90" wrapText="1"/>
      <protection hidden="1"/>
    </xf>
    <xf numFmtId="0" fontId="48" fillId="0" borderId="11" xfId="9" applyFont="1" applyBorder="1" applyAlignment="1" applyProtection="1">
      <alignment horizontal="center" vertical="center" textRotation="90" wrapText="1"/>
      <protection hidden="1"/>
    </xf>
    <xf numFmtId="0" fontId="48" fillId="0" borderId="12" xfId="9" applyFont="1" applyBorder="1" applyAlignment="1" applyProtection="1">
      <alignment horizontal="center" vertical="center" textRotation="90" wrapText="1"/>
      <protection hidden="1"/>
    </xf>
    <xf numFmtId="1" fontId="82" fillId="0" borderId="19" xfId="5" applyNumberFormat="1" applyFont="1" applyBorder="1" applyAlignment="1">
      <alignment horizontal="center"/>
    </xf>
    <xf numFmtId="4" fontId="82" fillId="0" borderId="19" xfId="5" applyNumberFormat="1" applyFont="1" applyBorder="1" applyAlignment="1">
      <alignment horizontal="center"/>
    </xf>
    <xf numFmtId="170" fontId="26" fillId="4" borderId="5" xfId="6" applyFont="1" applyFill="1" applyBorder="1" applyAlignment="1" applyProtection="1">
      <alignment horizontal="center" vertical="center" textRotation="90" wrapText="1"/>
      <protection hidden="1"/>
    </xf>
    <xf numFmtId="4" fontId="26" fillId="4" borderId="6" xfId="9" applyNumberFormat="1" applyFont="1" applyFill="1" applyBorder="1" applyAlignment="1" applyProtection="1">
      <alignment horizontal="center" vertical="center" textRotation="90" wrapText="1"/>
      <protection hidden="1"/>
    </xf>
    <xf numFmtId="4" fontId="26" fillId="4" borderId="11" xfId="9" applyNumberFormat="1" applyFont="1" applyFill="1" applyBorder="1" applyAlignment="1" applyProtection="1">
      <alignment horizontal="center" vertical="center" textRotation="90" wrapText="1"/>
      <protection hidden="1"/>
    </xf>
    <xf numFmtId="4" fontId="26" fillId="4" borderId="12" xfId="9" applyNumberFormat="1" applyFont="1" applyFill="1" applyBorder="1" applyAlignment="1" applyProtection="1">
      <alignment horizontal="center" vertical="center" textRotation="90" wrapText="1"/>
      <protection hidden="1"/>
    </xf>
    <xf numFmtId="39" fontId="51" fillId="2" borderId="10" xfId="0" applyFont="1" applyFill="1" applyBorder="1" applyAlignment="1" applyProtection="1">
      <alignment horizontal="center" vertical="center"/>
      <protection locked="0"/>
    </xf>
    <xf numFmtId="39" fontId="51" fillId="2" borderId="22" xfId="0" applyFont="1" applyFill="1" applyBorder="1" applyAlignment="1" applyProtection="1">
      <alignment horizontal="center" vertical="center"/>
      <protection locked="0"/>
    </xf>
    <xf numFmtId="39" fontId="51" fillId="2" borderId="23" xfId="0" applyFont="1" applyFill="1" applyBorder="1" applyAlignment="1" applyProtection="1">
      <alignment horizontal="center" vertical="center"/>
      <protection locked="0"/>
    </xf>
    <xf numFmtId="39" fontId="86" fillId="2" borderId="6" xfId="0" applyFont="1" applyFill="1" applyBorder="1" applyAlignment="1" applyProtection="1">
      <alignment horizontal="center" vertical="center" wrapText="1"/>
      <protection locked="0"/>
    </xf>
    <xf numFmtId="39" fontId="86" fillId="2" borderId="11" xfId="0" applyFont="1" applyFill="1" applyBorder="1" applyAlignment="1" applyProtection="1">
      <alignment horizontal="center" vertical="center" wrapText="1"/>
      <protection locked="0"/>
    </xf>
    <xf numFmtId="39" fontId="86" fillId="2" borderId="12" xfId="0" applyFont="1" applyFill="1" applyBorder="1" applyAlignment="1" applyProtection="1">
      <alignment horizontal="center" vertical="center" wrapText="1"/>
      <protection locked="0"/>
    </xf>
    <xf numFmtId="39" fontId="38" fillId="2" borderId="15" xfId="0" applyFont="1" applyFill="1" applyBorder="1" applyAlignment="1" applyProtection="1">
      <alignment horizontal="center" vertical="center" wrapText="1"/>
      <protection locked="0"/>
    </xf>
    <xf numFmtId="39" fontId="38" fillId="2" borderId="50" xfId="0" applyFont="1" applyFill="1" applyBorder="1" applyAlignment="1" applyProtection="1">
      <alignment horizontal="center" vertical="center" wrapText="1"/>
      <protection locked="0"/>
    </xf>
    <xf numFmtId="39" fontId="38" fillId="2" borderId="18" xfId="0" applyFont="1" applyFill="1" applyBorder="1" applyAlignment="1" applyProtection="1">
      <alignment horizontal="center" vertical="center" wrapText="1"/>
      <protection locked="0"/>
    </xf>
    <xf numFmtId="39" fontId="38" fillId="0" borderId="6" xfId="0" applyFont="1" applyBorder="1" applyAlignment="1" applyProtection="1">
      <alignment horizontal="center" vertical="center" wrapText="1"/>
      <protection locked="0"/>
    </xf>
    <xf numFmtId="39" fontId="38" fillId="0" borderId="11" xfId="0" applyFont="1" applyBorder="1" applyAlignment="1" applyProtection="1">
      <alignment horizontal="center" vertical="center" wrapText="1"/>
      <protection locked="0"/>
    </xf>
    <xf numFmtId="39" fontId="38" fillId="0" borderId="12" xfId="0" applyFont="1" applyBorder="1" applyAlignment="1" applyProtection="1">
      <alignment horizontal="center" vertical="center" wrapText="1"/>
      <protection locked="0"/>
    </xf>
    <xf numFmtId="39" fontId="195" fillId="0" borderId="0" xfId="0" applyFont="1" applyAlignment="1">
      <alignment horizontal="center" vertical="center"/>
    </xf>
    <xf numFmtId="39" fontId="196" fillId="0" borderId="0" xfId="0" applyFont="1" applyAlignment="1">
      <alignment horizontal="center" vertical="center"/>
    </xf>
    <xf numFmtId="39" fontId="196" fillId="0" borderId="3" xfId="0" applyFont="1" applyBorder="1" applyAlignment="1">
      <alignment horizontal="center" vertical="center"/>
    </xf>
    <xf numFmtId="39" fontId="184" fillId="0" borderId="0" xfId="0" applyFont="1" applyAlignment="1">
      <alignment horizontal="center"/>
    </xf>
    <xf numFmtId="39" fontId="185" fillId="0" borderId="0" xfId="0" applyFont="1" applyAlignment="1">
      <alignment horizontal="center"/>
    </xf>
    <xf numFmtId="39" fontId="104" fillId="0" borderId="0" xfId="0" applyFont="1" applyAlignment="1">
      <alignment horizontal="center"/>
    </xf>
    <xf numFmtId="39" fontId="86" fillId="21" borderId="6" xfId="0" applyFont="1" applyFill="1" applyBorder="1" applyAlignment="1" applyProtection="1">
      <alignment horizontal="center" vertical="center" wrapText="1"/>
      <protection locked="0"/>
    </xf>
    <xf numFmtId="39" fontId="86" fillId="21" borderId="11" xfId="0" applyFont="1" applyFill="1" applyBorder="1" applyAlignment="1" applyProtection="1">
      <alignment horizontal="center" vertical="center" wrapText="1"/>
      <protection locked="0"/>
    </xf>
    <xf numFmtId="39" fontId="86" fillId="21" borderId="12" xfId="0" applyFont="1" applyFill="1" applyBorder="1" applyAlignment="1" applyProtection="1">
      <alignment horizontal="center" vertical="center" wrapText="1"/>
      <protection locked="0"/>
    </xf>
    <xf numFmtId="39" fontId="129" fillId="0" borderId="0" xfId="0" applyFont="1" applyAlignment="1">
      <alignment horizontal="center" vertical="center"/>
    </xf>
    <xf numFmtId="0" fontId="37" fillId="0" borderId="19" xfId="8" applyFont="1" applyBorder="1" applyAlignment="1" applyProtection="1">
      <alignment horizontal="center" vertical="center" textRotation="90" wrapText="1"/>
      <protection hidden="1"/>
    </xf>
    <xf numFmtId="0" fontId="37" fillId="0" borderId="21" xfId="8" applyFont="1" applyBorder="1" applyAlignment="1">
      <alignment horizontal="center" vertical="center"/>
    </xf>
    <xf numFmtId="0" fontId="37" fillId="0" borderId="19" xfId="8" applyFont="1" applyBorder="1" applyAlignment="1">
      <alignment horizontal="center" vertical="center"/>
    </xf>
    <xf numFmtId="39" fontId="129" fillId="0" borderId="2" xfId="0" applyFont="1" applyBorder="1" applyAlignment="1">
      <alignment horizontal="center" vertical="center"/>
    </xf>
    <xf numFmtId="0" fontId="37" fillId="0" borderId="19" xfId="8" applyFont="1" applyBorder="1" applyAlignment="1" applyProtection="1">
      <alignment horizontal="center" vertical="center" wrapText="1"/>
      <protection hidden="1"/>
    </xf>
    <xf numFmtId="170" fontId="37" fillId="0" borderId="19" xfId="7" applyFont="1" applyFill="1" applyBorder="1" applyAlignment="1" applyProtection="1">
      <alignment horizontal="center" vertical="center" wrapText="1"/>
      <protection hidden="1"/>
    </xf>
    <xf numFmtId="0" fontId="37" fillId="4" borderId="19" xfId="8" applyFont="1" applyFill="1" applyBorder="1" applyAlignment="1" applyProtection="1">
      <alignment horizontal="center" vertical="center" wrapText="1"/>
      <protection hidden="1"/>
    </xf>
    <xf numFmtId="3" fontId="48" fillId="2" borderId="19" xfId="5" applyNumberFormat="1" applyFont="1" applyFill="1" applyBorder="1" applyAlignment="1" applyProtection="1">
      <alignment horizontal="center" vertical="center" textRotation="90" wrapText="1"/>
      <protection hidden="1"/>
    </xf>
    <xf numFmtId="0" fontId="48" fillId="2" borderId="19" xfId="5" applyFont="1" applyFill="1" applyBorder="1" applyAlignment="1" applyProtection="1">
      <alignment horizontal="center" vertical="center" textRotation="90" wrapText="1"/>
      <protection hidden="1"/>
    </xf>
    <xf numFmtId="0" fontId="37" fillId="0" borderId="24" xfId="8" applyFont="1" applyBorder="1" applyAlignment="1" applyProtection="1">
      <alignment horizontal="center" vertical="center" textRotation="90" wrapText="1"/>
      <protection hidden="1"/>
    </xf>
    <xf numFmtId="0" fontId="37" fillId="0" borderId="20" xfId="8" applyFont="1" applyBorder="1" applyAlignment="1" applyProtection="1">
      <alignment horizontal="center" vertical="center" textRotation="90" wrapText="1"/>
      <protection hidden="1"/>
    </xf>
    <xf numFmtId="0" fontId="37" fillId="0" borderId="21" xfId="8" applyFont="1" applyBorder="1" applyAlignment="1" applyProtection="1">
      <alignment horizontal="center" vertical="center" textRotation="90" wrapText="1"/>
      <protection hidden="1"/>
    </xf>
    <xf numFmtId="0" fontId="52" fillId="0" borderId="24" xfId="8" applyFont="1" applyBorder="1" applyAlignment="1" applyProtection="1">
      <alignment horizontal="center" vertical="center" textRotation="90" wrapText="1"/>
      <protection hidden="1"/>
    </xf>
    <xf numFmtId="0" fontId="52" fillId="0" borderId="20" xfId="8" applyFont="1" applyBorder="1" applyAlignment="1" applyProtection="1">
      <alignment horizontal="center" vertical="center" textRotation="90" wrapText="1"/>
      <protection hidden="1"/>
    </xf>
    <xf numFmtId="0" fontId="52" fillId="0" borderId="21" xfId="8" applyFont="1" applyBorder="1" applyAlignment="1" applyProtection="1">
      <alignment horizontal="center" vertical="center" textRotation="90" wrapText="1"/>
      <protection hidden="1"/>
    </xf>
    <xf numFmtId="0" fontId="37" fillId="4" borderId="19" xfId="8" applyFont="1" applyFill="1" applyBorder="1" applyAlignment="1" applyProtection="1">
      <alignment horizontal="center" vertical="center" textRotation="90" wrapText="1"/>
      <protection hidden="1"/>
    </xf>
    <xf numFmtId="0" fontId="91" fillId="20" borderId="19" xfId="8" applyFont="1" applyFill="1" applyBorder="1" applyAlignment="1" applyProtection="1">
      <alignment horizontal="center" vertical="center" textRotation="255" wrapText="1"/>
      <protection hidden="1"/>
    </xf>
    <xf numFmtId="0" fontId="37" fillId="4" borderId="19" xfId="8" applyFont="1" applyFill="1" applyBorder="1" applyAlignment="1">
      <alignment horizontal="center" vertical="center" textRotation="90" wrapText="1"/>
    </xf>
    <xf numFmtId="0" fontId="91" fillId="19" borderId="19" xfId="8" applyFont="1" applyFill="1" applyBorder="1" applyAlignment="1" applyProtection="1">
      <alignment horizontal="center" vertical="center" textRotation="255" wrapText="1"/>
      <protection hidden="1"/>
    </xf>
    <xf numFmtId="0" fontId="90" fillId="19" borderId="19" xfId="5" applyFont="1" applyFill="1" applyBorder="1" applyAlignment="1">
      <alignment horizontal="center" vertical="center" textRotation="90" wrapText="1"/>
    </xf>
    <xf numFmtId="0" fontId="64" fillId="19" borderId="24" xfId="5" applyFont="1" applyFill="1" applyBorder="1" applyAlignment="1">
      <alignment horizontal="center" vertical="center" textRotation="90" wrapText="1"/>
    </xf>
    <xf numFmtId="0" fontId="64" fillId="19" borderId="20" xfId="5" applyFont="1" applyFill="1" applyBorder="1" applyAlignment="1">
      <alignment horizontal="center" vertical="center" textRotation="90" wrapText="1"/>
    </xf>
    <xf numFmtId="0" fontId="64" fillId="19" borderId="21" xfId="5" applyFont="1" applyFill="1" applyBorder="1" applyAlignment="1">
      <alignment horizontal="center" vertical="center" textRotation="90" wrapText="1"/>
    </xf>
    <xf numFmtId="0" fontId="90" fillId="20" borderId="19" xfId="8" applyFont="1" applyFill="1" applyBorder="1" applyAlignment="1" applyProtection="1">
      <alignment horizontal="center" vertical="center" textRotation="255" wrapText="1"/>
      <protection hidden="1"/>
    </xf>
    <xf numFmtId="39" fontId="36" fillId="0" borderId="0" xfId="0" applyFont="1" applyAlignment="1">
      <alignment horizontal="center"/>
    </xf>
    <xf numFmtId="39" fontId="126" fillId="0" borderId="0" xfId="0" applyFont="1" applyAlignment="1">
      <alignment horizontal="center" vertical="center"/>
    </xf>
    <xf numFmtId="0" fontId="37" fillId="0" borderId="24" xfId="8" applyFont="1" applyBorder="1" applyAlignment="1" applyProtection="1">
      <alignment horizontal="center" vertical="center" wrapText="1"/>
      <protection hidden="1"/>
    </xf>
    <xf numFmtId="0" fontId="48" fillId="4" borderId="19" xfId="8" applyFont="1" applyFill="1" applyBorder="1" applyAlignment="1" applyProtection="1">
      <alignment horizontal="center" vertical="center" textRotation="90" wrapText="1"/>
      <protection hidden="1"/>
    </xf>
    <xf numFmtId="0" fontId="72" fillId="0" borderId="0" xfId="9" applyFont="1" applyAlignment="1" applyProtection="1">
      <alignment horizontal="center" vertical="center"/>
      <protection hidden="1"/>
    </xf>
    <xf numFmtId="0" fontId="72" fillId="0" borderId="0" xfId="9" applyFont="1" applyAlignment="1" applyProtection="1">
      <alignment horizontal="center"/>
      <protection hidden="1"/>
    </xf>
    <xf numFmtId="0" fontId="18" fillId="0" borderId="0" xfId="9" applyFont="1" applyAlignment="1">
      <alignment horizontal="center" vertical="center" wrapText="1"/>
    </xf>
    <xf numFmtId="0" fontId="26" fillId="2" borderId="0" xfId="9" applyFont="1" applyFill="1" applyAlignment="1">
      <alignment horizontal="center"/>
    </xf>
    <xf numFmtId="0" fontId="26" fillId="2" borderId="3" xfId="9" applyFont="1" applyFill="1" applyBorder="1" applyAlignment="1">
      <alignment horizontal="center"/>
    </xf>
    <xf numFmtId="0" fontId="74" fillId="2" borderId="0" xfId="9" applyFont="1" applyFill="1" applyAlignment="1">
      <alignment horizontal="center"/>
    </xf>
    <xf numFmtId="0" fontId="26" fillId="0" borderId="0" xfId="9" applyFont="1" applyAlignment="1">
      <alignment horizontal="center"/>
    </xf>
    <xf numFmtId="0" fontId="26" fillId="0" borderId="2" xfId="9" applyFont="1" applyBorder="1" applyAlignment="1">
      <alignment horizontal="center"/>
    </xf>
    <xf numFmtId="4" fontId="26" fillId="0" borderId="0" xfId="9" applyNumberFormat="1" applyFont="1" applyAlignment="1">
      <alignment horizontal="center"/>
    </xf>
    <xf numFmtId="4" fontId="110" fillId="8" borderId="19" xfId="9" applyNumberFormat="1" applyFont="1" applyFill="1" applyBorder="1" applyAlignment="1" applyProtection="1">
      <alignment horizontal="center" vertical="center" wrapText="1"/>
      <protection hidden="1"/>
    </xf>
    <xf numFmtId="4" fontId="29" fillId="0" borderId="19" xfId="9" applyNumberFormat="1" applyFont="1" applyBorder="1" applyAlignment="1" applyProtection="1">
      <alignment horizontal="center" vertical="center" textRotation="90" wrapText="1"/>
      <protection hidden="1"/>
    </xf>
    <xf numFmtId="10" fontId="110" fillId="7" borderId="24" xfId="9" applyNumberFormat="1" applyFont="1" applyFill="1" applyBorder="1" applyAlignment="1" applyProtection="1">
      <alignment horizontal="center" vertical="center" textRotation="90" wrapText="1"/>
      <protection hidden="1"/>
    </xf>
    <xf numFmtId="10" fontId="110" fillId="7" borderId="20" xfId="9" applyNumberFormat="1" applyFont="1" applyFill="1" applyBorder="1" applyAlignment="1" applyProtection="1">
      <alignment horizontal="center" vertical="center" textRotation="90" wrapText="1"/>
      <protection hidden="1"/>
    </xf>
    <xf numFmtId="10" fontId="110" fillId="7" borderId="21" xfId="9" applyNumberFormat="1" applyFont="1" applyFill="1" applyBorder="1" applyAlignment="1" applyProtection="1">
      <alignment horizontal="center" vertical="center" textRotation="90" wrapText="1"/>
      <protection hidden="1"/>
    </xf>
    <xf numFmtId="4" fontId="111" fillId="2" borderId="24" xfId="9" applyNumberFormat="1" applyFont="1" applyFill="1" applyBorder="1" applyAlignment="1" applyProtection="1">
      <alignment horizontal="center" vertical="center" textRotation="90" wrapText="1"/>
      <protection hidden="1"/>
    </xf>
    <xf numFmtId="4" fontId="111" fillId="2" borderId="20" xfId="9" applyNumberFormat="1" applyFont="1" applyFill="1" applyBorder="1" applyAlignment="1" applyProtection="1">
      <alignment horizontal="center" vertical="center" textRotation="90" wrapText="1"/>
      <protection hidden="1"/>
    </xf>
    <xf numFmtId="4" fontId="111" fillId="2" borderId="21" xfId="9" applyNumberFormat="1" applyFont="1" applyFill="1" applyBorder="1" applyAlignment="1" applyProtection="1">
      <alignment horizontal="center" vertical="center" textRotation="90" wrapText="1"/>
      <protection hidden="1"/>
    </xf>
    <xf numFmtId="4" fontId="29" fillId="17" borderId="24" xfId="9" applyNumberFormat="1" applyFont="1" applyFill="1" applyBorder="1" applyAlignment="1" applyProtection="1">
      <alignment horizontal="center" vertical="center" wrapText="1"/>
      <protection hidden="1"/>
    </xf>
    <xf numFmtId="4" fontId="29" fillId="17" borderId="20" xfId="9" applyNumberFormat="1" applyFont="1" applyFill="1" applyBorder="1" applyAlignment="1" applyProtection="1">
      <alignment horizontal="center" vertical="center" wrapText="1"/>
      <protection hidden="1"/>
    </xf>
    <xf numFmtId="4" fontId="29" fillId="17" borderId="21" xfId="9" applyNumberFormat="1" applyFont="1" applyFill="1" applyBorder="1" applyAlignment="1" applyProtection="1">
      <alignment horizontal="center" vertical="center" wrapText="1"/>
      <protection hidden="1"/>
    </xf>
    <xf numFmtId="4" fontId="111" fillId="0" borderId="19" xfId="9" applyNumberFormat="1" applyFont="1" applyBorder="1" applyAlignment="1" applyProtection="1">
      <alignment horizontal="center" vertical="center" textRotation="90" wrapText="1"/>
      <protection hidden="1"/>
    </xf>
    <xf numFmtId="2" fontId="29" fillId="4" borderId="24" xfId="9" applyNumberFormat="1" applyFont="1" applyFill="1" applyBorder="1" applyAlignment="1" applyProtection="1">
      <alignment horizontal="center" vertical="center" textRotation="90" wrapText="1"/>
      <protection hidden="1"/>
    </xf>
    <xf numFmtId="2" fontId="29" fillId="4" borderId="20" xfId="9" applyNumberFormat="1" applyFont="1" applyFill="1" applyBorder="1" applyAlignment="1" applyProtection="1">
      <alignment horizontal="center" vertical="center" textRotation="90" wrapText="1"/>
      <protection hidden="1"/>
    </xf>
    <xf numFmtId="2" fontId="29" fillId="4" borderId="21" xfId="9" applyNumberFormat="1" applyFont="1" applyFill="1" applyBorder="1" applyAlignment="1" applyProtection="1">
      <alignment horizontal="center" vertical="center" textRotation="90" wrapText="1"/>
      <protection hidden="1"/>
    </xf>
    <xf numFmtId="4" fontId="18" fillId="0" borderId="19" xfId="9" applyNumberFormat="1" applyFont="1" applyBorder="1" applyAlignment="1" applyProtection="1">
      <alignment horizontal="center" vertical="center" wrapText="1"/>
      <protection hidden="1"/>
    </xf>
    <xf numFmtId="4" fontId="63" fillId="0" borderId="19" xfId="9" applyNumberFormat="1" applyFont="1" applyBorder="1" applyAlignment="1" applyProtection="1">
      <alignment horizontal="left" vertical="center" wrapText="1"/>
      <protection hidden="1"/>
    </xf>
    <xf numFmtId="4" fontId="63" fillId="0" borderId="24" xfId="9" applyNumberFormat="1" applyFont="1" applyBorder="1" applyAlignment="1" applyProtection="1">
      <alignment horizontal="left" vertical="center" wrapText="1"/>
      <protection hidden="1"/>
    </xf>
    <xf numFmtId="182" fontId="29" fillId="17" borderId="24" xfId="9" applyNumberFormat="1" applyFont="1" applyFill="1" applyBorder="1" applyAlignment="1" applyProtection="1">
      <alignment horizontal="center" vertical="center" textRotation="90" wrapText="1"/>
      <protection hidden="1"/>
    </xf>
    <xf numFmtId="182" fontId="29" fillId="17" borderId="20" xfId="9" applyNumberFormat="1" applyFont="1" applyFill="1" applyBorder="1" applyAlignment="1" applyProtection="1">
      <alignment horizontal="center" vertical="center" textRotation="90" wrapText="1"/>
      <protection hidden="1"/>
    </xf>
    <xf numFmtId="182" fontId="29" fillId="17" borderId="21" xfId="9" applyNumberFormat="1" applyFont="1" applyFill="1" applyBorder="1" applyAlignment="1" applyProtection="1">
      <alignment horizontal="center" vertical="center" textRotation="90" wrapText="1"/>
      <protection hidden="1"/>
    </xf>
    <xf numFmtId="182" fontId="111" fillId="17" borderId="24" xfId="9" applyNumberFormat="1" applyFont="1" applyFill="1" applyBorder="1" applyAlignment="1" applyProtection="1">
      <alignment horizontal="center" vertical="center" wrapText="1"/>
      <protection hidden="1"/>
    </xf>
    <xf numFmtId="182" fontId="111" fillId="17" borderId="20" xfId="9" applyNumberFormat="1" applyFont="1" applyFill="1" applyBorder="1" applyAlignment="1" applyProtection="1">
      <alignment horizontal="center" vertical="center" wrapText="1"/>
      <protection hidden="1"/>
    </xf>
    <xf numFmtId="182" fontId="111" fillId="17" borderId="21" xfId="9" applyNumberFormat="1" applyFont="1" applyFill="1" applyBorder="1" applyAlignment="1" applyProtection="1">
      <alignment horizontal="center" vertical="center" wrapText="1"/>
      <protection hidden="1"/>
    </xf>
    <xf numFmtId="4" fontId="20" fillId="2" borderId="24" xfId="9" applyNumberFormat="1" applyFont="1" applyFill="1" applyBorder="1" applyAlignment="1" applyProtection="1">
      <alignment horizontal="center" vertical="center" textRotation="90" wrapText="1"/>
      <protection hidden="1"/>
    </xf>
    <xf numFmtId="4" fontId="20" fillId="2" borderId="20" xfId="9" applyNumberFormat="1" applyFont="1" applyFill="1" applyBorder="1" applyAlignment="1" applyProtection="1">
      <alignment horizontal="center" vertical="center" textRotation="90" wrapText="1"/>
      <protection hidden="1"/>
    </xf>
    <xf numFmtId="4" fontId="20" fillId="2" borderId="21" xfId="9" applyNumberFormat="1" applyFont="1" applyFill="1" applyBorder="1" applyAlignment="1" applyProtection="1">
      <alignment horizontal="center" vertical="center" textRotation="90" wrapText="1"/>
      <protection hidden="1"/>
    </xf>
    <xf numFmtId="0" fontId="110" fillId="7" borderId="24" xfId="9" applyFont="1" applyFill="1" applyBorder="1" applyAlignment="1" applyProtection="1">
      <alignment horizontal="center" vertical="center" textRotation="90" wrapText="1"/>
      <protection hidden="1"/>
    </xf>
    <xf numFmtId="0" fontId="110" fillId="7" borderId="20" xfId="9" applyFont="1" applyFill="1" applyBorder="1" applyAlignment="1" applyProtection="1">
      <alignment horizontal="center" vertical="center" textRotation="90" wrapText="1"/>
      <protection hidden="1"/>
    </xf>
    <xf numFmtId="0" fontId="110" fillId="7" borderId="21" xfId="9" applyFont="1" applyFill="1" applyBorder="1" applyAlignment="1" applyProtection="1">
      <alignment horizontal="center" vertical="center" textRotation="90" wrapText="1"/>
      <protection hidden="1"/>
    </xf>
    <xf numFmtId="0" fontId="27" fillId="2" borderId="24" xfId="9" applyFont="1" applyFill="1" applyBorder="1" applyAlignment="1" applyProtection="1">
      <alignment horizontal="center" vertical="center" textRotation="90" wrapText="1"/>
      <protection hidden="1"/>
    </xf>
    <xf numFmtId="0" fontId="27" fillId="2" borderId="20" xfId="9" applyFont="1" applyFill="1" applyBorder="1" applyAlignment="1" applyProtection="1">
      <alignment horizontal="center" vertical="center" textRotation="90" wrapText="1"/>
      <protection hidden="1"/>
    </xf>
    <xf numFmtId="0" fontId="27" fillId="2" borderId="21" xfId="9" applyFont="1" applyFill="1" applyBorder="1" applyAlignment="1" applyProtection="1">
      <alignment horizontal="center" vertical="center" textRotation="90" wrapText="1"/>
      <protection hidden="1"/>
    </xf>
    <xf numFmtId="170" fontId="29" fillId="4" borderId="19" xfId="10" applyFont="1" applyFill="1" applyBorder="1" applyAlignment="1" applyProtection="1">
      <alignment horizontal="center" vertical="center" textRotation="90" wrapText="1"/>
      <protection hidden="1"/>
    </xf>
    <xf numFmtId="0" fontId="29" fillId="0" borderId="19" xfId="9" applyFont="1" applyBorder="1" applyAlignment="1" applyProtection="1">
      <alignment horizontal="center" vertical="center" textRotation="90" wrapText="1"/>
      <protection hidden="1"/>
    </xf>
    <xf numFmtId="4" fontId="29" fillId="4" borderId="19" xfId="9" applyNumberFormat="1" applyFont="1" applyFill="1" applyBorder="1" applyAlignment="1" applyProtection="1">
      <alignment horizontal="center" vertical="center" textRotation="90" wrapText="1"/>
      <protection hidden="1"/>
    </xf>
    <xf numFmtId="173" fontId="27" fillId="0" borderId="19" xfId="9" applyNumberFormat="1" applyFont="1" applyBorder="1" applyAlignment="1" applyProtection="1">
      <alignment horizontal="center" vertical="center" textRotation="90" wrapText="1"/>
      <protection hidden="1"/>
    </xf>
    <xf numFmtId="173" fontId="29" fillId="0" borderId="19" xfId="9" applyNumberFormat="1" applyFont="1" applyBorder="1" applyAlignment="1" applyProtection="1">
      <alignment horizontal="center" vertical="center" textRotation="90" wrapText="1"/>
      <protection hidden="1"/>
    </xf>
    <xf numFmtId="173" fontId="29" fillId="4" borderId="24" xfId="9" applyNumberFormat="1" applyFont="1" applyFill="1" applyBorder="1" applyAlignment="1" applyProtection="1">
      <alignment horizontal="center" vertical="center" textRotation="90" wrapText="1"/>
      <protection hidden="1"/>
    </xf>
    <xf numFmtId="173" fontId="29" fillId="4" borderId="20" xfId="9" applyNumberFormat="1" applyFont="1" applyFill="1" applyBorder="1" applyAlignment="1" applyProtection="1">
      <alignment horizontal="center" vertical="center" textRotation="90" wrapText="1"/>
      <protection hidden="1"/>
    </xf>
    <xf numFmtId="173" fontId="29" fillId="4" borderId="21" xfId="9" applyNumberFormat="1" applyFont="1" applyFill="1" applyBorder="1" applyAlignment="1" applyProtection="1">
      <alignment horizontal="center" vertical="center" textRotation="90" wrapText="1"/>
      <protection hidden="1"/>
    </xf>
    <xf numFmtId="0" fontId="29" fillId="4" borderId="19" xfId="9" applyFont="1" applyFill="1" applyBorder="1" applyAlignment="1" applyProtection="1">
      <alignment horizontal="center" vertical="center"/>
      <protection hidden="1"/>
    </xf>
    <xf numFmtId="0" fontId="111" fillId="4" borderId="19" xfId="9" applyFont="1" applyFill="1" applyBorder="1" applyAlignment="1">
      <alignment horizontal="center" vertical="center" textRotation="90" wrapText="1"/>
    </xf>
    <xf numFmtId="0" fontId="110" fillId="6" borderId="19" xfId="9" applyFont="1" applyFill="1" applyBorder="1" applyAlignment="1">
      <alignment horizontal="center" vertical="center" textRotation="90" wrapText="1"/>
    </xf>
    <xf numFmtId="0" fontId="110" fillId="6" borderId="24" xfId="9" applyFont="1" applyFill="1" applyBorder="1" applyAlignment="1" applyProtection="1">
      <alignment horizontal="center" vertical="center" textRotation="90" wrapText="1"/>
      <protection hidden="1"/>
    </xf>
    <xf numFmtId="0" fontId="110" fillId="6" borderId="20" xfId="9" applyFont="1" applyFill="1" applyBorder="1" applyAlignment="1" applyProtection="1">
      <alignment horizontal="center" vertical="center" textRotation="90" wrapText="1"/>
      <protection hidden="1"/>
    </xf>
    <xf numFmtId="0" fontId="110" fillId="6" borderId="21" xfId="9" applyFont="1" applyFill="1" applyBorder="1" applyAlignment="1" applyProtection="1">
      <alignment horizontal="center" vertical="center" textRotation="90" wrapText="1"/>
      <protection hidden="1"/>
    </xf>
    <xf numFmtId="4" fontId="29" fillId="2" borderId="19" xfId="9" applyNumberFormat="1" applyFont="1" applyFill="1" applyBorder="1" applyAlignment="1" applyProtection="1">
      <alignment horizontal="center" vertical="center" textRotation="90" wrapText="1"/>
      <protection hidden="1"/>
    </xf>
    <xf numFmtId="0" fontId="111" fillId="0" borderId="19" xfId="9" applyFont="1" applyBorder="1" applyAlignment="1" applyProtection="1">
      <alignment horizontal="center" vertical="center" textRotation="90" wrapText="1"/>
      <protection hidden="1"/>
    </xf>
    <xf numFmtId="0" fontId="29" fillId="4" borderId="19" xfId="24" applyNumberFormat="1" applyFont="1" applyFill="1" applyBorder="1" applyAlignment="1" applyProtection="1">
      <alignment horizontal="center" vertical="center" wrapText="1"/>
      <protection hidden="1"/>
    </xf>
    <xf numFmtId="0" fontId="110" fillId="6" borderId="24" xfId="9" applyFont="1" applyFill="1" applyBorder="1" applyAlignment="1" applyProtection="1">
      <alignment horizontal="center" vertical="center" textRotation="90"/>
      <protection hidden="1"/>
    </xf>
    <xf numFmtId="0" fontId="110" fillId="6" borderId="20" xfId="9" applyFont="1" applyFill="1" applyBorder="1" applyAlignment="1" applyProtection="1">
      <alignment horizontal="center" vertical="center" textRotation="90"/>
      <protection hidden="1"/>
    </xf>
    <xf numFmtId="0" fontId="110" fillId="6" borderId="21" xfId="9" applyFont="1" applyFill="1" applyBorder="1" applyAlignment="1" applyProtection="1">
      <alignment horizontal="center" vertical="center" textRotation="90"/>
      <protection hidden="1"/>
    </xf>
    <xf numFmtId="0" fontId="111" fillId="4" borderId="19" xfId="9" applyFont="1" applyFill="1" applyBorder="1" applyAlignment="1" applyProtection="1">
      <alignment horizontal="center" vertical="center" textRotation="90" wrapText="1"/>
      <protection hidden="1"/>
    </xf>
    <xf numFmtId="0" fontId="111" fillId="4" borderId="20" xfId="9" applyFont="1" applyFill="1" applyBorder="1" applyAlignment="1" applyProtection="1">
      <alignment horizontal="center" vertical="center" textRotation="90" wrapText="1"/>
      <protection hidden="1"/>
    </xf>
    <xf numFmtId="0" fontId="111" fillId="4" borderId="21" xfId="9" applyFont="1" applyFill="1" applyBorder="1" applyAlignment="1" applyProtection="1">
      <alignment horizontal="center" vertical="center" textRotation="90" wrapText="1"/>
      <protection hidden="1"/>
    </xf>
    <xf numFmtId="0" fontId="29" fillId="0" borderId="24" xfId="9" applyFont="1" applyBorder="1" applyAlignment="1" applyProtection="1">
      <alignment horizontal="center" vertical="center" wrapText="1"/>
      <protection hidden="1"/>
    </xf>
    <xf numFmtId="0" fontId="29" fillId="0" borderId="20" xfId="9" applyFont="1" applyBorder="1" applyAlignment="1" applyProtection="1">
      <alignment horizontal="center" vertical="center" wrapText="1"/>
      <protection hidden="1"/>
    </xf>
    <xf numFmtId="0" fontId="29" fillId="0" borderId="21" xfId="9" applyFont="1" applyBorder="1" applyAlignment="1" applyProtection="1">
      <alignment horizontal="center" vertical="center" wrapText="1"/>
      <protection hidden="1"/>
    </xf>
    <xf numFmtId="0" fontId="110" fillId="18" borderId="25" xfId="9" applyFont="1" applyFill="1" applyBorder="1" applyAlignment="1" applyProtection="1">
      <alignment horizontal="center" vertical="center" textRotation="90" wrapText="1"/>
      <protection hidden="1"/>
    </xf>
    <xf numFmtId="0" fontId="33" fillId="0" borderId="19" xfId="9" applyFont="1" applyBorder="1" applyAlignment="1" applyProtection="1">
      <alignment horizontal="left" vertical="center" wrapText="1"/>
      <protection hidden="1"/>
    </xf>
    <xf numFmtId="0" fontId="29" fillId="0" borderId="19" xfId="9" applyFont="1" applyBorder="1" applyAlignment="1" applyProtection="1">
      <alignment horizontal="center" vertical="center" wrapText="1"/>
      <protection hidden="1"/>
    </xf>
    <xf numFmtId="0" fontId="33" fillId="0" borderId="19" xfId="9" applyFont="1" applyBorder="1" applyAlignment="1" applyProtection="1">
      <alignment horizontal="center" vertical="center" wrapText="1"/>
      <protection hidden="1"/>
    </xf>
    <xf numFmtId="173" fontId="29" fillId="2" borderId="24" xfId="9" applyNumberFormat="1" applyFont="1" applyFill="1" applyBorder="1" applyAlignment="1" applyProtection="1">
      <alignment horizontal="center" vertical="center" textRotation="90" wrapText="1"/>
      <protection hidden="1"/>
    </xf>
    <xf numFmtId="173" fontId="29" fillId="2" borderId="20" xfId="9" applyNumberFormat="1" applyFont="1" applyFill="1" applyBorder="1" applyAlignment="1" applyProtection="1">
      <alignment horizontal="center" vertical="center" textRotation="90" wrapText="1"/>
      <protection hidden="1"/>
    </xf>
    <xf numFmtId="173" fontId="29" fillId="2" borderId="21" xfId="9" applyNumberFormat="1" applyFont="1" applyFill="1" applyBorder="1" applyAlignment="1" applyProtection="1">
      <alignment horizontal="center" vertical="center" textRotation="90" wrapText="1"/>
      <protection hidden="1"/>
    </xf>
    <xf numFmtId="170" fontId="29" fillId="0" borderId="19" xfId="10" applyFont="1" applyFill="1" applyBorder="1" applyAlignment="1" applyProtection="1">
      <alignment horizontal="center" vertical="center" textRotation="90" wrapText="1"/>
      <protection hidden="1"/>
    </xf>
    <xf numFmtId="0" fontId="29" fillId="4" borderId="19" xfId="10" applyNumberFormat="1" applyFont="1" applyFill="1" applyBorder="1" applyAlignment="1" applyProtection="1">
      <alignment horizontal="center" vertical="center" textRotation="90" wrapText="1"/>
      <protection hidden="1"/>
    </xf>
    <xf numFmtId="182" fontId="29" fillId="14" borderId="19" xfId="9" applyNumberFormat="1" applyFont="1" applyFill="1" applyBorder="1" applyAlignment="1" applyProtection="1">
      <alignment horizontal="center" vertical="center" textRotation="90" wrapText="1"/>
      <protection hidden="1"/>
    </xf>
    <xf numFmtId="4" fontId="29" fillId="0" borderId="19" xfId="9" applyNumberFormat="1" applyFont="1" applyBorder="1" applyAlignment="1" applyProtection="1">
      <alignment horizontal="center" vertical="center" wrapText="1"/>
      <protection hidden="1"/>
    </xf>
    <xf numFmtId="0" fontId="18" fillId="0" borderId="0" xfId="9" applyFont="1" applyAlignment="1">
      <alignment horizontal="center"/>
    </xf>
    <xf numFmtId="4" fontId="29" fillId="14" borderId="19" xfId="9" applyNumberFormat="1" applyFont="1" applyFill="1" applyBorder="1" applyAlignment="1" applyProtection="1">
      <alignment horizontal="center" vertical="center" wrapText="1"/>
      <protection hidden="1"/>
    </xf>
    <xf numFmtId="4" fontId="29" fillId="4" borderId="19" xfId="9" applyNumberFormat="1" applyFont="1" applyFill="1" applyBorder="1" applyAlignment="1" applyProtection="1">
      <alignment horizontal="center" vertical="center" wrapText="1"/>
      <protection hidden="1"/>
    </xf>
    <xf numFmtId="182" fontId="29" fillId="14" borderId="19" xfId="9" applyNumberFormat="1" applyFont="1" applyFill="1" applyBorder="1" applyAlignment="1" applyProtection="1">
      <alignment horizontal="center" vertical="center" wrapText="1"/>
      <protection hidden="1"/>
    </xf>
    <xf numFmtId="0" fontId="116" fillId="0" borderId="0" xfId="9" applyFont="1" applyAlignment="1" applyProtection="1">
      <alignment horizontal="center" vertical="center"/>
      <protection hidden="1"/>
    </xf>
    <xf numFmtId="0" fontId="116" fillId="0" borderId="0" xfId="9" applyFont="1" applyAlignment="1" applyProtection="1">
      <alignment horizontal="center"/>
      <protection hidden="1"/>
    </xf>
    <xf numFmtId="0" fontId="110" fillId="6" borderId="25" xfId="9" applyFont="1" applyFill="1" applyBorder="1" applyAlignment="1" applyProtection="1">
      <alignment horizontal="center" vertical="center" textRotation="90" wrapText="1"/>
      <protection hidden="1"/>
    </xf>
    <xf numFmtId="39" fontId="103" fillId="24" borderId="6" xfId="0" applyFont="1" applyFill="1" applyBorder="1" applyAlignment="1">
      <alignment horizontal="center"/>
    </xf>
    <xf numFmtId="39" fontId="103" fillId="24" borderId="11" xfId="0" applyFont="1" applyFill="1" applyBorder="1" applyAlignment="1">
      <alignment horizontal="center"/>
    </xf>
    <xf numFmtId="39" fontId="103" fillId="24" borderId="12" xfId="0" applyFont="1" applyFill="1" applyBorder="1" applyAlignment="1">
      <alignment horizontal="center"/>
    </xf>
    <xf numFmtId="39" fontId="103" fillId="14" borderId="6" xfId="0" applyFont="1" applyFill="1" applyBorder="1" applyAlignment="1">
      <alignment horizontal="center"/>
    </xf>
    <xf numFmtId="39" fontId="103" fillId="14" borderId="12" xfId="0" applyFont="1" applyFill="1" applyBorder="1" applyAlignment="1">
      <alignment horizontal="center"/>
    </xf>
    <xf numFmtId="39" fontId="103" fillId="10" borderId="6" xfId="0" applyFont="1" applyFill="1" applyBorder="1" applyAlignment="1">
      <alignment horizontal="center"/>
    </xf>
    <xf numFmtId="39" fontId="103" fillId="10" borderId="12" xfId="0" applyFont="1" applyFill="1" applyBorder="1" applyAlignment="1">
      <alignment horizontal="center"/>
    </xf>
    <xf numFmtId="39" fontId="103" fillId="4" borderId="6" xfId="0" applyFont="1" applyFill="1" applyBorder="1" applyAlignment="1">
      <alignment horizontal="center"/>
    </xf>
    <xf numFmtId="39" fontId="103" fillId="4" borderId="12" xfId="0" applyFont="1" applyFill="1" applyBorder="1" applyAlignment="1">
      <alignment horizontal="center"/>
    </xf>
    <xf numFmtId="39" fontId="103" fillId="25" borderId="6" xfId="0" applyFont="1" applyFill="1" applyBorder="1" applyAlignment="1">
      <alignment horizontal="center"/>
    </xf>
    <xf numFmtId="39" fontId="103" fillId="25" borderId="12" xfId="0" applyFont="1" applyFill="1" applyBorder="1" applyAlignment="1">
      <alignment horizontal="center"/>
    </xf>
    <xf numFmtId="39" fontId="97" fillId="2" borderId="0" xfId="0" applyFont="1" applyFill="1" applyAlignment="1">
      <alignment horizontal="left" vertical="center" indent="18"/>
    </xf>
  </cellXfs>
  <cellStyles count="153">
    <cellStyle name="Millares" xfId="1" builtinId="3"/>
    <cellStyle name="Millares 10" xfId="37" xr:uid="{A1AE65F7-0E82-4603-A8AC-C5807D1F5B9E}"/>
    <cellStyle name="Millares 10 2" xfId="111" xr:uid="{C2E5E394-148C-47BB-ABC0-16A04EF82AB6}"/>
    <cellStyle name="Millares 10 3" xfId="150" xr:uid="{9DE16F1F-A079-431C-9FFB-D945895DA78B}"/>
    <cellStyle name="Millares 11" xfId="76" xr:uid="{590CFE0A-86CC-4DF2-90B4-CC35FE7A252E}"/>
    <cellStyle name="Millares 12" xfId="116" xr:uid="{95FE8DE0-191B-4B36-A940-59B91A53D9C1}"/>
    <cellStyle name="Millares 2" xfId="3" xr:uid="{00000000-0005-0000-0000-000001000000}"/>
    <cellStyle name="Millares 2 2" xfId="52" xr:uid="{CAEF2D5D-5339-4A63-A6A0-EC9F4099F9FB}"/>
    <cellStyle name="Millares 2 3" xfId="45" xr:uid="{7422D812-D518-4AA2-970D-1A00FC54AC7E}"/>
    <cellStyle name="Millares 2 4" xfId="84" xr:uid="{3AABF65D-A5BC-4AAD-9DB8-DCAD54BE6BA5}"/>
    <cellStyle name="Millares 2 5" xfId="124" xr:uid="{AE4F734C-6073-4881-A6B8-6FBB13774001}"/>
    <cellStyle name="Millares 3" xfId="6" xr:uid="{00000000-0005-0000-0000-000002000000}"/>
    <cellStyle name="Millares 3 2" xfId="10" xr:uid="{00000000-0005-0000-0000-000003000000}"/>
    <cellStyle name="Millares 4" xfId="7" xr:uid="{00000000-0005-0000-0000-000004000000}"/>
    <cellStyle name="Millares 5" xfId="12" xr:uid="{00000000-0005-0000-0000-000005000000}"/>
    <cellStyle name="Millares 5 2" xfId="20" xr:uid="{00000000-0005-0000-0000-000006000000}"/>
    <cellStyle name="Millares 5 2 2" xfId="61" xr:uid="{D304EC22-7DFE-41A7-8AB8-24665BE6645A}"/>
    <cellStyle name="Millares 5 2 3" xfId="96" xr:uid="{69CB2C6F-2067-4620-92BD-D03DDA1A87A2}"/>
    <cellStyle name="Millares 5 2 4" xfId="136" xr:uid="{7B23216F-5B40-4865-9E67-4227C8865436}"/>
    <cellStyle name="Millares 5 3" xfId="54" xr:uid="{4F777F2D-2327-4CC2-85B1-7FC16467DC34}"/>
    <cellStyle name="Millares 5 3 2" xfId="89" xr:uid="{C00B48FC-DCD2-47C6-8167-B4D382F7F7EA}"/>
    <cellStyle name="Millares 5 3 3" xfId="129" xr:uid="{FE5601E9-036E-42DE-905A-B3C79E1656A0}"/>
    <cellStyle name="Millares 5 4" xfId="40" xr:uid="{D2BE12A2-8CB7-40C6-9355-2E85A19286AF}"/>
    <cellStyle name="Millares 5 5" xfId="79" xr:uid="{3FDD990F-BF63-4AFA-A0D7-95842A095639}"/>
    <cellStyle name="Millares 5 6" xfId="119" xr:uid="{D87F899D-4326-42C0-A5A7-1AD343417224}"/>
    <cellStyle name="Millares 6" xfId="15" xr:uid="{00000000-0005-0000-0000-000007000000}"/>
    <cellStyle name="Millares 6 2" xfId="23" xr:uid="{00000000-0005-0000-0000-000008000000}"/>
    <cellStyle name="Millares 6 2 2" xfId="29" xr:uid="{00000000-0005-0000-0000-000009000000}"/>
    <cellStyle name="Millares 6 2 2 2" xfId="34" xr:uid="{00000000-0005-0000-0000-00000A000000}"/>
    <cellStyle name="Millares 6 2 2 2 2" xfId="74" xr:uid="{45DE3C0A-E1AE-4060-9A15-F0427CF3AF89}"/>
    <cellStyle name="Millares 6 2 2 2 2 2" xfId="113" xr:uid="{7B7F63AF-DCF6-490D-AFA0-251927495D74}"/>
    <cellStyle name="Millares 6 2 2 2 2 3" xfId="152" xr:uid="{466561D0-ADA9-4086-8FAA-03FDE5883B3E}"/>
    <cellStyle name="Millares 6 2 2 2 3" xfId="109" xr:uid="{CCD613CC-1617-4763-A3B6-5A445D5A363C}"/>
    <cellStyle name="Millares 6 2 2 2 4" xfId="149" xr:uid="{0706D8C1-1C75-47BB-93E5-88E854E840D2}"/>
    <cellStyle name="Millares 6 2 2 3" xfId="69" xr:uid="{E6649BC7-0ECD-49D2-B9D4-8019130CF832}"/>
    <cellStyle name="Millares 6 2 2 3 2" xfId="104" xr:uid="{767663B1-48B3-4F3C-B69A-A84830C1C9DC}"/>
    <cellStyle name="Millares 6 2 2 3 3" xfId="144" xr:uid="{BC12F371-44F9-4637-873B-A7496CAC61AE}"/>
    <cellStyle name="Millares 6 2 2 4" xfId="47" xr:uid="{C272C6A6-C520-499B-A224-6BA3CCDD5EE5}"/>
    <cellStyle name="Millares 6 2 2 5" xfId="86" xr:uid="{E40F0D03-67F5-4F20-BDB1-E2DFEC4B6A9C}"/>
    <cellStyle name="Millares 6 2 2 6" xfId="126" xr:uid="{10CA5CFC-D355-4C9C-8EC6-A1C924773B93}"/>
    <cellStyle name="Millares 6 2 3" xfId="63" xr:uid="{798ECE9D-8297-4D60-AE4F-87756C1B7059}"/>
    <cellStyle name="Millares 6 2 3 2" xfId="98" xr:uid="{875BEB63-CF97-4EF3-9FE4-4E0DEC793F4A}"/>
    <cellStyle name="Millares 6 2 3 3" xfId="138" xr:uid="{813F3815-3300-4B54-821B-DF6083928DAC}"/>
    <cellStyle name="Millares 6 2 4" xfId="44" xr:uid="{D12F0D51-AB0A-4C0F-BC8D-B185026FF1CA}"/>
    <cellStyle name="Millares 6 2 5" xfId="83" xr:uid="{6340204A-CA02-4BDC-8AD0-535976C12F1F}"/>
    <cellStyle name="Millares 6 2 6" xfId="123" xr:uid="{59C188BD-13A7-4642-99DF-F51C8365B45F}"/>
    <cellStyle name="Millares 6 3" xfId="56" xr:uid="{4508A82F-D1C3-4B8B-AC72-54A08ACDB102}"/>
    <cellStyle name="Millares 6 3 2" xfId="91" xr:uid="{4BAD14BF-752A-4111-95F9-61D8612DAB59}"/>
    <cellStyle name="Millares 6 3 3" xfId="131" xr:uid="{1DB02DCC-AE18-4E11-BEF8-7F657DA9C2BE}"/>
    <cellStyle name="Millares 6 4" xfId="42" xr:uid="{30CEEB8D-2D14-4950-82C3-18C9580D7262}"/>
    <cellStyle name="Millares 6 5" xfId="81" xr:uid="{8FD07380-5916-438C-86B1-7783E5253C92}"/>
    <cellStyle name="Millares 6 6" xfId="121" xr:uid="{ACA1DFE8-6393-48CC-BE78-3825D2BF7142}"/>
    <cellStyle name="Millares 7" xfId="26" xr:uid="{00000000-0005-0000-0000-00000B000000}"/>
    <cellStyle name="Millares 7 2" xfId="66" xr:uid="{962405AE-061A-4AA4-907A-A5563F34E722}"/>
    <cellStyle name="Millares 7 3" xfId="101" xr:uid="{87787FA3-F6EA-4D72-B2DD-02979FA76EF6}"/>
    <cellStyle name="Millares 7 4" xfId="141" xr:uid="{6670BD10-2230-4668-9C07-73F25D500E0E}"/>
    <cellStyle name="Millares 8" xfId="30" xr:uid="{00000000-0005-0000-0000-00000C000000}"/>
    <cellStyle name="Millares 8 2" xfId="70" xr:uid="{DFED1236-9725-4E35-A53A-80C1F66A81D9}"/>
    <cellStyle name="Millares 8 2 2" xfId="105" xr:uid="{3408BDEE-E0A2-4BBA-BDA7-C308EC32BDAB}"/>
    <cellStyle name="Millares 8 2 3" xfId="145" xr:uid="{F02F443D-FAD7-4229-B9FB-DC17F6B2B2F1}"/>
    <cellStyle name="Millares 8 3" xfId="48" xr:uid="{DC0ADEA5-690C-4A79-BF95-981F0CF89F26}"/>
    <cellStyle name="Millares 8 4" xfId="87" xr:uid="{4253C601-D5FA-4D10-A8CE-B4D41541500F}"/>
    <cellStyle name="Millares 8 5" xfId="127" xr:uid="{C074B4D8-B870-4C07-9D1B-A6A0928A7365}"/>
    <cellStyle name="Millares 9" xfId="51" xr:uid="{68A23C15-68E6-4618-8C11-E40FB5E87D05}"/>
    <cellStyle name="Millares 9 2" xfId="88" xr:uid="{84431A4A-0DF2-4AD1-90D6-AABD414DEDA4}"/>
    <cellStyle name="Millares 9 3" xfId="128" xr:uid="{3C4FD025-38FD-49F5-83EB-F8CAD3A55583}"/>
    <cellStyle name="Moneda" xfId="4" builtinId="4"/>
    <cellStyle name="Moneda 2" xfId="13" xr:uid="{00000000-0005-0000-0000-00000E000000}"/>
    <cellStyle name="Moneda 2 2" xfId="19" xr:uid="{00000000-0005-0000-0000-00000F000000}"/>
    <cellStyle name="Moneda 2 2 2" xfId="60" xr:uid="{4220B4B3-5115-4E88-9469-6ACAC4B86A1C}"/>
    <cellStyle name="Moneda 2 2 3" xfId="95" xr:uid="{489946B2-FD46-496A-AAFE-D0792B3A355C}"/>
    <cellStyle name="Moneda 2 2 4" xfId="135" xr:uid="{3A789B4B-9977-4A9E-9608-2A56C16DA0AF}"/>
    <cellStyle name="Moneda 2 3" xfId="39" xr:uid="{87FF269B-3FE1-4663-A058-CE8826714FF5}"/>
    <cellStyle name="Moneda 2 4" xfId="78" xr:uid="{EBB92671-9ACA-47D5-B3D3-C263C4C7224B}"/>
    <cellStyle name="Moneda 2 5" xfId="118" xr:uid="{15BD84E8-D9A7-48B0-B583-BF44C8EEAAFD}"/>
    <cellStyle name="Moneda 3" xfId="16" xr:uid="{00000000-0005-0000-0000-000010000000}"/>
    <cellStyle name="Moneda 3 2" xfId="22" xr:uid="{00000000-0005-0000-0000-000011000000}"/>
    <cellStyle name="Moneda 3 2 2" xfId="28" xr:uid="{00000000-0005-0000-0000-000012000000}"/>
    <cellStyle name="Moneda 3 2 2 2" xfId="33" xr:uid="{00000000-0005-0000-0000-000013000000}"/>
    <cellStyle name="Moneda 3 2 2 2 2" xfId="73" xr:uid="{745DFB32-9668-495D-8CF9-F9F582E4AE78}"/>
    <cellStyle name="Moneda 3 2 2 2 2 2" xfId="112" xr:uid="{5A74A5EE-EA50-4963-A1EF-F1BB852028EB}"/>
    <cellStyle name="Moneda 3 2 2 2 2 3" xfId="151" xr:uid="{DCA10F37-B46B-4840-8B71-2EF45655A663}"/>
    <cellStyle name="Moneda 3 2 2 2 3" xfId="108" xr:uid="{140C5552-3DF0-4008-B7A9-CCA3AA98A406}"/>
    <cellStyle name="Moneda 3 2 2 2 4" xfId="148" xr:uid="{08445418-617A-4720-8FDB-5CB4F6CFD0AB}"/>
    <cellStyle name="Moneda 3 2 2 3" xfId="68" xr:uid="{DD0A79AE-235B-43AF-879F-DA695E3AF3D3}"/>
    <cellStyle name="Moneda 3 2 2 3 2" xfId="103" xr:uid="{476B5716-35F5-40FC-9413-1EF7371E67A8}"/>
    <cellStyle name="Moneda 3 2 2 3 3" xfId="143" xr:uid="{1D4322B3-B00F-4758-A699-BACAAB1EC24A}"/>
    <cellStyle name="Moneda 3 2 2 4" xfId="46" xr:uid="{B1695352-133E-4E06-B31A-7B5F4DCF3279}"/>
    <cellStyle name="Moneda 3 2 2 5" xfId="85" xr:uid="{9B38B575-47DD-4A70-9E52-636AE119CB33}"/>
    <cellStyle name="Moneda 3 2 2 6" xfId="125" xr:uid="{B78FEEF1-1F66-4055-A0C7-B901F16B6FE1}"/>
    <cellStyle name="Moneda 3 2 3" xfId="32" xr:uid="{00000000-0005-0000-0000-000014000000}"/>
    <cellStyle name="Moneda 3 2 3 2" xfId="72" xr:uid="{87C80D07-ED4D-4EDD-A345-AFE3D8334B51}"/>
    <cellStyle name="Moneda 3 2 3 3" xfId="107" xr:uid="{4B6BB114-03C7-4D58-9D71-F9F44C27F689}"/>
    <cellStyle name="Moneda 3 2 3 4" xfId="147" xr:uid="{E6C49ECC-59AB-44E2-A2BF-301B2C7F1E76}"/>
    <cellStyle name="Moneda 3 2 4" xfId="62" xr:uid="{ADDEDC75-2E5C-4FC7-A638-7999D3B46A8C}"/>
    <cellStyle name="Moneda 3 2 4 2" xfId="97" xr:uid="{692A249D-302F-4EEE-9CFD-5F617ADCA4D4}"/>
    <cellStyle name="Moneda 3 2 4 3" xfId="137" xr:uid="{378C65CB-88AC-45C0-A1BA-FB60E90FEC00}"/>
    <cellStyle name="Moneda 3 2 5" xfId="43" xr:uid="{6B0CFD10-11F5-445E-8C46-01D0E4270CFB}"/>
    <cellStyle name="Moneda 3 2 6" xfId="82" xr:uid="{0F1128C4-6124-4068-9CCC-7996E33C3CCC}"/>
    <cellStyle name="Moneda 3 2 7" xfId="122" xr:uid="{DAF7E860-BCE9-4E81-A19E-375650421BA5}"/>
    <cellStyle name="Moneda 3 3" xfId="57" xr:uid="{2BBFB5E9-D7C6-4357-BAE1-3EE3162D5C9D}"/>
    <cellStyle name="Moneda 3 3 2" xfId="92" xr:uid="{9D39E116-7E03-4377-94E8-420493D05443}"/>
    <cellStyle name="Moneda 3 3 3" xfId="132" xr:uid="{2315F44E-223C-4610-BD0F-D57B5E9630F7}"/>
    <cellStyle name="Moneda 3 4" xfId="41" xr:uid="{F6780C3F-8345-4BC5-A80E-8C15AF155AE6}"/>
    <cellStyle name="Moneda 3 5" xfId="80" xr:uid="{5A5E0495-982B-4C72-84F7-67149CA76552}"/>
    <cellStyle name="Moneda 3 6" xfId="120" xr:uid="{0C10A261-A642-41D8-B6FD-AAC0434DDA68}"/>
    <cellStyle name="Moneda 4" xfId="24" xr:uid="{00000000-0005-0000-0000-000015000000}"/>
    <cellStyle name="Moneda 4 2" xfId="64" xr:uid="{F9E66B30-47A6-4350-BE15-EBD531A5ED1B}"/>
    <cellStyle name="Moneda 4 3" xfId="99" xr:uid="{91956770-BD70-4079-B97E-B4D44D687D02}"/>
    <cellStyle name="Moneda 4 4" xfId="139" xr:uid="{20303D49-DBB5-47A2-AB81-A963EA81C86A}"/>
    <cellStyle name="Moneda 5" xfId="53" xr:uid="{9FD896D4-6E52-4108-BCEE-65FEFFEF3FBC}"/>
    <cellStyle name="Normal" xfId="0" builtinId="0"/>
    <cellStyle name="Normal 10" xfId="50" xr:uid="{3220DC2A-47FC-472C-9320-76FA645A534F}"/>
    <cellStyle name="Normal 11" xfId="36" xr:uid="{0BE8A37C-3A24-4A4C-A44B-76AF197AE969}"/>
    <cellStyle name="Normal 11 2" xfId="110" xr:uid="{8F8F5BB9-EDDB-45D4-8B66-BF56C81D4FEF}"/>
    <cellStyle name="Normal 12" xfId="75" xr:uid="{A186A1B8-5545-4DD0-A996-59FB197FA4BF}"/>
    <cellStyle name="Normal 13" xfId="115" xr:uid="{78B6593C-8625-41CA-8B46-257D1F369509}"/>
    <cellStyle name="Normal 2" xfId="2" xr:uid="{00000000-0005-0000-0000-000017000000}"/>
    <cellStyle name="Normal 2 11" xfId="8" xr:uid="{00000000-0005-0000-0000-000018000000}"/>
    <cellStyle name="Normal 3" xfId="5" xr:uid="{00000000-0005-0000-0000-000019000000}"/>
    <cellStyle name="Normal 3 2" xfId="9" xr:uid="{00000000-0005-0000-0000-00001A000000}"/>
    <cellStyle name="Normal 4" xfId="11" xr:uid="{00000000-0005-0000-0000-00001B000000}"/>
    <cellStyle name="Normal 4 2" xfId="18" xr:uid="{00000000-0005-0000-0000-00001C000000}"/>
    <cellStyle name="Normal 4 2 2" xfId="59" xr:uid="{EC87BAE5-88C9-47E0-AD7A-4E3E530E5EDC}"/>
    <cellStyle name="Normal 4 2 3" xfId="94" xr:uid="{CC607C4E-CEE1-4F66-AE5B-A374B38A5CC0}"/>
    <cellStyle name="Normal 4 2 4" xfId="134" xr:uid="{5B8AD8AB-C1EC-403F-AB0C-48F3FA5547FF}"/>
    <cellStyle name="Normal 4 3" xfId="38" xr:uid="{17B81C90-AC19-4486-AAD5-E127489204D0}"/>
    <cellStyle name="Normal 4 4" xfId="77" xr:uid="{509486B7-43AD-45F6-A5CD-49905F543EA4}"/>
    <cellStyle name="Normal 4 5" xfId="117" xr:uid="{A3E9DAC0-AF4E-406F-852D-F19789CF1C7E}"/>
    <cellStyle name="Normal 5" xfId="14" xr:uid="{00000000-0005-0000-0000-00001D000000}"/>
    <cellStyle name="Normal 5 2" xfId="21" xr:uid="{00000000-0005-0000-0000-00001E000000}"/>
    <cellStyle name="Normal 5 3" xfId="55" xr:uid="{9E85EFAC-57C6-4149-9023-FDEE981D6759}"/>
    <cellStyle name="Normal 5 3 2" xfId="90" xr:uid="{D869FE7C-412B-43BB-B08A-B211BFE4F8B4}"/>
    <cellStyle name="Normal 5 3 3" xfId="130" xr:uid="{18BF0085-9DCC-4CB9-A53C-F9CA5A751283}"/>
    <cellStyle name="Normal 6" xfId="17" xr:uid="{00000000-0005-0000-0000-00001F000000}"/>
    <cellStyle name="Normal 6 2" xfId="58" xr:uid="{FD2F2934-ABCC-449B-87E8-B6826254ECE2}"/>
    <cellStyle name="Normal 6 3" xfId="93" xr:uid="{7BBF1202-9C5E-48C8-8B8D-193881CF1436}"/>
    <cellStyle name="Normal 6 4" xfId="133" xr:uid="{22502E68-F2CA-4B6C-AB38-8041BE2FFF20}"/>
    <cellStyle name="Normal 7" xfId="25" xr:uid="{00000000-0005-0000-0000-000020000000}"/>
    <cellStyle name="Normal 7 2" xfId="65" xr:uid="{DCB92652-5836-4311-9D90-D25191A6C48C}"/>
    <cellStyle name="Normal 7 3" xfId="100" xr:uid="{F60BD550-B43B-4ECC-8608-D63E5065B700}"/>
    <cellStyle name="Normal 7 4" xfId="140" xr:uid="{DEF6CFCF-C786-4ABE-AECB-D1F3F2908075}"/>
    <cellStyle name="Normal 8" xfId="27" xr:uid="{00000000-0005-0000-0000-000021000000}"/>
    <cellStyle name="Normal 8 2" xfId="67" xr:uid="{3165B330-81B5-4D14-8814-76D6AAD093B6}"/>
    <cellStyle name="Normal 8 3" xfId="102" xr:uid="{5373A1FF-24FE-482A-8DC2-067680FB6AAE}"/>
    <cellStyle name="Normal 8 4" xfId="142" xr:uid="{A1E4A829-3BCD-4A49-97F4-F43509F6A768}"/>
    <cellStyle name="Normal 9" xfId="31" xr:uid="{00000000-0005-0000-0000-000022000000}"/>
    <cellStyle name="Normal 9 2" xfId="35" xr:uid="{9817BFC2-0E89-46A6-A93B-A3F08101DE2B}"/>
    <cellStyle name="Normal 9 2 2" xfId="71" xr:uid="{D64A94C6-7659-46B6-84C8-67645C259326}"/>
    <cellStyle name="Normal 9 2 2 2" xfId="114" xr:uid="{4C26448C-1EC3-4F0E-AEAB-AC755B563E69}"/>
    <cellStyle name="Normal 9 2 3" xfId="106" xr:uid="{5B402190-6A6A-4B85-AC77-13338DED8C12}"/>
    <cellStyle name="Normal 9 2 4" xfId="146" xr:uid="{250D1492-ED27-4091-AA8B-CA227C5D4D34}"/>
    <cellStyle name="Normal 9 3" xfId="49" xr:uid="{15FAFECD-9093-4488-8E0B-14300F22B1D7}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FF0066"/>
      <color rgb="FFFF99CC"/>
      <color rgb="FFF7A7E2"/>
      <color rgb="FFCCFFFF"/>
      <color rgb="FFFFCCFF"/>
      <color rgb="FF99FFCC"/>
      <color rgb="FFFBC9F6"/>
      <color rgb="FFFFFFCC"/>
      <color rgb="FFFFCC99"/>
      <color rgb="FFDDC1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677810</xdr:colOff>
      <xdr:row>0</xdr:row>
      <xdr:rowOff>92109</xdr:rowOff>
    </xdr:from>
    <xdr:to>
      <xdr:col>0</xdr:col>
      <xdr:colOff>1791502</xdr:colOff>
      <xdr:row>2</xdr:row>
      <xdr:rowOff>146650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810" y="92109"/>
          <a:ext cx="1113692" cy="6619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1045535</xdr:colOff>
      <xdr:row>0</xdr:row>
      <xdr:rowOff>0</xdr:rowOff>
    </xdr:from>
    <xdr:to>
      <xdr:col>25</xdr:col>
      <xdr:colOff>2105765</xdr:colOff>
      <xdr:row>3</xdr:row>
      <xdr:rowOff>114232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2605" y="0"/>
          <a:ext cx="1060230" cy="7521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68</xdr:col>
      <xdr:colOff>687456</xdr:colOff>
      <xdr:row>3</xdr:row>
      <xdr:rowOff>190500</xdr:rowOff>
    </xdr:from>
    <xdr:ext cx="1317620" cy="1072438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46086" y="687457"/>
          <a:ext cx="1317620" cy="107243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1319893</xdr:colOff>
      <xdr:row>0</xdr:row>
      <xdr:rowOff>0</xdr:rowOff>
    </xdr:from>
    <xdr:to>
      <xdr:col>11</xdr:col>
      <xdr:colOff>457052</xdr:colOff>
      <xdr:row>3</xdr:row>
      <xdr:rowOff>59055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F7C079-B150-4A47-ADE9-F6BB7F0C8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3318" y="0"/>
          <a:ext cx="2047163" cy="1085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1235756</xdr:colOff>
      <xdr:row>0</xdr:row>
      <xdr:rowOff>91281</xdr:rowOff>
    </xdr:from>
    <xdr:to>
      <xdr:col>11</xdr:col>
      <xdr:colOff>928655</xdr:colOff>
      <xdr:row>4</xdr:row>
      <xdr:rowOff>253206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9631" y="91281"/>
          <a:ext cx="2566275" cy="9874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632258</xdr:colOff>
      <xdr:row>1</xdr:row>
      <xdr:rowOff>7910</xdr:rowOff>
    </xdr:from>
    <xdr:to>
      <xdr:col>25</xdr:col>
      <xdr:colOff>1692487</xdr:colOff>
      <xdr:row>4</xdr:row>
      <xdr:rowOff>122142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49514" y="193980"/>
          <a:ext cx="1060229" cy="7521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21813</xdr:colOff>
      <xdr:row>0</xdr:row>
      <xdr:rowOff>61310</xdr:rowOff>
    </xdr:from>
    <xdr:to>
      <xdr:col>28</xdr:col>
      <xdr:colOff>516759</xdr:colOff>
      <xdr:row>6</xdr:row>
      <xdr:rowOff>140137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3813" y="61310"/>
          <a:ext cx="2325497" cy="131379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873264</xdr:colOff>
      <xdr:row>1</xdr:row>
      <xdr:rowOff>40968</xdr:rowOff>
    </xdr:from>
    <xdr:to>
      <xdr:col>6</xdr:col>
      <xdr:colOff>549491</xdr:colOff>
      <xdr:row>4</xdr:row>
      <xdr:rowOff>131381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651" y="221226"/>
          <a:ext cx="1887256" cy="82783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670732</xdr:colOff>
      <xdr:row>1</xdr:row>
      <xdr:rowOff>200025</xdr:rowOff>
    </xdr:from>
    <xdr:to>
      <xdr:col>6</xdr:col>
      <xdr:colOff>607622</xdr:colOff>
      <xdr:row>6</xdr:row>
      <xdr:rowOff>238125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48683C-DF0E-425B-8C7D-676495202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3657" y="209550"/>
          <a:ext cx="2127639" cy="1085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873265</xdr:colOff>
      <xdr:row>1</xdr:row>
      <xdr:rowOff>40969</xdr:rowOff>
    </xdr:from>
    <xdr:to>
      <xdr:col>5</xdr:col>
      <xdr:colOff>381001</xdr:colOff>
      <xdr:row>4</xdr:row>
      <xdr:rowOff>76201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F09535-E695-496D-92A5-05946267F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5315" y="231469"/>
          <a:ext cx="1736586" cy="89248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0</xdr:row>
      <xdr:rowOff>257176</xdr:rowOff>
    </xdr:from>
    <xdr:to>
      <xdr:col>1</xdr:col>
      <xdr:colOff>2371725</xdr:colOff>
      <xdr:row>2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063E90-DF99-4F1C-8631-929E5BC30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257176"/>
          <a:ext cx="1685925" cy="6953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35443</xdr:colOff>
      <xdr:row>1</xdr:row>
      <xdr:rowOff>35441</xdr:rowOff>
    </xdr:from>
    <xdr:to>
      <xdr:col>8</xdr:col>
      <xdr:colOff>345697</xdr:colOff>
      <xdr:row>4</xdr:row>
      <xdr:rowOff>177209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562021-8FE9-4261-9BE2-9CDC3CF9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4978" y="221511"/>
          <a:ext cx="1417812" cy="77972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1127125</xdr:colOff>
      <xdr:row>1</xdr:row>
      <xdr:rowOff>19050</xdr:rowOff>
    </xdr:from>
    <xdr:to>
      <xdr:col>69</xdr:col>
      <xdr:colOff>225563</xdr:colOff>
      <xdr:row>5</xdr:row>
      <xdr:rowOff>190719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6875" y="241300"/>
          <a:ext cx="1670188" cy="106066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61</xdr:col>
      <xdr:colOff>687456</xdr:colOff>
      <xdr:row>3</xdr:row>
      <xdr:rowOff>190500</xdr:rowOff>
    </xdr:from>
    <xdr:ext cx="1317620" cy="1072438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12856" y="685800"/>
          <a:ext cx="1317620" cy="1072438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63</xdr:col>
      <xdr:colOff>390525</xdr:colOff>
      <xdr:row>6</xdr:row>
      <xdr:rowOff>0</xdr:rowOff>
    </xdr:from>
    <xdr:to>
      <xdr:col>63</xdr:col>
      <xdr:colOff>1740033</xdr:colOff>
      <xdr:row>11</xdr:row>
      <xdr:rowOff>12542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3275" y="1085850"/>
          <a:ext cx="1349508" cy="86979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938813</xdr:colOff>
      <xdr:row>0</xdr:row>
      <xdr:rowOff>87585</xdr:rowOff>
    </xdr:from>
    <xdr:to>
      <xdr:col>27</xdr:col>
      <xdr:colOff>1678973</xdr:colOff>
      <xdr:row>4</xdr:row>
      <xdr:rowOff>218966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8A7F79-7D86-42C3-A782-1A97FB9A4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1653" y="87585"/>
          <a:ext cx="1883160" cy="1045781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1962150</xdr:colOff>
      <xdr:row>1</xdr:row>
      <xdr:rowOff>57151</xdr:rowOff>
    </xdr:from>
    <xdr:to>
      <xdr:col>1</xdr:col>
      <xdr:colOff>1368811</xdr:colOff>
      <xdr:row>3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924395-8AC5-481A-A8C8-10B20E05D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150" y="190501"/>
          <a:ext cx="1968886" cy="7524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99646</xdr:colOff>
      <xdr:row>1</xdr:row>
      <xdr:rowOff>151980</xdr:rowOff>
    </xdr:from>
    <xdr:to>
      <xdr:col>25</xdr:col>
      <xdr:colOff>888572</xdr:colOff>
      <xdr:row>5</xdr:row>
      <xdr:rowOff>54736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AD1C549-5012-420F-AFFF-84A299234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72800" y="151980"/>
          <a:ext cx="1416110" cy="74681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376838</xdr:colOff>
      <xdr:row>1</xdr:row>
      <xdr:rowOff>125686</xdr:rowOff>
    </xdr:from>
    <xdr:to>
      <xdr:col>26</xdr:col>
      <xdr:colOff>229621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9B1B73B-0F6B-43D0-B8BA-4A6E1F50F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97413" y="316186"/>
          <a:ext cx="1968886" cy="73156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538763</xdr:colOff>
      <xdr:row>0</xdr:row>
      <xdr:rowOff>154260</xdr:rowOff>
    </xdr:from>
    <xdr:to>
      <xdr:col>25</xdr:col>
      <xdr:colOff>302010</xdr:colOff>
      <xdr:row>4</xdr:row>
      <xdr:rowOff>219075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E77C02-15A6-4643-83E7-9D2B27223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78388" y="154260"/>
          <a:ext cx="1968885" cy="109351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595913</xdr:colOff>
      <xdr:row>1</xdr:row>
      <xdr:rowOff>144735</xdr:rowOff>
    </xdr:from>
    <xdr:to>
      <xdr:col>27</xdr:col>
      <xdr:colOff>96270</xdr:colOff>
      <xdr:row>5</xdr:row>
      <xdr:rowOff>276225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1EC0B4-433F-4608-9D79-69A67AF07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3038" y="144735"/>
          <a:ext cx="1968885" cy="113161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253013</xdr:colOff>
      <xdr:row>0</xdr:row>
      <xdr:rowOff>116160</xdr:rowOff>
    </xdr:from>
    <xdr:to>
      <xdr:col>21</xdr:col>
      <xdr:colOff>795054</xdr:colOff>
      <xdr:row>4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C8808B-D6D9-44DE-9215-7B90140E5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0738" y="116160"/>
          <a:ext cx="1968886" cy="113161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428625</xdr:colOff>
      <xdr:row>0</xdr:row>
      <xdr:rowOff>171450</xdr:rowOff>
    </xdr:from>
    <xdr:to>
      <xdr:col>1</xdr:col>
      <xdr:colOff>1047750</xdr:colOff>
      <xdr:row>3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A729959-D76A-4CB4-A7A1-E0D4740A9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171450"/>
          <a:ext cx="1257300" cy="61912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81563</xdr:colOff>
      <xdr:row>0</xdr:row>
      <xdr:rowOff>316186</xdr:rowOff>
    </xdr:from>
    <xdr:to>
      <xdr:col>27</xdr:col>
      <xdr:colOff>520894</xdr:colOff>
      <xdr:row>4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8AB13F-B745-4E50-BC13-DC894F9DB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6938" y="316186"/>
          <a:ext cx="1528162" cy="96969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561194</xdr:colOff>
      <xdr:row>0</xdr:row>
      <xdr:rowOff>185903</xdr:rowOff>
    </xdr:from>
    <xdr:to>
      <xdr:col>23</xdr:col>
      <xdr:colOff>341751</xdr:colOff>
      <xdr:row>3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EC0B15-98BA-4067-8081-ACC6B28D3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2144" y="185903"/>
          <a:ext cx="1837957" cy="966622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99646</xdr:colOff>
      <xdr:row>1</xdr:row>
      <xdr:rowOff>151980</xdr:rowOff>
    </xdr:from>
    <xdr:to>
      <xdr:col>25</xdr:col>
      <xdr:colOff>788925</xdr:colOff>
      <xdr:row>5</xdr:row>
      <xdr:rowOff>54736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134CA4-3221-473D-8412-F4EF96B22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81006" y="151980"/>
          <a:ext cx="1413766" cy="756196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551792</xdr:colOff>
      <xdr:row>1</xdr:row>
      <xdr:rowOff>43793</xdr:rowOff>
    </xdr:from>
    <xdr:to>
      <xdr:col>28</xdr:col>
      <xdr:colOff>667041</xdr:colOff>
      <xdr:row>4</xdr:row>
      <xdr:rowOff>78827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76F21C-4546-430D-9DDC-A17B57B2A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20482" y="140138"/>
          <a:ext cx="2129731" cy="66565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69</xdr:col>
      <xdr:colOff>523875</xdr:colOff>
      <xdr:row>2</xdr:row>
      <xdr:rowOff>50347</xdr:rowOff>
    </xdr:from>
    <xdr:to>
      <xdr:col>69</xdr:col>
      <xdr:colOff>1757576</xdr:colOff>
      <xdr:row>5</xdr:row>
      <xdr:rowOff>164863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15482" y="308883"/>
          <a:ext cx="1342064" cy="89012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431363</xdr:colOff>
      <xdr:row>0</xdr:row>
      <xdr:rowOff>151087</xdr:rowOff>
    </xdr:from>
    <xdr:to>
      <xdr:col>28</xdr:col>
      <xdr:colOff>1241694</xdr:colOff>
      <xdr:row>4</xdr:row>
      <xdr:rowOff>80928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0053" y="151087"/>
          <a:ext cx="1160674" cy="74439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1718880</xdr:colOff>
      <xdr:row>1</xdr:row>
      <xdr:rowOff>54742</xdr:rowOff>
    </xdr:from>
    <xdr:to>
      <xdr:col>28</xdr:col>
      <xdr:colOff>2879554</xdr:colOff>
      <xdr:row>4</xdr:row>
      <xdr:rowOff>168514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47E201F-E8E6-437E-A50B-05CF10CA2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1780" y="238892"/>
          <a:ext cx="1160674" cy="76147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295275</xdr:colOff>
      <xdr:row>0</xdr:row>
      <xdr:rowOff>257176</xdr:rowOff>
    </xdr:from>
    <xdr:to>
      <xdr:col>1</xdr:col>
      <xdr:colOff>1981200</xdr:colOff>
      <xdr:row>3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77A2D7-7B9A-408D-8ABF-4AB2588D7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2025" y="257176"/>
          <a:ext cx="1685925" cy="93344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1718880</xdr:colOff>
      <xdr:row>1</xdr:row>
      <xdr:rowOff>54742</xdr:rowOff>
    </xdr:from>
    <xdr:to>
      <xdr:col>28</xdr:col>
      <xdr:colOff>2879554</xdr:colOff>
      <xdr:row>4</xdr:row>
      <xdr:rowOff>168514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4E5F57-14ED-44C1-A7A3-43593C17E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1780" y="238892"/>
          <a:ext cx="1160674" cy="76147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1718880</xdr:colOff>
      <xdr:row>1</xdr:row>
      <xdr:rowOff>54742</xdr:rowOff>
    </xdr:from>
    <xdr:to>
      <xdr:col>28</xdr:col>
      <xdr:colOff>2879554</xdr:colOff>
      <xdr:row>4</xdr:row>
      <xdr:rowOff>168514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6CFF0BB-E0BC-4678-9F7F-1D2856433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1780" y="238892"/>
          <a:ext cx="1160674" cy="76147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1718880</xdr:colOff>
      <xdr:row>1</xdr:row>
      <xdr:rowOff>54742</xdr:rowOff>
    </xdr:from>
    <xdr:to>
      <xdr:col>28</xdr:col>
      <xdr:colOff>2879554</xdr:colOff>
      <xdr:row>4</xdr:row>
      <xdr:rowOff>168514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735443-4360-4B26-B617-C78C540E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1780" y="238892"/>
          <a:ext cx="1160674" cy="76147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1718880</xdr:colOff>
      <xdr:row>1</xdr:row>
      <xdr:rowOff>54742</xdr:rowOff>
    </xdr:from>
    <xdr:to>
      <xdr:col>28</xdr:col>
      <xdr:colOff>2879554</xdr:colOff>
      <xdr:row>4</xdr:row>
      <xdr:rowOff>168514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3AE357-B567-4C97-9650-C92117F88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1780" y="238892"/>
          <a:ext cx="1160674" cy="76147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75</xdr:col>
      <xdr:colOff>755375</xdr:colOff>
      <xdr:row>1</xdr:row>
      <xdr:rowOff>90220</xdr:rowOff>
    </xdr:from>
    <xdr:to>
      <xdr:col>75</xdr:col>
      <xdr:colOff>1653707</xdr:colOff>
      <xdr:row>3</xdr:row>
      <xdr:rowOff>98148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6875" y="90220"/>
          <a:ext cx="898332" cy="54265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1718880</xdr:colOff>
      <xdr:row>1</xdr:row>
      <xdr:rowOff>54742</xdr:rowOff>
    </xdr:from>
    <xdr:to>
      <xdr:col>28</xdr:col>
      <xdr:colOff>2879554</xdr:colOff>
      <xdr:row>4</xdr:row>
      <xdr:rowOff>168514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59A4DB-A5F7-4F71-BFE5-59179BA0F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71780" y="238892"/>
          <a:ext cx="1160674" cy="76147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114300</xdr:rowOff>
    </xdr:from>
    <xdr:to>
      <xdr:col>1</xdr:col>
      <xdr:colOff>1772511</xdr:colOff>
      <xdr:row>5</xdr:row>
      <xdr:rowOff>114300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FC9B08-56FB-4E1C-B287-32E0A454F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4300"/>
          <a:ext cx="2056356" cy="86677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114300</xdr:rowOff>
    </xdr:from>
    <xdr:to>
      <xdr:col>1</xdr:col>
      <xdr:colOff>1780131</xdr:colOff>
      <xdr:row>5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9EF8827-E01A-4591-BA82-CE2E1DED3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14300"/>
          <a:ext cx="2056356" cy="86677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28576</xdr:colOff>
      <xdr:row>0</xdr:row>
      <xdr:rowOff>114301</xdr:rowOff>
    </xdr:from>
    <xdr:to>
      <xdr:col>6</xdr:col>
      <xdr:colOff>1781176</xdr:colOff>
      <xdr:row>6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73F7C1-54D2-4D55-8B89-7FD40EAEE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1" y="114301"/>
          <a:ext cx="1752600" cy="9715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illa%20Jinotega\2021\18-PLANILLA%20DEL%201%20AL%2015%20%20DE%20%20OCTUBRE%20%202021%20-%20copi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ayu/OneDrive/Desktop/PLANILLAS%20FINCA%20STA%20ISABEL/2022/8-%20PLANILLA%20DEL%2007%20DE%20ABRIL%20AL%2020%20DE%20ABRIL%20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mbio del dia"/>
      <sheetName val="ADMON "/>
      <sheetName val="TECNICOS"/>
      <sheetName val="H"/>
      <sheetName val="OMAR"/>
      <sheetName val="Yemin"/>
      <sheetName val="COMI"/>
      <sheetName val="SANDRO"/>
      <sheetName val="COMI 1"/>
      <sheetName val="Martin"/>
      <sheetName val="Holman"/>
      <sheetName val="ULDA"/>
      <sheetName val="ACOPIOst"/>
      <sheetName val="COMP"/>
      <sheetName val="DETALLE"/>
    </sheetNames>
    <sheetDataSet>
      <sheetData sheetId="0"/>
      <sheetData sheetId="1"/>
      <sheetData sheetId="2"/>
      <sheetData sheetId="3">
        <row r="12">
          <cell r="T12">
            <v>8</v>
          </cell>
          <cell r="U12">
            <v>9</v>
          </cell>
          <cell r="V12">
            <v>10</v>
          </cell>
          <cell r="W12">
            <v>11</v>
          </cell>
          <cell r="X12">
            <v>12</v>
          </cell>
          <cell r="Y12">
            <v>13</v>
          </cell>
          <cell r="Z12">
            <v>14</v>
          </cell>
          <cell r="AA12">
            <v>15</v>
          </cell>
          <cell r="AB12">
            <v>16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F9">
            <v>1</v>
          </cell>
          <cell r="G9">
            <v>2</v>
          </cell>
          <cell r="H9">
            <v>3</v>
          </cell>
          <cell r="I9">
            <v>4</v>
          </cell>
          <cell r="J9">
            <v>5</v>
          </cell>
          <cell r="K9">
            <v>6</v>
          </cell>
          <cell r="L9">
            <v>7</v>
          </cell>
        </row>
      </sheetData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LEFONO ADGJM"/>
      <sheetName val="COMPLE"/>
      <sheetName val=" INSS#1"/>
      <sheetName val="SIN INSS#2"/>
      <sheetName val="LAS MORENAS"/>
      <sheetName val="LAS MORENAS INSS"/>
      <sheetName val="LA VIRGEN #1"/>
      <sheetName val="LA VIRGEN INSS#2"/>
      <sheetName val="Pantasma1"/>
      <sheetName val="PANTASMA"/>
      <sheetName val="DENNISA INNS #1"/>
      <sheetName val="DENNISA SIN #2"/>
      <sheetName val="ACOPIO"/>
      <sheetName val="LA VIRGEN INNS"/>
      <sheetName val="GENARO #1"/>
      <sheetName val="VIUDA"/>
      <sheetName val="DILLEROS INSS 3"/>
      <sheetName val="YEMIN INNS #1"/>
      <sheetName val="MIGUEL CASTILLO"/>
      <sheetName val="YEMIN SIN INNS #2"/>
      <sheetName val="YEMIN INSS"/>
      <sheetName val="MANUEL H"/>
      <sheetName val="BSECO INSS #1"/>
      <sheetName val="BSECO INSS"/>
      <sheetName val="COMPLEMENTOS PANTASMA"/>
      <sheetName val="HRS EXTRA"/>
      <sheetName val="RESUMEN"/>
      <sheetName val="DEDUC COMISARIATO"/>
      <sheetName val="DEDUC FINCA"/>
      <sheetName val="INSS"/>
      <sheetName val="Hoja2"/>
      <sheetName val="Hoja1"/>
    </sheetNames>
    <sheetDataSet>
      <sheetData sheetId="0"/>
      <sheetData sheetId="1"/>
      <sheetData sheetId="2">
        <row r="1">
          <cell r="A1" t="str">
            <v>AGRICOLA SANTA ISABEL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  <cell r="AO1">
            <v>0</v>
          </cell>
          <cell r="AP1">
            <v>0</v>
          </cell>
          <cell r="AQ1">
            <v>0</v>
          </cell>
          <cell r="AR1">
            <v>0</v>
          </cell>
          <cell r="AS1">
            <v>0</v>
          </cell>
          <cell r="AT1">
            <v>0</v>
          </cell>
          <cell r="AU1">
            <v>0</v>
          </cell>
          <cell r="AV1">
            <v>0</v>
          </cell>
          <cell r="AW1">
            <v>0</v>
          </cell>
          <cell r="AX1">
            <v>0</v>
          </cell>
          <cell r="AY1">
            <v>0</v>
          </cell>
          <cell r="AZ1">
            <v>0</v>
          </cell>
          <cell r="BA1">
            <v>0</v>
          </cell>
          <cell r="BB1">
            <v>0</v>
          </cell>
          <cell r="BC1">
            <v>0</v>
          </cell>
          <cell r="BD1">
            <v>0</v>
          </cell>
          <cell r="BE1">
            <v>0</v>
          </cell>
          <cell r="BF1">
            <v>0</v>
          </cell>
          <cell r="BG1">
            <v>0</v>
          </cell>
          <cell r="BH1">
            <v>0</v>
          </cell>
          <cell r="BI1">
            <v>0</v>
          </cell>
          <cell r="BJ1">
            <v>0</v>
          </cell>
          <cell r="BK1">
            <v>0</v>
          </cell>
          <cell r="BL1">
            <v>0</v>
          </cell>
          <cell r="BM1">
            <v>0</v>
          </cell>
          <cell r="BN1">
            <v>0</v>
          </cell>
          <cell r="BO1">
            <v>0</v>
          </cell>
          <cell r="BP1">
            <v>0</v>
          </cell>
          <cell r="BQ1">
            <v>0</v>
          </cell>
          <cell r="BR1">
            <v>0</v>
          </cell>
          <cell r="BS1">
            <v>0</v>
          </cell>
          <cell r="BT1">
            <v>0</v>
          </cell>
          <cell r="BU1">
            <v>0</v>
          </cell>
          <cell r="BV1">
            <v>0</v>
          </cell>
          <cell r="BW1">
            <v>0</v>
          </cell>
          <cell r="BX1">
            <v>0</v>
          </cell>
          <cell r="BY1">
            <v>0</v>
          </cell>
          <cell r="BZ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9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41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42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45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46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47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8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21">
    <tabColor rgb="FFFFFF00"/>
    <pageSetUpPr fitToPage="1"/>
  </sheetPr>
  <dimension ref="A1:Q255"/>
  <sheetViews>
    <sheetView zoomScale="69" zoomScaleNormal="69" zoomScaleSheetLayoutView="85" workbookViewId="0">
      <selection activeCell="M10" sqref="M10"/>
    </sheetView>
  </sheetViews>
  <sheetFormatPr baseColWidth="10" defaultRowHeight="18.600000000000001" x14ac:dyDescent="0.45"/>
  <cols>
    <col min="1" max="1" width="66.140625" style="23" customWidth="1"/>
    <col min="2" max="2" width="11.85546875" style="23" hidden="1" customWidth="1"/>
    <col min="3" max="3" width="13" style="23" hidden="1" customWidth="1"/>
    <col min="4" max="4" width="0.7109375" style="23" hidden="1" customWidth="1"/>
    <col min="5" max="5" width="33.7109375" style="24" customWidth="1"/>
    <col min="6" max="6" width="35.140625" style="23" customWidth="1"/>
    <col min="7" max="7" width="33.42578125" style="23" customWidth="1"/>
    <col min="8" max="8" width="30" style="23" customWidth="1"/>
    <col min="9" max="9" width="38.28515625" style="23" customWidth="1"/>
    <col min="10" max="10" width="28.140625" style="23" hidden="1" customWidth="1"/>
    <col min="11" max="11" width="37.28515625" style="23" hidden="1" customWidth="1"/>
    <col min="12" max="12" width="26.28515625" style="22" customWidth="1"/>
    <col min="13" max="13" width="26.28515625" customWidth="1"/>
    <col min="14" max="14" width="24.42578125" hidden="1" customWidth="1"/>
    <col min="16" max="16" width="32.140625" style="666" customWidth="1"/>
    <col min="17" max="17" width="15" bestFit="1" customWidth="1"/>
  </cols>
  <sheetData>
    <row r="1" spans="1:17" ht="23.4" x14ac:dyDescent="0.45">
      <c r="A1" s="1139" t="s">
        <v>0</v>
      </c>
      <c r="B1" s="1139"/>
      <c r="C1" s="1139"/>
      <c r="D1" s="1139"/>
      <c r="E1" s="1139"/>
      <c r="F1" s="1139"/>
      <c r="G1" s="1139"/>
      <c r="H1" s="1139"/>
      <c r="I1" s="1139"/>
      <c r="J1" s="1139"/>
      <c r="K1" s="1139"/>
      <c r="L1"/>
    </row>
    <row r="2" spans="1:17" ht="23.4" x14ac:dyDescent="0.45">
      <c r="A2" s="1140" t="s">
        <v>537</v>
      </c>
      <c r="B2" s="1140"/>
      <c r="C2" s="1140"/>
      <c r="D2" s="1140"/>
      <c r="E2" s="1140"/>
      <c r="F2" s="1140"/>
      <c r="G2" s="1140"/>
      <c r="H2" s="1140"/>
      <c r="I2" s="1140"/>
      <c r="J2" s="1140"/>
      <c r="K2" s="1140"/>
      <c r="L2"/>
    </row>
    <row r="3" spans="1:17" ht="19.2" thickBot="1" x14ac:dyDescent="0.5">
      <c r="A3" s="35"/>
      <c r="B3" s="35"/>
      <c r="C3" s="35"/>
      <c r="D3" s="35"/>
      <c r="E3" s="162"/>
      <c r="F3" s="35"/>
      <c r="G3" s="35"/>
      <c r="H3" s="35"/>
      <c r="I3" s="35"/>
      <c r="J3" s="35"/>
      <c r="K3" s="35"/>
      <c r="L3"/>
    </row>
    <row r="4" spans="1:17" s="318" customFormat="1" ht="31.5" customHeight="1" thickTop="1" x14ac:dyDescent="0.2">
      <c r="A4" s="1006" t="s">
        <v>85</v>
      </c>
      <c r="B4" s="1007" t="s">
        <v>29</v>
      </c>
      <c r="C4" s="1007" t="s">
        <v>189</v>
      </c>
      <c r="D4" s="1007" t="s">
        <v>190</v>
      </c>
      <c r="E4" s="1008" t="s">
        <v>86</v>
      </c>
      <c r="F4" s="1009" t="s">
        <v>87</v>
      </c>
      <c r="G4" s="1004" t="s">
        <v>225</v>
      </c>
      <c r="H4" s="1010" t="s">
        <v>114</v>
      </c>
      <c r="I4" s="1010" t="s">
        <v>193</v>
      </c>
      <c r="J4" s="1006" t="s">
        <v>99</v>
      </c>
      <c r="K4" s="1007" t="s">
        <v>73</v>
      </c>
      <c r="P4" s="667"/>
    </row>
    <row r="5" spans="1:17" s="1044" customFormat="1" ht="22.5" customHeight="1" x14ac:dyDescent="0.4">
      <c r="A5" s="1011" t="s">
        <v>421</v>
      </c>
      <c r="B5" s="1040"/>
      <c r="C5" s="1041"/>
      <c r="D5" s="1041"/>
      <c r="E5" s="1093">
        <f>+ADMON!X21</f>
        <v>36121.381315369668</v>
      </c>
      <c r="F5" s="1042"/>
      <c r="G5" s="1043">
        <f>+E5+F5</f>
        <v>36121.381315369668</v>
      </c>
      <c r="H5" s="1024">
        <f>+ADMON!Z21</f>
        <v>1500</v>
      </c>
      <c r="I5" s="1022">
        <f>+G5-H5</f>
        <v>34621.381315369668</v>
      </c>
      <c r="J5" s="1039">
        <f>+ADMON!AB21</f>
        <v>808</v>
      </c>
      <c r="K5" s="1043">
        <f>G5-H5-J5</f>
        <v>33813.381315369668</v>
      </c>
      <c r="P5" s="1045"/>
    </row>
    <row r="6" spans="1:17" ht="22.95" customHeight="1" x14ac:dyDescent="0.45">
      <c r="A6" s="1011" t="s">
        <v>419</v>
      </c>
      <c r="B6" s="1012">
        <f>+C6+D6</f>
        <v>7</v>
      </c>
      <c r="C6" s="1013">
        <f>COUNTIF('ADMON COM. '!E18:E29,"F")+H!I16</f>
        <v>2</v>
      </c>
      <c r="D6" s="1013">
        <f>COUNTIF('ADMON COM. '!E18:E29,"M")+H!J16</f>
        <v>5</v>
      </c>
      <c r="E6" s="1014">
        <f>+'ADMON COM. '!T30</f>
        <v>57799.001277133459</v>
      </c>
      <c r="F6" s="1005">
        <f>+H!BP15</f>
        <v>0</v>
      </c>
      <c r="G6" s="1005">
        <f>+E6+F6</f>
        <v>57799.001277133459</v>
      </c>
      <c r="H6" s="1005">
        <f>+'ADMON COM. '!V30</f>
        <v>500</v>
      </c>
      <c r="I6" s="1022">
        <f t="shared" ref="I6:I19" si="0">+G6-H6</f>
        <v>57299.001277133459</v>
      </c>
      <c r="J6" s="1046">
        <v>0</v>
      </c>
      <c r="K6" s="1005">
        <f>G6-H6-J6</f>
        <v>57299.001277133459</v>
      </c>
      <c r="L6"/>
    </row>
    <row r="7" spans="1:17" ht="22.95" customHeight="1" x14ac:dyDescent="0.45">
      <c r="A7" s="1011" t="s">
        <v>246</v>
      </c>
      <c r="B7" s="1012">
        <f t="shared" ref="B7:B9" si="1">+C7+D7</f>
        <v>1</v>
      </c>
      <c r="C7" s="1012">
        <v>0</v>
      </c>
      <c r="D7" s="1012">
        <v>1</v>
      </c>
      <c r="E7" s="1014">
        <v>0</v>
      </c>
      <c r="F7" s="1005">
        <f>+'FINCA SIN INSS'!X15</f>
        <v>36647.945</v>
      </c>
      <c r="G7" s="1005">
        <f t="shared" ref="G7:G10" si="2">+E7+F7</f>
        <v>36647.945</v>
      </c>
      <c r="H7" s="1005">
        <f>'FINCA SIN INSS'!Y15</f>
        <v>2500</v>
      </c>
      <c r="I7" s="1022">
        <f>'FINCA SIN INSS'!Z15</f>
        <v>34147.945</v>
      </c>
      <c r="J7" s="1046">
        <f>+'FINCA SIN INSS'!AA15</f>
        <v>2000</v>
      </c>
      <c r="K7" s="1005">
        <f>G7-H7-J7</f>
        <v>32147.945</v>
      </c>
      <c r="L7"/>
    </row>
    <row r="8" spans="1:17" s="67" customFormat="1" ht="22.95" hidden="1" customHeight="1" x14ac:dyDescent="0.45">
      <c r="A8" s="1011" t="s">
        <v>418</v>
      </c>
      <c r="B8" s="1012"/>
      <c r="C8" s="1012"/>
      <c r="D8" s="1012"/>
      <c r="E8" s="1014">
        <f>+'FINCA INSS '!W17</f>
        <v>0</v>
      </c>
      <c r="F8" s="1005">
        <v>0</v>
      </c>
      <c r="G8" s="1005">
        <f t="shared" si="2"/>
        <v>0</v>
      </c>
      <c r="H8" s="1005">
        <f>+'FINCA INSS '!Z17</f>
        <v>0</v>
      </c>
      <c r="I8" s="1022">
        <f t="shared" si="0"/>
        <v>0</v>
      </c>
      <c r="J8" s="1047">
        <f>+'FINCA INSS '!AC17</f>
        <v>195</v>
      </c>
      <c r="K8" s="1005">
        <f>+I8-J8</f>
        <v>-195</v>
      </c>
      <c r="P8" s="976"/>
    </row>
    <row r="9" spans="1:17" ht="22.5" hidden="1" customHeight="1" x14ac:dyDescent="0.45">
      <c r="A9" s="1011" t="s">
        <v>484</v>
      </c>
      <c r="B9" s="1012">
        <f t="shared" si="1"/>
        <v>3</v>
      </c>
      <c r="C9" s="1012">
        <v>2</v>
      </c>
      <c r="D9" s="1012">
        <v>1</v>
      </c>
      <c r="E9" s="1015">
        <v>0</v>
      </c>
      <c r="F9" s="1005">
        <f>+'BENEFICIO SECO'!X13</f>
        <v>0</v>
      </c>
      <c r="G9" s="1005">
        <f t="shared" si="2"/>
        <v>0</v>
      </c>
      <c r="H9" s="1005">
        <f>+'BENEFICIO SECO'!Y13</f>
        <v>0</v>
      </c>
      <c r="I9" s="1022">
        <f t="shared" si="0"/>
        <v>0</v>
      </c>
      <c r="J9" s="1046">
        <v>0</v>
      </c>
      <c r="K9" s="1005">
        <f>+I9-J9</f>
        <v>0</v>
      </c>
      <c r="L9"/>
    </row>
    <row r="10" spans="1:17" ht="21.6" x14ac:dyDescent="0.45">
      <c r="A10" s="1011" t="s">
        <v>376</v>
      </c>
      <c r="B10" s="1012">
        <f>+C10+D10</f>
        <v>2</v>
      </c>
      <c r="C10" s="1012">
        <v>1</v>
      </c>
      <c r="D10" s="1012">
        <v>1</v>
      </c>
      <c r="E10" s="1015">
        <v>0</v>
      </c>
      <c r="F10" s="1005">
        <f>+'COMPLEMENTO DE SALARIO'!C12</f>
        <v>5009.2</v>
      </c>
      <c r="G10" s="1005">
        <f t="shared" si="2"/>
        <v>5009.2</v>
      </c>
      <c r="H10" s="1005">
        <f>'COMPLEMENTO DE SALARIO'!D12</f>
        <v>0</v>
      </c>
      <c r="I10" s="1022">
        <f t="shared" si="0"/>
        <v>5009.2</v>
      </c>
      <c r="J10" s="1046">
        <f>+'COMPLEMENTO DE SALARIO'!F12</f>
        <v>0</v>
      </c>
      <c r="K10" s="1005">
        <f>G10-H10-J10</f>
        <v>5009.2</v>
      </c>
      <c r="L10"/>
    </row>
    <row r="11" spans="1:17" ht="24" customHeight="1" x14ac:dyDescent="0.45">
      <c r="A11" s="1011" t="s">
        <v>395</v>
      </c>
      <c r="B11" s="1012"/>
      <c r="C11" s="1012"/>
      <c r="D11" s="1012"/>
      <c r="E11" s="1015">
        <v>0</v>
      </c>
      <c r="F11" s="1005">
        <f>+EVENTUAL!C14</f>
        <v>36966.984256594995</v>
      </c>
      <c r="G11" s="1005">
        <f t="shared" ref="G11:G12" si="3">E11+F11</f>
        <v>36966.984256594995</v>
      </c>
      <c r="H11" s="1005">
        <f>+EVENTUAL!D14</f>
        <v>0</v>
      </c>
      <c r="I11" s="1022">
        <f t="shared" si="0"/>
        <v>36966.984256594995</v>
      </c>
      <c r="J11" s="1005">
        <v>0</v>
      </c>
      <c r="K11" s="1016">
        <f>G11-H11-J11</f>
        <v>36966.984256594995</v>
      </c>
      <c r="L11"/>
      <c r="Q11" s="666"/>
    </row>
    <row r="12" spans="1:17" ht="24" customHeight="1" x14ac:dyDescent="0.45">
      <c r="A12" s="1011" t="s">
        <v>453</v>
      </c>
      <c r="B12" s="1012"/>
      <c r="C12" s="1012"/>
      <c r="D12" s="1012"/>
      <c r="E12" s="1015">
        <f>+'ABISINIA INSS'!Z12</f>
        <v>3664.5300000000007</v>
      </c>
      <c r="F12" s="1005">
        <v>0</v>
      </c>
      <c r="G12" s="1005">
        <f t="shared" si="3"/>
        <v>3664.5300000000007</v>
      </c>
      <c r="H12" s="1005">
        <v>0</v>
      </c>
      <c r="I12" s="1022">
        <f t="shared" si="0"/>
        <v>3664.5300000000007</v>
      </c>
      <c r="J12" s="1005">
        <v>0</v>
      </c>
      <c r="K12" s="1016">
        <f>G12-H12-J12</f>
        <v>3664.5300000000007</v>
      </c>
      <c r="L12"/>
      <c r="Q12" s="666"/>
    </row>
    <row r="13" spans="1:17" ht="22.95" customHeight="1" x14ac:dyDescent="0.45">
      <c r="A13" s="1017" t="s">
        <v>529</v>
      </c>
      <c r="B13" s="1018"/>
      <c r="C13" s="1018"/>
      <c r="D13" s="1018"/>
      <c r="E13" s="989">
        <f>'BODEG STA Isabel'!W12</f>
        <v>4275</v>
      </c>
      <c r="F13" s="1019">
        <v>0</v>
      </c>
      <c r="G13" s="989">
        <f t="shared" ref="G13:G21" si="4">+E13+F13</f>
        <v>4275</v>
      </c>
      <c r="H13" s="1023">
        <f>'BODEG STA Isabel'!Y12</f>
        <v>2000</v>
      </c>
      <c r="I13" s="1022">
        <f t="shared" si="0"/>
        <v>2275</v>
      </c>
      <c r="J13" s="1005" t="e">
        <f>+#REF!</f>
        <v>#REF!</v>
      </c>
      <c r="K13" s="989" t="e">
        <f>+I13-J13</f>
        <v>#REF!</v>
      </c>
      <c r="L13"/>
    </row>
    <row r="14" spans="1:17" s="67" customFormat="1" ht="22.95" hidden="1" customHeight="1" x14ac:dyDescent="0.45">
      <c r="A14" s="1011" t="s">
        <v>450</v>
      </c>
      <c r="B14" s="1012"/>
      <c r="C14" s="1012"/>
      <c r="D14" s="1012"/>
      <c r="E14" s="1005">
        <v>0</v>
      </c>
      <c r="F14" s="1015">
        <f>+'ACOP MONTECRISTO'!X12</f>
        <v>0</v>
      </c>
      <c r="G14" s="1005">
        <f t="shared" si="4"/>
        <v>0</v>
      </c>
      <c r="H14" s="1023">
        <f>+'ACOP MONTECRISTO'!Y12</f>
        <v>0</v>
      </c>
      <c r="I14" s="1024">
        <f t="shared" si="0"/>
        <v>0</v>
      </c>
      <c r="J14" s="1005">
        <f>+'ACOP MONTECRISTO'!AB12</f>
        <v>0</v>
      </c>
      <c r="K14" s="1005">
        <f>+I14-J14</f>
        <v>0</v>
      </c>
      <c r="P14" s="976"/>
    </row>
    <row r="15" spans="1:17" ht="22.95" hidden="1" customHeight="1" x14ac:dyDescent="0.45">
      <c r="A15" s="1017" t="s">
        <v>451</v>
      </c>
      <c r="B15" s="1018"/>
      <c r="C15" s="1018"/>
      <c r="D15" s="1018"/>
      <c r="E15" s="989">
        <v>0</v>
      </c>
      <c r="F15" s="1019">
        <f>+'ACOP LAS MORENAS'!X13</f>
        <v>0</v>
      </c>
      <c r="G15" s="989">
        <f t="shared" si="4"/>
        <v>0</v>
      </c>
      <c r="H15" s="1023">
        <f>+'ACOP LAS MORENAS'!Y13</f>
        <v>0</v>
      </c>
      <c r="I15" s="1022">
        <f t="shared" si="0"/>
        <v>0</v>
      </c>
      <c r="J15" s="1005">
        <v>0</v>
      </c>
      <c r="K15" s="989">
        <f t="shared" ref="K15:K21" si="5">+G15-H15-J15</f>
        <v>0</v>
      </c>
      <c r="L15"/>
    </row>
    <row r="16" spans="1:17" ht="22.95" hidden="1" customHeight="1" x14ac:dyDescent="0.45">
      <c r="A16" s="1017" t="s">
        <v>452</v>
      </c>
      <c r="B16" s="1018"/>
      <c r="C16" s="1018"/>
      <c r="D16" s="1018"/>
      <c r="E16" s="989">
        <v>0</v>
      </c>
      <c r="F16" s="1019">
        <f>+'ACOP ABISINIA SIN INSS'!X14</f>
        <v>0</v>
      </c>
      <c r="G16" s="989">
        <f t="shared" si="4"/>
        <v>0</v>
      </c>
      <c r="H16" s="1020">
        <f>+'ACOP ABISINIA SIN INSS'!Z14</f>
        <v>0</v>
      </c>
      <c r="I16" s="1022">
        <f t="shared" si="0"/>
        <v>0</v>
      </c>
      <c r="J16" s="1005">
        <v>0</v>
      </c>
      <c r="K16" s="989">
        <f t="shared" si="5"/>
        <v>0</v>
      </c>
      <c r="L16"/>
    </row>
    <row r="17" spans="1:14" ht="22.95" hidden="1" customHeight="1" x14ac:dyDescent="0.45">
      <c r="A17" s="1017" t="s">
        <v>351</v>
      </c>
      <c r="B17" s="1018"/>
      <c r="C17" s="1018"/>
      <c r="D17" s="1018"/>
      <c r="E17" s="989">
        <v>0</v>
      </c>
      <c r="F17" s="1019">
        <f>+'ACOP EL CONSUELO'!X12</f>
        <v>0</v>
      </c>
      <c r="G17" s="989">
        <f t="shared" si="4"/>
        <v>0</v>
      </c>
      <c r="H17" s="1020">
        <f>+'ACOP EL CONSUELO'!Y12</f>
        <v>0</v>
      </c>
      <c r="I17" s="1022">
        <f t="shared" si="0"/>
        <v>0</v>
      </c>
      <c r="J17" s="1005">
        <v>0</v>
      </c>
      <c r="K17" s="989">
        <f t="shared" si="5"/>
        <v>0</v>
      </c>
      <c r="L17"/>
    </row>
    <row r="18" spans="1:14" ht="22.95" hidden="1" customHeight="1" x14ac:dyDescent="0.45">
      <c r="A18" s="1017" t="s">
        <v>339</v>
      </c>
      <c r="B18" s="1018"/>
      <c r="C18" s="1018"/>
      <c r="D18" s="1018"/>
      <c r="E18" s="989">
        <v>0</v>
      </c>
      <c r="F18" s="1019">
        <f>+'VIATICOS ACOPIO'!F18</f>
        <v>0</v>
      </c>
      <c r="G18" s="989">
        <f t="shared" ref="G18:G19" si="6">+E18+F18</f>
        <v>0</v>
      </c>
      <c r="H18" s="1020">
        <f>+'ACOP LA UNION'!Y9</f>
        <v>0</v>
      </c>
      <c r="I18" s="1022">
        <f t="shared" si="0"/>
        <v>0</v>
      </c>
      <c r="J18" s="1005">
        <v>0</v>
      </c>
      <c r="K18" s="989">
        <f t="shared" si="5"/>
        <v>0</v>
      </c>
      <c r="L18"/>
    </row>
    <row r="19" spans="1:14" ht="22.95" hidden="1" customHeight="1" x14ac:dyDescent="0.45">
      <c r="A19" s="1017"/>
      <c r="B19" s="1018"/>
      <c r="C19" s="1018"/>
      <c r="D19" s="1018"/>
      <c r="E19" s="989">
        <v>0</v>
      </c>
      <c r="F19" s="1019">
        <v>0</v>
      </c>
      <c r="G19" s="989">
        <f t="shared" si="6"/>
        <v>0</v>
      </c>
      <c r="H19" s="1020">
        <v>0</v>
      </c>
      <c r="I19" s="1022">
        <f t="shared" si="0"/>
        <v>0</v>
      </c>
      <c r="J19" s="1005">
        <v>0</v>
      </c>
      <c r="K19" s="989">
        <f t="shared" si="5"/>
        <v>0</v>
      </c>
      <c r="L19"/>
    </row>
    <row r="20" spans="1:14" ht="22.95" hidden="1" customHeight="1" x14ac:dyDescent="0.45">
      <c r="A20" s="1017" t="s">
        <v>509</v>
      </c>
      <c r="B20" s="1018"/>
      <c r="C20" s="1018"/>
      <c r="D20" s="1018"/>
      <c r="E20" s="989">
        <v>0</v>
      </c>
      <c r="F20" s="1019">
        <v>0</v>
      </c>
      <c r="G20" s="989">
        <f t="shared" si="4"/>
        <v>0</v>
      </c>
      <c r="H20" s="1020">
        <v>0</v>
      </c>
      <c r="I20" s="1022">
        <v>0</v>
      </c>
      <c r="J20" s="1005">
        <v>0</v>
      </c>
      <c r="K20" s="989">
        <f t="shared" si="5"/>
        <v>0</v>
      </c>
      <c r="L20"/>
    </row>
    <row r="21" spans="1:14" ht="22.95" hidden="1" customHeight="1" x14ac:dyDescent="0.45">
      <c r="A21" s="1017" t="s">
        <v>490</v>
      </c>
      <c r="B21" s="1018"/>
      <c r="C21" s="1018"/>
      <c r="D21" s="1018"/>
      <c r="E21" s="989">
        <v>0</v>
      </c>
      <c r="F21" s="1019">
        <v>0</v>
      </c>
      <c r="G21" s="989">
        <f t="shared" si="4"/>
        <v>0</v>
      </c>
      <c r="H21" s="1020">
        <v>0</v>
      </c>
      <c r="I21" s="1022">
        <v>0</v>
      </c>
      <c r="J21" s="1005">
        <v>0</v>
      </c>
      <c r="K21" s="989">
        <f t="shared" si="5"/>
        <v>0</v>
      </c>
      <c r="L21"/>
    </row>
    <row r="22" spans="1:14" ht="22.95" customHeight="1" x14ac:dyDescent="0.45">
      <c r="A22" s="1021" t="s">
        <v>29</v>
      </c>
      <c r="B22" s="1021"/>
      <c r="C22" s="1021"/>
      <c r="D22" s="1021"/>
      <c r="E22" s="990">
        <f t="shared" ref="E22:K22" si="7">SUM(E5:E21)</f>
        <v>101859.91259250313</v>
      </c>
      <c r="F22" s="990">
        <f t="shared" si="7"/>
        <v>78624.129256594984</v>
      </c>
      <c r="G22" s="990">
        <f t="shared" si="7"/>
        <v>180484.04184909814</v>
      </c>
      <c r="H22" s="1050">
        <f t="shared" si="7"/>
        <v>6500</v>
      </c>
      <c r="I22" s="1038">
        <f t="shared" si="7"/>
        <v>173984.04184909814</v>
      </c>
      <c r="J22" s="990" t="e">
        <f>SUM(J5:J21)</f>
        <v>#REF!</v>
      </c>
      <c r="K22" s="990" t="e">
        <f t="shared" si="7"/>
        <v>#REF!</v>
      </c>
      <c r="L22"/>
    </row>
    <row r="23" spans="1:14" ht="22.95" hidden="1" customHeight="1" x14ac:dyDescent="0.4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/>
    </row>
    <row r="24" spans="1:14" ht="22.95" customHeight="1" x14ac:dyDescent="0.4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/>
    </row>
    <row r="25" spans="1:14" ht="22.95" customHeight="1" x14ac:dyDescent="0.4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/>
    </row>
    <row r="26" spans="1:14" ht="22.95" customHeight="1" x14ac:dyDescent="0.4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/>
      <c r="N26" s="715" t="e">
        <f>G22-H22-J22</f>
        <v>#REF!</v>
      </c>
    </row>
    <row r="27" spans="1:14" ht="22.95" customHeight="1" x14ac:dyDescent="0.45">
      <c r="A27" s="896" t="s">
        <v>372</v>
      </c>
      <c r="B27" s="897"/>
      <c r="C27" s="897"/>
      <c r="D27" s="897"/>
      <c r="E27" s="897" t="s">
        <v>377</v>
      </c>
      <c r="F27" s="897"/>
      <c r="G27" s="896"/>
      <c r="H27" s="22" t="s">
        <v>515</v>
      </c>
      <c r="I27" s="22"/>
      <c r="J27" s="22"/>
      <c r="K27" s="22"/>
      <c r="L27" s="24"/>
      <c r="M27" s="897"/>
      <c r="N27" s="897"/>
    </row>
    <row r="28" spans="1:14" ht="24.75" customHeight="1" x14ac:dyDescent="0.45">
      <c r="A28" s="896" t="s">
        <v>373</v>
      </c>
      <c r="B28" s="897"/>
      <c r="C28" s="897"/>
      <c r="D28" s="897"/>
      <c r="E28" s="896" t="s">
        <v>454</v>
      </c>
      <c r="F28" s="896"/>
      <c r="G28" s="896"/>
      <c r="H28" s="1640" t="s">
        <v>350</v>
      </c>
      <c r="I28" s="1640"/>
      <c r="J28" s="1640"/>
      <c r="K28" s="1640"/>
      <c r="L28" s="1640"/>
      <c r="M28" s="897"/>
      <c r="N28" s="897"/>
    </row>
    <row r="29" spans="1:14" ht="21.6" x14ac:dyDescent="0.45">
      <c r="A29" s="898" t="s">
        <v>382</v>
      </c>
      <c r="B29" s="897"/>
      <c r="C29" s="897"/>
      <c r="D29" s="897"/>
      <c r="E29" s="896" t="s">
        <v>371</v>
      </c>
      <c r="F29" s="896"/>
      <c r="G29" s="896"/>
      <c r="H29" s="896"/>
      <c r="I29" s="896" t="s">
        <v>543</v>
      </c>
      <c r="J29" s="1141"/>
      <c r="K29" s="1141"/>
      <c r="L29" s="1141"/>
      <c r="M29" s="1141"/>
      <c r="N29" s="1141"/>
    </row>
    <row r="30" spans="1:14" x14ac:dyDescent="0.45">
      <c r="A30" s="22"/>
      <c r="B30" s="22"/>
      <c r="C30" s="22"/>
      <c r="D30" s="22"/>
      <c r="F30" s="22"/>
      <c r="G30" s="713"/>
      <c r="H30" s="713"/>
      <c r="I30" s="713"/>
      <c r="J30" s="22"/>
      <c r="K30"/>
      <c r="L30"/>
    </row>
    <row r="31" spans="1:14" x14ac:dyDescent="0.45">
      <c r="A31" s="22"/>
      <c r="B31" s="22"/>
      <c r="C31" s="22"/>
      <c r="D31" s="22"/>
      <c r="F31" s="22"/>
      <c r="G31" s="22"/>
      <c r="H31" s="22"/>
      <c r="I31" s="22"/>
      <c r="J31" s="22"/>
      <c r="K31"/>
      <c r="L31"/>
    </row>
    <row r="32" spans="1:14" x14ac:dyDescent="0.45">
      <c r="A32" s="22"/>
      <c r="B32" s="22"/>
      <c r="C32" s="22"/>
      <c r="D32" s="22"/>
      <c r="F32" s="22"/>
      <c r="G32" s="22"/>
      <c r="H32" s="22"/>
      <c r="I32" s="22"/>
      <c r="J32" s="22"/>
      <c r="K32"/>
      <c r="L32"/>
    </row>
    <row r="33" spans="1:12" x14ac:dyDescent="0.45">
      <c r="A33" s="22"/>
      <c r="B33" s="22"/>
      <c r="C33" s="22"/>
      <c r="D33" s="22"/>
      <c r="F33" s="22"/>
      <c r="G33" s="22"/>
      <c r="H33" s="22"/>
      <c r="I33" s="22"/>
      <c r="J33" s="22"/>
      <c r="K33"/>
      <c r="L33"/>
    </row>
    <row r="34" spans="1:12" x14ac:dyDescent="0.45">
      <c r="A34" s="22"/>
      <c r="B34" s="22"/>
      <c r="C34" s="22"/>
      <c r="D34" s="22"/>
      <c r="F34" s="22"/>
      <c r="G34" s="22"/>
      <c r="H34" s="22"/>
      <c r="I34" s="22"/>
      <c r="J34" s="22"/>
      <c r="K34"/>
      <c r="L34"/>
    </row>
    <row r="35" spans="1:12" ht="21" x14ac:dyDescent="0.45">
      <c r="A35" s="1142"/>
      <c r="B35" s="1142"/>
      <c r="C35" s="1142"/>
      <c r="D35" s="1142"/>
      <c r="E35" s="1142"/>
      <c r="F35" s="22"/>
      <c r="G35" s="22"/>
      <c r="H35" s="22"/>
      <c r="I35" s="22"/>
      <c r="J35" s="22"/>
      <c r="K35"/>
      <c r="L35"/>
    </row>
    <row r="36" spans="1:12" x14ac:dyDescent="0.45">
      <c r="A36" s="22"/>
      <c r="B36" s="22"/>
      <c r="C36" s="22"/>
      <c r="D36" s="22"/>
      <c r="F36" s="22"/>
      <c r="G36" s="22"/>
      <c r="H36" s="22"/>
      <c r="I36" s="22"/>
      <c r="J36" s="22"/>
      <c r="K36"/>
      <c r="L36"/>
    </row>
    <row r="37" spans="1:12" x14ac:dyDescent="0.45">
      <c r="A37" s="22"/>
      <c r="B37" s="22"/>
      <c r="C37" s="22"/>
      <c r="D37" s="22"/>
      <c r="F37" s="22"/>
      <c r="G37" s="22"/>
      <c r="H37" s="22"/>
      <c r="I37" s="22"/>
      <c r="J37" s="22"/>
      <c r="K37"/>
      <c r="L37"/>
    </row>
    <row r="38" spans="1:12" x14ac:dyDescent="0.45">
      <c r="A38" s="22"/>
      <c r="B38" s="22"/>
      <c r="C38" s="22"/>
      <c r="D38" s="22"/>
      <c r="F38" s="22"/>
      <c r="G38" s="22"/>
      <c r="H38" s="22"/>
      <c r="I38" s="22"/>
      <c r="J38" s="22"/>
      <c r="K38"/>
      <c r="L38"/>
    </row>
    <row r="39" spans="1:12" x14ac:dyDescent="0.45">
      <c r="A39" s="22"/>
      <c r="B39" s="22"/>
      <c r="C39" s="22"/>
      <c r="D39" s="22"/>
      <c r="F39" s="22"/>
      <c r="G39" s="22"/>
      <c r="H39" s="22"/>
      <c r="I39" s="22"/>
      <c r="J39" s="22"/>
      <c r="K39"/>
      <c r="L39"/>
    </row>
    <row r="40" spans="1:12" x14ac:dyDescent="0.45">
      <c r="A40" s="22"/>
      <c r="B40" s="22"/>
      <c r="C40" s="22"/>
      <c r="D40" s="22"/>
      <c r="F40" s="22"/>
      <c r="G40" s="22"/>
      <c r="H40" s="22"/>
      <c r="I40" s="22"/>
      <c r="J40" s="22"/>
      <c r="K40"/>
      <c r="L40"/>
    </row>
    <row r="41" spans="1:12" x14ac:dyDescent="0.45">
      <c r="A41" s="22"/>
      <c r="B41" s="22"/>
      <c r="C41" s="22"/>
      <c r="D41" s="22"/>
      <c r="F41" s="22"/>
      <c r="G41" s="22"/>
      <c r="H41" s="22"/>
      <c r="I41" s="22"/>
      <c r="J41" s="22"/>
      <c r="K41"/>
      <c r="L41"/>
    </row>
    <row r="42" spans="1:12" x14ac:dyDescent="0.45">
      <c r="A42" s="22"/>
      <c r="B42" s="22"/>
      <c r="C42" s="22"/>
      <c r="D42" s="22"/>
      <c r="F42" s="22"/>
      <c r="G42" s="22"/>
      <c r="H42" s="22"/>
      <c r="I42" s="22"/>
      <c r="J42" s="22"/>
      <c r="K42"/>
      <c r="L42"/>
    </row>
    <row r="43" spans="1:12" x14ac:dyDescent="0.45">
      <c r="A43" s="22"/>
      <c r="B43" s="22"/>
      <c r="C43" s="22"/>
      <c r="D43" s="22"/>
      <c r="F43" s="22"/>
      <c r="G43" s="22"/>
      <c r="H43" s="22"/>
      <c r="I43" s="22"/>
      <c r="J43" s="22"/>
      <c r="K43"/>
      <c r="L43"/>
    </row>
    <row r="44" spans="1:12" x14ac:dyDescent="0.45">
      <c r="A44" s="22"/>
      <c r="B44" s="22"/>
      <c r="C44" s="22"/>
      <c r="D44" s="22"/>
      <c r="F44" s="22"/>
      <c r="G44" s="22"/>
      <c r="H44" s="22"/>
      <c r="I44" s="22"/>
      <c r="J44" s="22"/>
      <c r="K44"/>
      <c r="L44"/>
    </row>
    <row r="45" spans="1:12" x14ac:dyDescent="0.45">
      <c r="A45" s="22"/>
      <c r="B45" s="22"/>
      <c r="C45" s="22"/>
      <c r="D45" s="22"/>
      <c r="F45" s="22"/>
      <c r="G45" s="22"/>
      <c r="H45" s="22"/>
      <c r="I45" s="22"/>
      <c r="J45" s="22"/>
      <c r="K45"/>
      <c r="L45"/>
    </row>
    <row r="46" spans="1:12" x14ac:dyDescent="0.45">
      <c r="A46" s="22"/>
      <c r="B46" s="22"/>
      <c r="C46" s="22"/>
      <c r="D46" s="22"/>
      <c r="F46" s="22"/>
      <c r="G46" s="22"/>
      <c r="H46" s="22"/>
      <c r="I46" s="22"/>
      <c r="J46" s="22"/>
      <c r="K46"/>
      <c r="L46"/>
    </row>
    <row r="47" spans="1:12" x14ac:dyDescent="0.45">
      <c r="A47" s="22"/>
      <c r="B47" s="22"/>
      <c r="C47" s="22"/>
      <c r="D47" s="22"/>
      <c r="F47" s="22"/>
      <c r="G47" s="22"/>
      <c r="H47" s="22"/>
      <c r="I47" s="22"/>
      <c r="J47" s="22"/>
      <c r="K47"/>
      <c r="L47"/>
    </row>
    <row r="48" spans="1:12" x14ac:dyDescent="0.45">
      <c r="A48" s="22"/>
      <c r="B48" s="22"/>
      <c r="C48" s="22"/>
      <c r="D48" s="22"/>
      <c r="F48" s="22"/>
      <c r="G48" s="22"/>
      <c r="H48" s="22"/>
      <c r="I48" s="22"/>
      <c r="J48" s="22"/>
      <c r="K48"/>
      <c r="L48"/>
    </row>
    <row r="49" spans="1:12" x14ac:dyDescent="0.45">
      <c r="A49" s="22"/>
      <c r="B49" s="22"/>
      <c r="C49" s="22"/>
      <c r="D49" s="22"/>
      <c r="F49" s="22"/>
      <c r="G49" s="22"/>
      <c r="H49" s="22"/>
      <c r="I49" s="22"/>
      <c r="J49" s="22"/>
      <c r="K49"/>
      <c r="L49"/>
    </row>
    <row r="50" spans="1:12" x14ac:dyDescent="0.45">
      <c r="A50" s="22"/>
      <c r="B50" s="22"/>
      <c r="C50" s="22"/>
      <c r="D50" s="22"/>
      <c r="F50" s="22"/>
      <c r="G50" s="22"/>
      <c r="H50" s="22"/>
      <c r="I50" s="22"/>
      <c r="J50" s="22"/>
      <c r="K50"/>
      <c r="L50"/>
    </row>
    <row r="51" spans="1:12" x14ac:dyDescent="0.45">
      <c r="A51" s="22"/>
      <c r="B51" s="22"/>
      <c r="C51" s="22"/>
      <c r="D51" s="22"/>
      <c r="F51" s="22"/>
      <c r="G51" s="22"/>
      <c r="H51" s="22"/>
      <c r="I51" s="22"/>
      <c r="J51" s="22"/>
      <c r="K51"/>
      <c r="L51"/>
    </row>
    <row r="52" spans="1:12" x14ac:dyDescent="0.45">
      <c r="A52" s="22"/>
      <c r="B52" s="22"/>
      <c r="C52" s="22"/>
      <c r="D52" s="22"/>
      <c r="F52" s="22"/>
      <c r="G52" s="22"/>
      <c r="H52" s="22"/>
      <c r="I52" s="22"/>
      <c r="J52" s="22"/>
      <c r="K52"/>
      <c r="L52"/>
    </row>
    <row r="53" spans="1:12" x14ac:dyDescent="0.45">
      <c r="A53" s="22"/>
      <c r="B53" s="22"/>
      <c r="C53" s="22"/>
      <c r="D53" s="22"/>
      <c r="F53" s="22"/>
      <c r="G53" s="22"/>
      <c r="H53" s="22"/>
      <c r="I53" s="22"/>
      <c r="J53" s="22"/>
      <c r="K53"/>
      <c r="L53"/>
    </row>
    <row r="54" spans="1:12" x14ac:dyDescent="0.45">
      <c r="A54" s="22"/>
      <c r="B54" s="22"/>
      <c r="C54" s="22"/>
      <c r="D54" s="22"/>
      <c r="F54" s="22"/>
      <c r="G54" s="22"/>
      <c r="H54" s="22"/>
      <c r="I54" s="22"/>
      <c r="J54" s="22"/>
      <c r="K54"/>
      <c r="L54"/>
    </row>
    <row r="55" spans="1:12" x14ac:dyDescent="0.45">
      <c r="A55" s="22"/>
      <c r="B55" s="22"/>
      <c r="C55" s="22"/>
      <c r="D55" s="22"/>
      <c r="F55" s="22"/>
      <c r="G55" s="22"/>
      <c r="H55" s="22"/>
      <c r="I55" s="22"/>
      <c r="J55" s="22"/>
      <c r="K55"/>
      <c r="L55"/>
    </row>
    <row r="56" spans="1:12" x14ac:dyDescent="0.45">
      <c r="A56" s="22"/>
      <c r="B56" s="22"/>
      <c r="C56" s="22"/>
      <c r="D56" s="22"/>
      <c r="F56" s="22"/>
      <c r="G56" s="22"/>
      <c r="H56" s="22"/>
      <c r="I56" s="22"/>
      <c r="J56" s="22"/>
      <c r="K56"/>
      <c r="L56"/>
    </row>
    <row r="57" spans="1:12" x14ac:dyDescent="0.45">
      <c r="A57" s="22"/>
      <c r="B57" s="22"/>
      <c r="C57" s="22"/>
      <c r="D57" s="22"/>
      <c r="F57" s="22"/>
      <c r="G57" s="22"/>
      <c r="H57" s="22"/>
      <c r="I57" s="22"/>
      <c r="J57" s="22"/>
      <c r="K57"/>
      <c r="L57"/>
    </row>
    <row r="58" spans="1:12" x14ac:dyDescent="0.45">
      <c r="A58" s="22"/>
      <c r="B58" s="22"/>
      <c r="C58" s="22"/>
      <c r="D58" s="22"/>
      <c r="F58" s="22"/>
      <c r="G58" s="22"/>
      <c r="H58" s="22"/>
      <c r="I58" s="22"/>
      <c r="J58" s="22"/>
      <c r="K58"/>
      <c r="L58"/>
    </row>
    <row r="59" spans="1:12" x14ac:dyDescent="0.45">
      <c r="A59" s="22"/>
      <c r="B59" s="22"/>
      <c r="C59" s="22"/>
      <c r="D59" s="22"/>
      <c r="F59" s="22"/>
      <c r="G59" s="22"/>
      <c r="H59" s="22"/>
      <c r="I59" s="22"/>
      <c r="J59" s="22"/>
      <c r="K59"/>
      <c r="L59"/>
    </row>
    <row r="60" spans="1:12" x14ac:dyDescent="0.45">
      <c r="A60" s="22"/>
      <c r="B60" s="22"/>
      <c r="C60" s="22"/>
      <c r="D60" s="22"/>
      <c r="F60" s="22"/>
      <c r="G60" s="22"/>
      <c r="H60" s="22"/>
      <c r="I60" s="22"/>
      <c r="J60" s="22"/>
      <c r="K60"/>
      <c r="L60"/>
    </row>
    <row r="61" spans="1:12" x14ac:dyDescent="0.45">
      <c r="A61" s="22"/>
      <c r="B61" s="22"/>
      <c r="C61" s="22"/>
      <c r="D61" s="22"/>
      <c r="F61" s="22"/>
      <c r="G61" s="22"/>
      <c r="H61" s="22"/>
      <c r="I61" s="22"/>
      <c r="J61" s="22"/>
      <c r="K61"/>
      <c r="L61"/>
    </row>
    <row r="62" spans="1:12" x14ac:dyDescent="0.45">
      <c r="A62" s="22"/>
      <c r="B62" s="22"/>
      <c r="C62" s="22"/>
      <c r="D62" s="22"/>
      <c r="F62" s="22"/>
      <c r="G62" s="22"/>
      <c r="H62" s="22"/>
      <c r="I62" s="22"/>
      <c r="J62" s="22"/>
      <c r="K62"/>
      <c r="L62"/>
    </row>
    <row r="63" spans="1:12" x14ac:dyDescent="0.45">
      <c r="A63" s="22"/>
      <c r="B63" s="22"/>
      <c r="C63" s="22"/>
      <c r="D63" s="22"/>
      <c r="F63" s="22"/>
      <c r="G63" s="22"/>
      <c r="H63" s="22"/>
      <c r="I63" s="22"/>
      <c r="J63" s="22"/>
      <c r="K63"/>
      <c r="L63"/>
    </row>
    <row r="64" spans="1:12" x14ac:dyDescent="0.45">
      <c r="A64" s="22"/>
      <c r="B64" s="22"/>
      <c r="C64" s="22"/>
      <c r="D64" s="22"/>
      <c r="F64" s="22"/>
      <c r="G64" s="22"/>
      <c r="H64" s="22"/>
      <c r="I64" s="22"/>
      <c r="J64" s="22"/>
      <c r="K64"/>
      <c r="L64"/>
    </row>
    <row r="65" spans="1:12" x14ac:dyDescent="0.45">
      <c r="A65" s="22"/>
      <c r="B65" s="22"/>
      <c r="C65" s="22"/>
      <c r="D65" s="22"/>
      <c r="F65" s="22"/>
      <c r="G65" s="22"/>
      <c r="H65" s="22"/>
      <c r="I65" s="22"/>
      <c r="J65" s="22"/>
      <c r="K65"/>
      <c r="L65"/>
    </row>
    <row r="66" spans="1:12" x14ac:dyDescent="0.45">
      <c r="A66" s="22"/>
      <c r="B66" s="22"/>
      <c r="C66" s="22"/>
      <c r="D66" s="22"/>
      <c r="F66" s="22"/>
      <c r="G66" s="22"/>
      <c r="H66" s="22"/>
      <c r="I66" s="22"/>
      <c r="J66" s="22"/>
      <c r="K66"/>
      <c r="L66"/>
    </row>
    <row r="67" spans="1:12" x14ac:dyDescent="0.45">
      <c r="A67" s="22"/>
      <c r="B67" s="22"/>
      <c r="C67" s="22"/>
      <c r="D67" s="22"/>
      <c r="F67" s="22"/>
      <c r="G67" s="22"/>
      <c r="H67" s="22"/>
      <c r="I67" s="22"/>
      <c r="J67" s="22"/>
      <c r="K67"/>
      <c r="L67"/>
    </row>
    <row r="68" spans="1:12" x14ac:dyDescent="0.45">
      <c r="A68" s="22"/>
      <c r="B68" s="22"/>
      <c r="C68" s="22"/>
      <c r="D68" s="22"/>
      <c r="F68" s="22"/>
      <c r="G68" s="22"/>
      <c r="H68" s="22"/>
      <c r="I68" s="22"/>
      <c r="J68" s="22"/>
      <c r="K68"/>
      <c r="L68"/>
    </row>
    <row r="69" spans="1:12" x14ac:dyDescent="0.45">
      <c r="A69" s="22"/>
      <c r="B69" s="22"/>
      <c r="C69" s="22"/>
      <c r="D69" s="22"/>
      <c r="F69" s="22"/>
      <c r="G69" s="22"/>
      <c r="H69" s="22"/>
      <c r="I69" s="22"/>
      <c r="J69" s="22"/>
      <c r="K69"/>
      <c r="L69"/>
    </row>
    <row r="70" spans="1:12" x14ac:dyDescent="0.45">
      <c r="A70" s="22"/>
      <c r="B70" s="22"/>
      <c r="C70" s="22"/>
      <c r="D70" s="22"/>
      <c r="F70" s="22"/>
      <c r="G70" s="22"/>
      <c r="H70" s="22"/>
      <c r="I70" s="22"/>
      <c r="J70" s="22"/>
      <c r="K70"/>
      <c r="L70"/>
    </row>
    <row r="71" spans="1:12" x14ac:dyDescent="0.45">
      <c r="A71" s="22"/>
      <c r="B71" s="22"/>
      <c r="C71" s="22"/>
      <c r="D71" s="22"/>
      <c r="F71" s="22"/>
      <c r="G71" s="22"/>
      <c r="H71" s="22"/>
      <c r="I71" s="22"/>
      <c r="J71" s="22"/>
      <c r="K71"/>
      <c r="L71"/>
    </row>
    <row r="72" spans="1:12" x14ac:dyDescent="0.45">
      <c r="A72" s="22"/>
      <c r="B72" s="22"/>
      <c r="C72" s="22"/>
      <c r="D72" s="22"/>
      <c r="F72" s="22"/>
      <c r="G72" s="22"/>
      <c r="H72" s="22"/>
      <c r="I72" s="22"/>
      <c r="J72" s="22"/>
      <c r="K72"/>
      <c r="L72"/>
    </row>
    <row r="73" spans="1:12" x14ac:dyDescent="0.45">
      <c r="A73" s="22"/>
      <c r="B73" s="22"/>
      <c r="C73" s="22"/>
      <c r="D73" s="22"/>
      <c r="F73" s="22"/>
      <c r="G73" s="22"/>
      <c r="H73" s="22"/>
      <c r="I73" s="22"/>
      <c r="J73" s="22"/>
      <c r="K73"/>
      <c r="L73"/>
    </row>
    <row r="74" spans="1:12" x14ac:dyDescent="0.45">
      <c r="A74" s="22"/>
      <c r="B74" s="22"/>
      <c r="C74" s="22"/>
      <c r="D74" s="22"/>
      <c r="F74" s="22"/>
      <c r="G74" s="22"/>
      <c r="H74" s="22"/>
      <c r="I74" s="22"/>
      <c r="J74" s="22"/>
      <c r="K74"/>
      <c r="L74"/>
    </row>
    <row r="75" spans="1:12" x14ac:dyDescent="0.45">
      <c r="A75" s="22"/>
      <c r="B75" s="22"/>
      <c r="C75" s="22"/>
      <c r="D75" s="22"/>
      <c r="F75" s="22"/>
      <c r="G75" s="22"/>
      <c r="H75" s="22"/>
      <c r="I75" s="22"/>
      <c r="J75" s="22"/>
      <c r="K75"/>
      <c r="L75"/>
    </row>
    <row r="76" spans="1:12" x14ac:dyDescent="0.45">
      <c r="A76" s="22"/>
      <c r="B76" s="22"/>
      <c r="C76" s="22"/>
      <c r="D76" s="22"/>
      <c r="F76" s="22"/>
      <c r="G76" s="22"/>
      <c r="H76" s="22"/>
      <c r="I76" s="22"/>
      <c r="J76" s="22"/>
      <c r="K76"/>
      <c r="L76"/>
    </row>
    <row r="77" spans="1:12" x14ac:dyDescent="0.45">
      <c r="A77" s="22"/>
      <c r="B77" s="22"/>
      <c r="C77" s="22"/>
      <c r="D77" s="22"/>
      <c r="F77" s="22"/>
      <c r="G77" s="22"/>
      <c r="H77" s="22"/>
      <c r="I77" s="22"/>
      <c r="J77" s="22"/>
      <c r="K77"/>
      <c r="L77"/>
    </row>
    <row r="78" spans="1:12" x14ac:dyDescent="0.45">
      <c r="A78" s="22"/>
      <c r="B78" s="22"/>
      <c r="C78" s="22"/>
      <c r="D78" s="22"/>
      <c r="F78" s="22"/>
      <c r="G78" s="22"/>
      <c r="H78" s="22"/>
      <c r="I78" s="22"/>
      <c r="J78" s="22"/>
      <c r="K78"/>
      <c r="L78"/>
    </row>
    <row r="79" spans="1:12" x14ac:dyDescent="0.45">
      <c r="A79" s="22"/>
      <c r="B79" s="22"/>
      <c r="C79" s="22"/>
      <c r="D79" s="22"/>
      <c r="F79" s="22"/>
      <c r="G79" s="22"/>
      <c r="H79" s="22"/>
      <c r="I79" s="22"/>
      <c r="J79" s="22"/>
      <c r="K79"/>
      <c r="L79"/>
    </row>
    <row r="80" spans="1:12" x14ac:dyDescent="0.45">
      <c r="A80" s="22"/>
      <c r="B80" s="22"/>
      <c r="C80" s="22"/>
      <c r="D80" s="22"/>
      <c r="F80" s="22"/>
      <c r="G80" s="22"/>
      <c r="H80" s="22"/>
      <c r="I80" s="22"/>
      <c r="J80" s="22"/>
      <c r="K80"/>
      <c r="L80"/>
    </row>
    <row r="81" spans="1:12" x14ac:dyDescent="0.45">
      <c r="A81" s="22"/>
      <c r="B81" s="22"/>
      <c r="C81" s="22"/>
      <c r="D81" s="22"/>
      <c r="F81" s="22"/>
      <c r="G81" s="22"/>
      <c r="H81" s="22"/>
      <c r="I81" s="22"/>
      <c r="J81" s="22"/>
      <c r="K81"/>
      <c r="L81"/>
    </row>
    <row r="82" spans="1:12" x14ac:dyDescent="0.45">
      <c r="A82" s="22"/>
      <c r="B82" s="22"/>
      <c r="C82" s="22"/>
      <c r="D82" s="22"/>
      <c r="F82" s="22"/>
      <c r="G82" s="22"/>
      <c r="H82" s="22"/>
      <c r="I82" s="22"/>
      <c r="J82" s="22"/>
      <c r="K82"/>
      <c r="L82"/>
    </row>
    <row r="83" spans="1:12" x14ac:dyDescent="0.45">
      <c r="A83" s="22"/>
      <c r="B83" s="22"/>
      <c r="C83" s="22"/>
      <c r="D83" s="22"/>
      <c r="F83" s="22"/>
      <c r="G83" s="22"/>
      <c r="H83" s="22"/>
      <c r="I83" s="22"/>
      <c r="J83" s="22"/>
      <c r="K83"/>
      <c r="L83"/>
    </row>
    <row r="84" spans="1:12" x14ac:dyDescent="0.45">
      <c r="A84" s="22"/>
      <c r="B84" s="22"/>
      <c r="C84" s="22"/>
      <c r="D84" s="22"/>
      <c r="F84" s="22"/>
      <c r="G84" s="22"/>
      <c r="H84" s="22"/>
      <c r="I84" s="22"/>
      <c r="J84" s="22"/>
      <c r="K84"/>
      <c r="L84"/>
    </row>
    <row r="85" spans="1:12" x14ac:dyDescent="0.45">
      <c r="A85" s="22"/>
      <c r="B85" s="22"/>
      <c r="C85" s="22"/>
      <c r="D85" s="22"/>
      <c r="F85" s="22"/>
      <c r="G85" s="22"/>
      <c r="H85" s="22"/>
      <c r="I85" s="22"/>
      <c r="J85" s="22"/>
      <c r="K85"/>
      <c r="L85"/>
    </row>
    <row r="86" spans="1:12" x14ac:dyDescent="0.45">
      <c r="A86" s="22"/>
      <c r="B86" s="22"/>
      <c r="C86" s="22"/>
      <c r="D86" s="22"/>
      <c r="F86" s="22"/>
      <c r="G86" s="22"/>
      <c r="H86" s="22"/>
      <c r="I86" s="22"/>
      <c r="J86" s="22"/>
      <c r="K86"/>
      <c r="L86"/>
    </row>
    <row r="87" spans="1:12" x14ac:dyDescent="0.45">
      <c r="A87" s="22"/>
      <c r="B87" s="22"/>
      <c r="C87" s="22"/>
      <c r="D87" s="22"/>
      <c r="F87" s="22"/>
      <c r="G87" s="22"/>
      <c r="H87" s="22"/>
      <c r="I87" s="22"/>
      <c r="J87" s="22"/>
      <c r="K87"/>
      <c r="L87"/>
    </row>
    <row r="88" spans="1:12" x14ac:dyDescent="0.45">
      <c r="A88" s="22"/>
      <c r="B88" s="22"/>
      <c r="C88" s="22"/>
      <c r="D88" s="22"/>
      <c r="F88" s="22"/>
      <c r="G88" s="22"/>
      <c r="H88" s="22"/>
      <c r="I88" s="22"/>
      <c r="J88" s="22"/>
      <c r="K88"/>
      <c r="L88"/>
    </row>
    <row r="89" spans="1:12" x14ac:dyDescent="0.45">
      <c r="A89" s="22"/>
      <c r="B89" s="22"/>
      <c r="C89" s="22"/>
      <c r="D89" s="22"/>
      <c r="F89" s="22"/>
      <c r="G89" s="22"/>
      <c r="H89" s="22"/>
      <c r="I89" s="22"/>
      <c r="J89" s="22"/>
      <c r="K89"/>
      <c r="L89"/>
    </row>
    <row r="90" spans="1:12" x14ac:dyDescent="0.45">
      <c r="A90" s="22"/>
      <c r="B90" s="22"/>
      <c r="C90" s="22"/>
      <c r="D90" s="22"/>
      <c r="F90" s="22"/>
      <c r="G90" s="22"/>
      <c r="H90" s="22"/>
      <c r="I90" s="22"/>
      <c r="J90" s="22"/>
      <c r="K90"/>
      <c r="L90"/>
    </row>
    <row r="91" spans="1:12" x14ac:dyDescent="0.45">
      <c r="A91" s="22"/>
      <c r="B91" s="22"/>
      <c r="C91" s="22"/>
      <c r="D91" s="22"/>
      <c r="F91" s="22"/>
      <c r="G91" s="22"/>
      <c r="H91" s="22"/>
      <c r="I91" s="22"/>
      <c r="J91" s="22"/>
      <c r="K91"/>
      <c r="L91"/>
    </row>
    <row r="92" spans="1:12" x14ac:dyDescent="0.45">
      <c r="A92" s="22"/>
      <c r="B92" s="22"/>
      <c r="C92" s="22"/>
      <c r="D92" s="22"/>
      <c r="F92" s="22"/>
      <c r="G92" s="22"/>
      <c r="H92" s="22"/>
      <c r="I92" s="22"/>
      <c r="J92" s="22"/>
      <c r="K92"/>
      <c r="L92"/>
    </row>
    <row r="93" spans="1:12" x14ac:dyDescent="0.45">
      <c r="A93" s="22"/>
      <c r="B93" s="22"/>
      <c r="C93" s="22"/>
      <c r="D93" s="22"/>
      <c r="F93" s="22"/>
      <c r="G93" s="22"/>
      <c r="H93" s="22"/>
      <c r="I93" s="22"/>
      <c r="J93" s="22"/>
      <c r="K93"/>
      <c r="L93"/>
    </row>
    <row r="94" spans="1:12" x14ac:dyDescent="0.45">
      <c r="A94" s="22"/>
      <c r="B94" s="22"/>
      <c r="C94" s="22"/>
      <c r="D94" s="22"/>
      <c r="F94" s="22"/>
      <c r="G94" s="22"/>
      <c r="H94" s="22"/>
      <c r="I94" s="22"/>
      <c r="J94" s="22"/>
      <c r="K94"/>
      <c r="L94"/>
    </row>
    <row r="95" spans="1:12" x14ac:dyDescent="0.45">
      <c r="A95" s="22"/>
      <c r="B95" s="22"/>
      <c r="C95" s="22"/>
      <c r="D95" s="22"/>
      <c r="F95" s="22"/>
      <c r="G95" s="22"/>
      <c r="H95" s="22"/>
      <c r="I95" s="22"/>
      <c r="J95" s="22"/>
      <c r="K95"/>
      <c r="L95"/>
    </row>
    <row r="96" spans="1:12" x14ac:dyDescent="0.45">
      <c r="A96" s="22"/>
      <c r="B96" s="22"/>
      <c r="C96" s="22"/>
      <c r="D96" s="22"/>
      <c r="F96" s="22"/>
      <c r="G96" s="22"/>
      <c r="H96" s="22"/>
      <c r="I96" s="22"/>
      <c r="J96" s="22"/>
      <c r="K96"/>
      <c r="L96"/>
    </row>
    <row r="97" spans="1:12" x14ac:dyDescent="0.45">
      <c r="A97" s="22"/>
      <c r="B97" s="22"/>
      <c r="C97" s="22"/>
      <c r="D97" s="22"/>
      <c r="F97" s="22"/>
      <c r="G97" s="22"/>
      <c r="H97" s="22"/>
      <c r="I97" s="22"/>
      <c r="J97" s="22"/>
      <c r="K97"/>
      <c r="L97"/>
    </row>
    <row r="98" spans="1:12" x14ac:dyDescent="0.45">
      <c r="A98" s="22"/>
      <c r="B98" s="22"/>
      <c r="C98" s="22"/>
      <c r="D98" s="22"/>
      <c r="F98" s="22"/>
      <c r="G98" s="22"/>
      <c r="H98" s="22"/>
      <c r="I98" s="22"/>
      <c r="J98" s="22"/>
      <c r="K98"/>
      <c r="L98"/>
    </row>
    <row r="99" spans="1:12" x14ac:dyDescent="0.45">
      <c r="A99" s="22"/>
      <c r="B99" s="22"/>
      <c r="C99" s="22"/>
      <c r="D99" s="22"/>
      <c r="F99" s="22"/>
      <c r="G99" s="22"/>
      <c r="H99" s="22"/>
      <c r="I99" s="22"/>
      <c r="J99" s="22"/>
      <c r="K99"/>
      <c r="L99"/>
    </row>
    <row r="100" spans="1:12" x14ac:dyDescent="0.45">
      <c r="A100" s="22"/>
      <c r="B100" s="22"/>
      <c r="C100" s="22"/>
      <c r="D100" s="22"/>
      <c r="F100" s="22"/>
      <c r="G100" s="22"/>
      <c r="H100" s="22"/>
      <c r="I100" s="22"/>
      <c r="J100" s="22"/>
      <c r="K100"/>
      <c r="L100"/>
    </row>
    <row r="101" spans="1:12" x14ac:dyDescent="0.45">
      <c r="A101" s="22"/>
      <c r="B101" s="22"/>
      <c r="C101" s="22"/>
      <c r="D101" s="22"/>
      <c r="F101" s="22"/>
      <c r="G101" s="22"/>
      <c r="H101" s="22"/>
      <c r="I101" s="22"/>
      <c r="J101" s="22"/>
      <c r="K101"/>
      <c r="L101"/>
    </row>
    <row r="102" spans="1:12" x14ac:dyDescent="0.45">
      <c r="A102" s="22"/>
      <c r="B102" s="22"/>
      <c r="C102" s="22"/>
      <c r="D102" s="22"/>
      <c r="F102" s="22"/>
      <c r="G102" s="22"/>
      <c r="H102" s="22"/>
      <c r="I102" s="22"/>
      <c r="J102" s="22"/>
      <c r="K102"/>
      <c r="L102"/>
    </row>
    <row r="103" spans="1:12" x14ac:dyDescent="0.45">
      <c r="A103" s="22"/>
      <c r="B103" s="22"/>
      <c r="C103" s="22"/>
      <c r="D103" s="22"/>
      <c r="F103" s="22"/>
      <c r="G103" s="22"/>
      <c r="H103" s="22"/>
      <c r="I103" s="22"/>
      <c r="J103" s="22"/>
      <c r="K103"/>
      <c r="L103"/>
    </row>
    <row r="104" spans="1:12" x14ac:dyDescent="0.45">
      <c r="A104" s="22"/>
      <c r="B104" s="22"/>
      <c r="C104" s="22"/>
      <c r="D104" s="22"/>
      <c r="F104" s="22"/>
      <c r="G104" s="22"/>
      <c r="H104" s="22"/>
      <c r="I104" s="22"/>
      <c r="J104" s="22"/>
      <c r="K104"/>
      <c r="L104"/>
    </row>
    <row r="105" spans="1:12" x14ac:dyDescent="0.45">
      <c r="A105" s="22"/>
      <c r="B105" s="22"/>
      <c r="C105" s="22"/>
      <c r="D105" s="22"/>
      <c r="F105" s="22"/>
      <c r="G105" s="22"/>
      <c r="H105" s="22"/>
      <c r="I105" s="22"/>
      <c r="J105" s="22"/>
      <c r="K105"/>
      <c r="L105"/>
    </row>
    <row r="106" spans="1:12" x14ac:dyDescent="0.45">
      <c r="A106" s="22"/>
      <c r="B106" s="22"/>
      <c r="C106" s="22"/>
      <c r="D106" s="22"/>
      <c r="F106" s="22"/>
      <c r="G106" s="22"/>
      <c r="H106" s="22"/>
      <c r="I106" s="22"/>
      <c r="J106" s="22"/>
      <c r="K106"/>
      <c r="L106"/>
    </row>
    <row r="107" spans="1:12" x14ac:dyDescent="0.45">
      <c r="A107" s="22"/>
      <c r="B107" s="22"/>
      <c r="C107" s="22"/>
      <c r="D107" s="22"/>
      <c r="F107" s="22"/>
      <c r="G107" s="22"/>
      <c r="H107" s="22"/>
      <c r="I107" s="22"/>
      <c r="J107" s="22"/>
      <c r="K107"/>
      <c r="L107"/>
    </row>
    <row r="108" spans="1:12" x14ac:dyDescent="0.45">
      <c r="A108" s="22"/>
      <c r="B108" s="22"/>
      <c r="C108" s="22"/>
      <c r="D108" s="22"/>
      <c r="F108" s="22"/>
      <c r="G108" s="22"/>
      <c r="H108" s="22"/>
      <c r="I108" s="22"/>
      <c r="J108" s="22"/>
      <c r="K108"/>
      <c r="L108"/>
    </row>
    <row r="109" spans="1:12" x14ac:dyDescent="0.45">
      <c r="A109" s="22"/>
      <c r="B109" s="22"/>
      <c r="C109" s="22"/>
      <c r="D109" s="22"/>
      <c r="F109" s="22"/>
      <c r="G109" s="22"/>
      <c r="H109" s="22"/>
      <c r="I109" s="22"/>
      <c r="J109" s="22"/>
      <c r="K109"/>
      <c r="L109"/>
    </row>
    <row r="110" spans="1:12" x14ac:dyDescent="0.45">
      <c r="A110" s="22"/>
      <c r="B110" s="22"/>
      <c r="C110" s="22"/>
      <c r="D110" s="22"/>
      <c r="F110" s="22"/>
      <c r="G110" s="22"/>
      <c r="H110" s="22"/>
      <c r="I110" s="22"/>
      <c r="J110" s="22"/>
      <c r="K110"/>
      <c r="L110"/>
    </row>
    <row r="111" spans="1:12" x14ac:dyDescent="0.45">
      <c r="A111" s="22"/>
      <c r="B111" s="22"/>
      <c r="C111" s="22"/>
      <c r="D111" s="22"/>
      <c r="F111" s="22"/>
      <c r="G111" s="22"/>
      <c r="H111" s="22"/>
      <c r="I111" s="22"/>
      <c r="J111" s="22"/>
      <c r="K111"/>
      <c r="L111"/>
    </row>
    <row r="112" spans="1:12" x14ac:dyDescent="0.45">
      <c r="A112" s="22"/>
      <c r="B112" s="22"/>
      <c r="C112" s="22"/>
      <c r="D112" s="22"/>
      <c r="F112" s="22"/>
      <c r="G112" s="22"/>
      <c r="H112" s="22"/>
      <c r="I112" s="22"/>
      <c r="J112" s="22"/>
      <c r="K112"/>
      <c r="L112"/>
    </row>
    <row r="113" spans="1:12" x14ac:dyDescent="0.45">
      <c r="A113" s="22"/>
      <c r="B113" s="22"/>
      <c r="C113" s="22"/>
      <c r="D113" s="22"/>
      <c r="F113" s="22"/>
      <c r="G113" s="22"/>
      <c r="H113" s="22"/>
      <c r="I113" s="22"/>
      <c r="J113" s="22"/>
      <c r="K113"/>
      <c r="L113"/>
    </row>
    <row r="114" spans="1:12" x14ac:dyDescent="0.45">
      <c r="A114" s="22"/>
      <c r="B114" s="22"/>
      <c r="C114" s="22"/>
      <c r="D114" s="22"/>
      <c r="F114" s="22"/>
      <c r="G114" s="22"/>
      <c r="H114" s="22"/>
      <c r="I114" s="22"/>
      <c r="J114" s="22"/>
      <c r="K114"/>
      <c r="L114"/>
    </row>
    <row r="115" spans="1:12" x14ac:dyDescent="0.45">
      <c r="A115" s="22"/>
      <c r="B115" s="22"/>
      <c r="C115" s="22"/>
      <c r="D115" s="22"/>
      <c r="F115" s="22"/>
      <c r="G115" s="22"/>
      <c r="H115" s="22"/>
      <c r="I115" s="22"/>
      <c r="J115" s="22"/>
      <c r="K115"/>
      <c r="L115"/>
    </row>
    <row r="116" spans="1:12" x14ac:dyDescent="0.45">
      <c r="A116" s="22"/>
      <c r="B116" s="22"/>
      <c r="C116" s="22"/>
      <c r="D116" s="22"/>
      <c r="F116" s="22"/>
      <c r="G116" s="22"/>
      <c r="H116" s="22"/>
      <c r="I116" s="22"/>
      <c r="J116" s="22"/>
      <c r="K116"/>
      <c r="L116"/>
    </row>
    <row r="117" spans="1:12" x14ac:dyDescent="0.45">
      <c r="A117" s="22"/>
      <c r="B117" s="22"/>
      <c r="C117" s="22"/>
      <c r="D117" s="22"/>
      <c r="F117" s="22"/>
      <c r="G117" s="22"/>
      <c r="H117" s="22"/>
      <c r="I117" s="22"/>
      <c r="J117" s="22"/>
      <c r="K117"/>
      <c r="L117"/>
    </row>
    <row r="118" spans="1:12" x14ac:dyDescent="0.45">
      <c r="A118" s="22"/>
      <c r="B118" s="22"/>
      <c r="C118" s="22"/>
      <c r="D118" s="22"/>
      <c r="F118" s="22"/>
      <c r="G118" s="22"/>
      <c r="H118" s="22"/>
      <c r="I118" s="22"/>
      <c r="J118" s="22"/>
      <c r="K118"/>
      <c r="L118"/>
    </row>
    <row r="119" spans="1:12" x14ac:dyDescent="0.45">
      <c r="A119" s="22"/>
      <c r="B119" s="22"/>
      <c r="C119" s="22"/>
      <c r="D119" s="22"/>
      <c r="F119" s="22"/>
      <c r="G119" s="22"/>
      <c r="H119" s="22"/>
      <c r="I119" s="22"/>
      <c r="J119" s="22"/>
      <c r="K119"/>
      <c r="L119"/>
    </row>
    <row r="120" spans="1:12" x14ac:dyDescent="0.45">
      <c r="A120" s="22"/>
      <c r="B120" s="22"/>
      <c r="C120" s="22"/>
      <c r="D120" s="22"/>
      <c r="F120" s="22"/>
      <c r="G120" s="22"/>
      <c r="H120" s="22"/>
      <c r="I120" s="22"/>
      <c r="J120" s="22"/>
      <c r="K120"/>
      <c r="L120"/>
    </row>
    <row r="121" spans="1:12" x14ac:dyDescent="0.45">
      <c r="A121" s="22"/>
      <c r="B121" s="22"/>
      <c r="C121" s="22"/>
      <c r="D121" s="22"/>
      <c r="F121" s="22"/>
      <c r="G121" s="22"/>
      <c r="H121" s="22"/>
      <c r="I121" s="22"/>
      <c r="J121" s="22"/>
      <c r="K121"/>
      <c r="L121"/>
    </row>
    <row r="122" spans="1:12" x14ac:dyDescent="0.45">
      <c r="A122" s="22"/>
      <c r="B122" s="22"/>
      <c r="C122" s="22"/>
      <c r="D122" s="22"/>
      <c r="F122" s="22"/>
      <c r="G122" s="22"/>
      <c r="H122" s="22"/>
      <c r="I122" s="22"/>
      <c r="J122" s="22"/>
      <c r="K122"/>
      <c r="L122"/>
    </row>
    <row r="123" spans="1:12" x14ac:dyDescent="0.45">
      <c r="A123" s="22"/>
      <c r="B123" s="22"/>
      <c r="C123" s="22"/>
      <c r="D123" s="22"/>
      <c r="F123" s="22"/>
      <c r="G123" s="22"/>
      <c r="H123" s="22"/>
      <c r="I123" s="22"/>
      <c r="J123" s="22"/>
      <c r="K123"/>
      <c r="L123"/>
    </row>
    <row r="124" spans="1:12" x14ac:dyDescent="0.45">
      <c r="A124" s="22"/>
      <c r="B124" s="22"/>
      <c r="C124" s="22"/>
      <c r="D124" s="22"/>
      <c r="F124" s="22"/>
      <c r="G124" s="22"/>
      <c r="H124" s="22"/>
      <c r="I124" s="22"/>
      <c r="J124" s="22"/>
      <c r="K124"/>
      <c r="L124"/>
    </row>
    <row r="125" spans="1:12" x14ac:dyDescent="0.45">
      <c r="A125" s="22"/>
      <c r="B125" s="22"/>
      <c r="C125" s="22"/>
      <c r="D125" s="22"/>
      <c r="F125" s="22"/>
      <c r="G125" s="22"/>
      <c r="H125" s="22"/>
      <c r="I125" s="22"/>
      <c r="J125" s="22"/>
      <c r="K125"/>
      <c r="L125"/>
    </row>
    <row r="126" spans="1:12" x14ac:dyDescent="0.45">
      <c r="A126" s="22"/>
      <c r="B126" s="22"/>
      <c r="C126" s="22"/>
      <c r="D126" s="22"/>
      <c r="F126" s="22"/>
      <c r="G126" s="22"/>
      <c r="H126" s="22"/>
      <c r="I126" s="22"/>
      <c r="J126" s="22"/>
      <c r="K126"/>
      <c r="L126"/>
    </row>
    <row r="127" spans="1:12" x14ac:dyDescent="0.45">
      <c r="A127" s="22"/>
      <c r="B127" s="22"/>
      <c r="C127" s="22"/>
      <c r="D127" s="22"/>
      <c r="F127" s="22"/>
      <c r="G127" s="22"/>
      <c r="H127" s="22"/>
      <c r="I127" s="22"/>
      <c r="J127" s="22"/>
      <c r="K127"/>
      <c r="L127"/>
    </row>
    <row r="128" spans="1:12" x14ac:dyDescent="0.45">
      <c r="A128" s="22"/>
      <c r="B128" s="22"/>
      <c r="C128" s="22"/>
      <c r="D128" s="22"/>
      <c r="F128" s="22"/>
      <c r="G128" s="22"/>
      <c r="H128" s="22"/>
      <c r="I128" s="22"/>
      <c r="J128" s="22"/>
      <c r="K128"/>
      <c r="L128"/>
    </row>
    <row r="129" spans="1:12" x14ac:dyDescent="0.45">
      <c r="A129" s="22"/>
      <c r="B129" s="22"/>
      <c r="C129" s="22"/>
      <c r="D129" s="22"/>
      <c r="F129" s="22"/>
      <c r="G129" s="22"/>
      <c r="H129" s="22"/>
      <c r="I129" s="22"/>
      <c r="J129" s="22"/>
      <c r="K129"/>
      <c r="L129"/>
    </row>
    <row r="130" spans="1:12" x14ac:dyDescent="0.45">
      <c r="A130" s="22"/>
      <c r="B130" s="22"/>
      <c r="C130" s="22"/>
      <c r="D130" s="22"/>
      <c r="F130" s="22"/>
      <c r="G130" s="22"/>
      <c r="H130" s="22"/>
      <c r="I130" s="22"/>
      <c r="J130" s="22"/>
      <c r="K130"/>
      <c r="L130"/>
    </row>
    <row r="131" spans="1:12" x14ac:dyDescent="0.45">
      <c r="A131" s="22"/>
      <c r="B131" s="22"/>
      <c r="C131" s="22"/>
      <c r="D131" s="22"/>
      <c r="F131" s="22"/>
      <c r="G131" s="22"/>
      <c r="H131" s="22"/>
      <c r="I131" s="22"/>
      <c r="J131" s="22"/>
      <c r="K131"/>
      <c r="L131"/>
    </row>
    <row r="132" spans="1:12" x14ac:dyDescent="0.45">
      <c r="A132" s="22"/>
      <c r="B132" s="22"/>
      <c r="C132" s="22"/>
      <c r="D132" s="22"/>
      <c r="F132" s="22"/>
      <c r="G132" s="22"/>
      <c r="H132" s="22"/>
      <c r="I132" s="22"/>
      <c r="J132" s="22"/>
      <c r="K132"/>
      <c r="L132"/>
    </row>
    <row r="133" spans="1:12" x14ac:dyDescent="0.45">
      <c r="A133" s="22"/>
      <c r="B133" s="22"/>
      <c r="C133" s="22"/>
      <c r="D133" s="22"/>
      <c r="F133" s="22"/>
      <c r="G133" s="22"/>
      <c r="H133" s="22"/>
      <c r="I133" s="22"/>
      <c r="J133" s="22"/>
      <c r="K133"/>
      <c r="L133"/>
    </row>
    <row r="134" spans="1:12" x14ac:dyDescent="0.45">
      <c r="A134" s="22"/>
      <c r="B134" s="22"/>
      <c r="C134" s="22"/>
      <c r="D134" s="22"/>
      <c r="F134" s="22"/>
      <c r="G134" s="22"/>
      <c r="H134" s="22"/>
      <c r="I134" s="22"/>
      <c r="J134" s="22"/>
      <c r="K134"/>
      <c r="L134"/>
    </row>
    <row r="135" spans="1:12" x14ac:dyDescent="0.45">
      <c r="A135" s="22"/>
      <c r="B135" s="22"/>
      <c r="C135" s="22"/>
      <c r="D135" s="22"/>
      <c r="F135" s="22"/>
      <c r="G135" s="22"/>
      <c r="H135" s="22"/>
      <c r="I135" s="22"/>
      <c r="J135" s="22"/>
      <c r="K135"/>
      <c r="L135"/>
    </row>
    <row r="136" spans="1:12" x14ac:dyDescent="0.45">
      <c r="A136" s="22"/>
      <c r="B136" s="22"/>
      <c r="C136" s="22"/>
      <c r="D136" s="22"/>
      <c r="F136" s="22"/>
      <c r="G136" s="22"/>
      <c r="H136" s="22"/>
      <c r="I136" s="22"/>
      <c r="J136" s="22"/>
      <c r="K136"/>
      <c r="L136"/>
    </row>
    <row r="137" spans="1:12" x14ac:dyDescent="0.45">
      <c r="A137" s="22"/>
      <c r="B137" s="22"/>
      <c r="C137" s="22"/>
      <c r="D137" s="22"/>
      <c r="F137" s="22"/>
      <c r="G137" s="22"/>
      <c r="H137" s="22"/>
      <c r="I137" s="22"/>
      <c r="J137" s="22"/>
      <c r="K137"/>
      <c r="L137"/>
    </row>
    <row r="138" spans="1:12" x14ac:dyDescent="0.45">
      <c r="A138" s="22"/>
      <c r="B138" s="22"/>
      <c r="C138" s="22"/>
      <c r="D138" s="22"/>
      <c r="F138" s="22"/>
      <c r="G138" s="22"/>
      <c r="H138" s="22"/>
      <c r="I138" s="22"/>
      <c r="J138" s="22"/>
      <c r="K138"/>
      <c r="L138"/>
    </row>
    <row r="139" spans="1:12" x14ac:dyDescent="0.45">
      <c r="A139" s="22"/>
      <c r="B139" s="22"/>
      <c r="C139" s="22"/>
      <c r="D139" s="22"/>
      <c r="F139" s="22"/>
      <c r="G139" s="22"/>
      <c r="H139" s="22"/>
      <c r="I139" s="22"/>
      <c r="J139" s="22"/>
      <c r="K139"/>
      <c r="L139"/>
    </row>
    <row r="140" spans="1:12" x14ac:dyDescent="0.45">
      <c r="A140" s="22"/>
      <c r="B140" s="22"/>
      <c r="C140" s="22"/>
      <c r="D140" s="22"/>
      <c r="F140" s="22"/>
      <c r="G140" s="22"/>
      <c r="H140" s="22"/>
      <c r="I140" s="22"/>
      <c r="J140" s="22"/>
      <c r="K140"/>
      <c r="L140"/>
    </row>
    <row r="141" spans="1:12" x14ac:dyDescent="0.45">
      <c r="A141" s="22"/>
      <c r="B141" s="22"/>
      <c r="C141" s="22"/>
      <c r="D141" s="22"/>
      <c r="F141" s="22"/>
      <c r="G141" s="22"/>
      <c r="H141" s="22"/>
      <c r="I141" s="22"/>
      <c r="J141" s="22"/>
      <c r="K141"/>
      <c r="L141"/>
    </row>
    <row r="142" spans="1:12" x14ac:dyDescent="0.45">
      <c r="A142" s="22"/>
      <c r="B142" s="22"/>
      <c r="C142" s="22"/>
      <c r="D142" s="22"/>
      <c r="F142" s="22"/>
      <c r="G142" s="22"/>
      <c r="H142" s="22"/>
      <c r="I142" s="22"/>
      <c r="J142" s="22"/>
      <c r="K142"/>
      <c r="L142"/>
    </row>
    <row r="143" spans="1:12" x14ac:dyDescent="0.45">
      <c r="A143" s="22"/>
      <c r="B143" s="22"/>
      <c r="C143" s="22"/>
      <c r="D143" s="22"/>
      <c r="F143" s="22"/>
      <c r="G143" s="22"/>
      <c r="H143" s="22"/>
      <c r="I143" s="22"/>
      <c r="J143" s="22"/>
      <c r="K143"/>
      <c r="L143"/>
    </row>
    <row r="144" spans="1:12" x14ac:dyDescent="0.45">
      <c r="A144" s="22"/>
      <c r="B144" s="22"/>
      <c r="C144" s="22"/>
      <c r="D144" s="22"/>
      <c r="F144" s="22"/>
      <c r="G144" s="22"/>
      <c r="H144" s="22"/>
      <c r="I144" s="22"/>
      <c r="J144" s="22"/>
      <c r="K144"/>
      <c r="L144"/>
    </row>
    <row r="145" spans="1:12" x14ac:dyDescent="0.45">
      <c r="A145" s="22"/>
      <c r="B145" s="22"/>
      <c r="C145" s="22"/>
      <c r="D145" s="22"/>
      <c r="F145" s="22"/>
      <c r="G145" s="22"/>
      <c r="H145" s="22"/>
      <c r="I145" s="22"/>
      <c r="J145" s="22"/>
      <c r="K145"/>
      <c r="L145"/>
    </row>
    <row r="146" spans="1:12" x14ac:dyDescent="0.45">
      <c r="A146" s="22"/>
      <c r="B146" s="22"/>
      <c r="C146" s="22"/>
      <c r="D146" s="22"/>
      <c r="F146" s="22"/>
      <c r="G146" s="22"/>
      <c r="H146" s="22"/>
      <c r="I146" s="22"/>
      <c r="J146" s="22"/>
      <c r="K146"/>
      <c r="L146"/>
    </row>
    <row r="147" spans="1:12" x14ac:dyDescent="0.45">
      <c r="A147" s="22"/>
      <c r="B147" s="22"/>
      <c r="C147" s="22"/>
      <c r="D147" s="22"/>
      <c r="F147" s="22"/>
      <c r="G147" s="22"/>
      <c r="H147" s="22"/>
      <c r="I147" s="22"/>
      <c r="J147" s="22"/>
      <c r="K147"/>
      <c r="L147"/>
    </row>
    <row r="148" spans="1:12" x14ac:dyDescent="0.45">
      <c r="A148" s="22"/>
      <c r="B148" s="22"/>
      <c r="C148" s="22"/>
      <c r="D148" s="22"/>
      <c r="F148" s="22"/>
      <c r="G148" s="22"/>
      <c r="H148" s="22"/>
      <c r="I148" s="22"/>
      <c r="J148" s="22"/>
      <c r="K148"/>
      <c r="L148"/>
    </row>
    <row r="149" spans="1:12" x14ac:dyDescent="0.45">
      <c r="A149" s="22"/>
      <c r="B149" s="22"/>
      <c r="C149" s="22"/>
      <c r="D149" s="22"/>
      <c r="F149" s="22"/>
      <c r="G149" s="22"/>
      <c r="H149" s="22"/>
      <c r="I149" s="22"/>
      <c r="J149" s="22"/>
      <c r="K149"/>
      <c r="L149"/>
    </row>
    <row r="150" spans="1:12" x14ac:dyDescent="0.45">
      <c r="A150" s="22"/>
      <c r="B150" s="22"/>
      <c r="C150" s="22"/>
      <c r="D150" s="22"/>
      <c r="F150" s="22"/>
      <c r="G150" s="22"/>
      <c r="H150" s="22"/>
      <c r="I150" s="22"/>
      <c r="J150" s="22"/>
      <c r="K150"/>
      <c r="L150"/>
    </row>
    <row r="151" spans="1:12" x14ac:dyDescent="0.45">
      <c r="A151" s="22"/>
      <c r="B151" s="22"/>
      <c r="C151" s="22"/>
      <c r="D151" s="22"/>
      <c r="F151" s="22"/>
      <c r="G151" s="22"/>
      <c r="H151" s="22"/>
      <c r="I151" s="22"/>
      <c r="J151" s="22"/>
      <c r="K151"/>
      <c r="L151"/>
    </row>
    <row r="152" spans="1:12" x14ac:dyDescent="0.45">
      <c r="A152" s="22"/>
      <c r="B152" s="22"/>
      <c r="C152" s="22"/>
      <c r="D152" s="22"/>
      <c r="F152" s="22"/>
      <c r="G152" s="22"/>
      <c r="H152" s="22"/>
      <c r="I152" s="22"/>
      <c r="J152" s="22"/>
      <c r="K152"/>
      <c r="L152"/>
    </row>
    <row r="153" spans="1:12" x14ac:dyDescent="0.45">
      <c r="A153" s="22"/>
      <c r="B153" s="22"/>
      <c r="C153" s="22"/>
      <c r="D153" s="22"/>
      <c r="F153" s="22"/>
      <c r="G153" s="22"/>
      <c r="H153" s="22"/>
      <c r="I153" s="22"/>
      <c r="J153" s="22"/>
      <c r="K153"/>
      <c r="L153"/>
    </row>
    <row r="154" spans="1:12" x14ac:dyDescent="0.45">
      <c r="A154" s="22"/>
      <c r="B154" s="22"/>
      <c r="C154" s="22"/>
      <c r="D154" s="22"/>
      <c r="F154" s="22"/>
      <c r="G154" s="22"/>
      <c r="H154" s="22"/>
      <c r="I154" s="22"/>
      <c r="J154" s="22"/>
      <c r="K154"/>
      <c r="L154"/>
    </row>
    <row r="155" spans="1:12" x14ac:dyDescent="0.45">
      <c r="A155" s="22"/>
      <c r="B155" s="22"/>
      <c r="C155" s="22"/>
      <c r="D155" s="22"/>
      <c r="F155" s="22"/>
      <c r="G155" s="22"/>
      <c r="H155" s="22"/>
      <c r="I155" s="22"/>
      <c r="J155" s="22"/>
      <c r="K155"/>
      <c r="L155"/>
    </row>
    <row r="156" spans="1:12" x14ac:dyDescent="0.45">
      <c r="A156" s="22"/>
      <c r="B156" s="22"/>
      <c r="C156" s="22"/>
      <c r="D156" s="22"/>
      <c r="F156" s="22"/>
      <c r="G156" s="22"/>
      <c r="H156" s="22"/>
      <c r="I156" s="22"/>
      <c r="J156" s="22"/>
      <c r="K156"/>
      <c r="L156"/>
    </row>
    <row r="157" spans="1:12" x14ac:dyDescent="0.45">
      <c r="A157" s="22"/>
      <c r="B157" s="22"/>
      <c r="C157" s="22"/>
      <c r="D157" s="22"/>
      <c r="F157" s="22"/>
      <c r="G157" s="22"/>
      <c r="H157" s="22"/>
      <c r="I157" s="22"/>
      <c r="J157" s="22"/>
      <c r="K157"/>
      <c r="L157"/>
    </row>
    <row r="158" spans="1:12" x14ac:dyDescent="0.45">
      <c r="A158" s="22"/>
      <c r="B158" s="22"/>
      <c r="C158" s="22"/>
      <c r="D158" s="22"/>
      <c r="F158" s="22"/>
      <c r="G158" s="22"/>
      <c r="H158" s="22"/>
      <c r="I158" s="22"/>
      <c r="J158" s="22"/>
      <c r="K158"/>
      <c r="L158"/>
    </row>
    <row r="159" spans="1:12" x14ac:dyDescent="0.45">
      <c r="A159" s="22"/>
      <c r="B159" s="22"/>
      <c r="C159" s="22"/>
      <c r="D159" s="22"/>
      <c r="F159" s="22"/>
      <c r="G159" s="22"/>
      <c r="H159" s="22"/>
      <c r="I159" s="22"/>
      <c r="J159" s="22"/>
      <c r="K159"/>
      <c r="L159"/>
    </row>
    <row r="160" spans="1:12" x14ac:dyDescent="0.45">
      <c r="A160" s="22"/>
      <c r="B160" s="22"/>
      <c r="C160" s="22"/>
      <c r="D160" s="22"/>
      <c r="F160" s="22"/>
      <c r="G160" s="22"/>
      <c r="H160" s="22"/>
      <c r="I160" s="22"/>
      <c r="J160" s="22"/>
      <c r="K160"/>
      <c r="L160"/>
    </row>
    <row r="161" spans="1:12" x14ac:dyDescent="0.45">
      <c r="A161" s="22"/>
      <c r="B161" s="22"/>
      <c r="C161" s="22"/>
      <c r="D161" s="22"/>
      <c r="F161" s="22"/>
      <c r="G161" s="22"/>
      <c r="H161" s="22"/>
      <c r="I161" s="22"/>
      <c r="J161" s="22"/>
      <c r="K161"/>
      <c r="L161"/>
    </row>
    <row r="162" spans="1:12" x14ac:dyDescent="0.45">
      <c r="A162" s="22"/>
      <c r="B162" s="22"/>
      <c r="C162" s="22"/>
      <c r="D162" s="22"/>
      <c r="F162" s="22"/>
      <c r="G162" s="22"/>
      <c r="H162" s="22"/>
      <c r="I162" s="22"/>
      <c r="J162" s="22"/>
      <c r="K162"/>
      <c r="L162"/>
    </row>
    <row r="163" spans="1:12" x14ac:dyDescent="0.45">
      <c r="A163" s="22"/>
      <c r="B163" s="22"/>
      <c r="C163" s="22"/>
      <c r="D163" s="22"/>
      <c r="F163" s="22"/>
      <c r="G163" s="22"/>
      <c r="H163" s="22"/>
      <c r="I163" s="22"/>
      <c r="J163" s="22"/>
      <c r="K163"/>
      <c r="L163"/>
    </row>
    <row r="164" spans="1:12" x14ac:dyDescent="0.45">
      <c r="A164" s="22"/>
      <c r="B164" s="22"/>
      <c r="C164" s="22"/>
      <c r="D164" s="22"/>
      <c r="F164" s="22"/>
      <c r="G164" s="22"/>
      <c r="H164" s="22"/>
      <c r="I164" s="22"/>
      <c r="J164" s="22"/>
      <c r="K164"/>
      <c r="L164"/>
    </row>
    <row r="165" spans="1:12" x14ac:dyDescent="0.45">
      <c r="A165" s="22"/>
      <c r="B165" s="22"/>
      <c r="C165" s="22"/>
      <c r="D165" s="22"/>
      <c r="F165" s="22"/>
      <c r="G165" s="22"/>
      <c r="H165" s="22"/>
      <c r="I165" s="22"/>
      <c r="J165" s="22"/>
      <c r="K165"/>
      <c r="L165"/>
    </row>
    <row r="166" spans="1:12" x14ac:dyDescent="0.45">
      <c r="A166" s="22"/>
      <c r="B166" s="22"/>
      <c r="C166" s="22"/>
      <c r="D166" s="22"/>
      <c r="F166" s="22"/>
      <c r="G166" s="22"/>
      <c r="H166" s="22"/>
      <c r="I166" s="22"/>
      <c r="J166" s="22"/>
      <c r="K166"/>
      <c r="L166"/>
    </row>
    <row r="167" spans="1:12" x14ac:dyDescent="0.45">
      <c r="A167" s="22"/>
      <c r="B167" s="22"/>
      <c r="C167" s="22"/>
      <c r="D167" s="22"/>
      <c r="F167" s="22"/>
      <c r="G167" s="22"/>
      <c r="H167" s="22"/>
      <c r="I167" s="22"/>
      <c r="J167" s="22"/>
      <c r="K167"/>
      <c r="L167"/>
    </row>
    <row r="168" spans="1:12" x14ac:dyDescent="0.45">
      <c r="A168" s="22"/>
      <c r="B168" s="22"/>
      <c r="C168" s="22"/>
      <c r="D168" s="22"/>
      <c r="F168" s="22"/>
      <c r="G168" s="22"/>
      <c r="H168" s="22"/>
      <c r="I168" s="22"/>
      <c r="J168" s="22"/>
      <c r="K168"/>
      <c r="L168"/>
    </row>
    <row r="169" spans="1:12" x14ac:dyDescent="0.45">
      <c r="A169" s="22"/>
      <c r="B169" s="22"/>
      <c r="C169" s="22"/>
      <c r="D169" s="22"/>
      <c r="F169" s="22"/>
      <c r="G169" s="22"/>
      <c r="H169" s="22"/>
      <c r="I169" s="22"/>
      <c r="J169" s="22"/>
      <c r="K169"/>
      <c r="L169"/>
    </row>
    <row r="170" spans="1:12" x14ac:dyDescent="0.45">
      <c r="A170" s="22"/>
      <c r="B170" s="22"/>
      <c r="C170" s="22"/>
      <c r="D170" s="22"/>
      <c r="F170" s="22"/>
      <c r="G170" s="22"/>
      <c r="H170" s="22"/>
      <c r="I170" s="22"/>
      <c r="J170" s="22"/>
      <c r="K170"/>
      <c r="L170"/>
    </row>
    <row r="171" spans="1:12" x14ac:dyDescent="0.45">
      <c r="A171" s="22"/>
      <c r="B171" s="22"/>
      <c r="C171" s="22"/>
      <c r="D171" s="22"/>
      <c r="F171" s="22"/>
      <c r="G171" s="22"/>
      <c r="H171" s="22"/>
      <c r="I171" s="22"/>
      <c r="J171" s="22"/>
      <c r="K171"/>
      <c r="L171"/>
    </row>
    <row r="172" spans="1:12" x14ac:dyDescent="0.45">
      <c r="A172" s="22"/>
      <c r="B172" s="22"/>
      <c r="C172" s="22"/>
      <c r="D172" s="22"/>
      <c r="F172" s="22"/>
      <c r="G172" s="22"/>
      <c r="H172" s="22"/>
      <c r="I172" s="22"/>
      <c r="J172" s="22"/>
      <c r="K172"/>
      <c r="L172"/>
    </row>
    <row r="173" spans="1:12" x14ac:dyDescent="0.45">
      <c r="A173" s="22"/>
      <c r="B173" s="22"/>
      <c r="C173" s="22"/>
      <c r="D173" s="22"/>
      <c r="F173" s="22"/>
      <c r="G173" s="22"/>
      <c r="H173" s="22"/>
      <c r="I173" s="22"/>
      <c r="J173" s="22"/>
      <c r="K173"/>
      <c r="L173"/>
    </row>
    <row r="174" spans="1:12" x14ac:dyDescent="0.45">
      <c r="A174" s="22"/>
      <c r="B174" s="22"/>
      <c r="C174" s="22"/>
      <c r="D174" s="22"/>
      <c r="F174" s="22"/>
      <c r="G174" s="22"/>
      <c r="H174" s="22"/>
      <c r="I174" s="22"/>
      <c r="J174" s="22"/>
      <c r="K174"/>
      <c r="L174"/>
    </row>
    <row r="175" spans="1:12" x14ac:dyDescent="0.45">
      <c r="A175" s="22"/>
      <c r="B175" s="22"/>
      <c r="C175" s="22"/>
      <c r="D175" s="22"/>
      <c r="F175" s="22"/>
      <c r="G175" s="22"/>
      <c r="H175" s="22"/>
      <c r="I175" s="22"/>
      <c r="J175" s="22"/>
      <c r="K175"/>
      <c r="L175"/>
    </row>
    <row r="176" spans="1:12" x14ac:dyDescent="0.45">
      <c r="A176" s="22"/>
      <c r="B176" s="22"/>
      <c r="C176" s="22"/>
      <c r="D176" s="22"/>
      <c r="F176" s="22"/>
      <c r="G176" s="22"/>
      <c r="H176" s="22"/>
      <c r="I176" s="22"/>
      <c r="J176" s="22"/>
      <c r="K176"/>
      <c r="L176"/>
    </row>
    <row r="177" spans="1:12" x14ac:dyDescent="0.45">
      <c r="A177" s="22"/>
      <c r="B177" s="22"/>
      <c r="C177" s="22"/>
      <c r="D177" s="22"/>
      <c r="F177" s="22"/>
      <c r="G177" s="22"/>
      <c r="H177" s="22"/>
      <c r="I177" s="22"/>
      <c r="J177" s="22"/>
      <c r="K177"/>
      <c r="L177"/>
    </row>
    <row r="178" spans="1:12" x14ac:dyDescent="0.45">
      <c r="A178" s="22"/>
      <c r="B178" s="22"/>
      <c r="C178" s="22"/>
      <c r="D178" s="22"/>
      <c r="F178" s="22"/>
      <c r="G178" s="22"/>
      <c r="H178" s="22"/>
      <c r="I178" s="22"/>
      <c r="J178" s="22"/>
      <c r="K178"/>
      <c r="L178"/>
    </row>
    <row r="179" spans="1:12" x14ac:dyDescent="0.45">
      <c r="A179" s="22"/>
      <c r="B179" s="22"/>
      <c r="C179" s="22"/>
      <c r="D179" s="22"/>
      <c r="F179" s="22"/>
      <c r="G179" s="22"/>
      <c r="H179" s="22"/>
      <c r="I179" s="22"/>
      <c r="J179" s="22"/>
      <c r="K179"/>
      <c r="L179"/>
    </row>
    <row r="180" spans="1:12" x14ac:dyDescent="0.45">
      <c r="A180" s="22"/>
      <c r="B180" s="22"/>
      <c r="C180" s="22"/>
      <c r="D180" s="22"/>
      <c r="F180" s="22"/>
      <c r="G180" s="22"/>
      <c r="H180" s="22"/>
      <c r="I180" s="22"/>
      <c r="J180" s="22"/>
      <c r="K180"/>
      <c r="L180"/>
    </row>
    <row r="181" spans="1:12" x14ac:dyDescent="0.45">
      <c r="A181" s="22"/>
      <c r="B181" s="22"/>
      <c r="C181" s="22"/>
      <c r="D181" s="22"/>
      <c r="F181" s="22"/>
      <c r="G181" s="22"/>
      <c r="H181" s="22"/>
      <c r="I181" s="22"/>
      <c r="J181" s="22"/>
      <c r="K181"/>
      <c r="L181"/>
    </row>
    <row r="182" spans="1:12" x14ac:dyDescent="0.45">
      <c r="A182" s="22"/>
      <c r="B182" s="22"/>
      <c r="C182" s="22"/>
      <c r="D182" s="22"/>
      <c r="F182" s="22"/>
      <c r="G182" s="22"/>
      <c r="H182" s="22"/>
      <c r="I182" s="22"/>
      <c r="J182" s="22"/>
      <c r="K182"/>
      <c r="L182"/>
    </row>
    <row r="183" spans="1:12" x14ac:dyDescent="0.45">
      <c r="A183" s="22"/>
      <c r="B183" s="22"/>
      <c r="C183" s="22"/>
      <c r="D183" s="22"/>
      <c r="F183" s="22"/>
      <c r="G183" s="22"/>
      <c r="H183" s="22"/>
      <c r="I183" s="22"/>
      <c r="J183" s="22"/>
      <c r="K183"/>
      <c r="L183"/>
    </row>
    <row r="184" spans="1:12" x14ac:dyDescent="0.45">
      <c r="A184" s="22"/>
      <c r="B184" s="22"/>
      <c r="C184" s="22"/>
      <c r="D184" s="22"/>
      <c r="F184" s="22"/>
      <c r="G184" s="22"/>
      <c r="H184" s="22"/>
      <c r="I184" s="22"/>
      <c r="J184" s="22"/>
      <c r="K184"/>
      <c r="L184"/>
    </row>
    <row r="185" spans="1:12" x14ac:dyDescent="0.45">
      <c r="A185" s="22"/>
      <c r="B185" s="22"/>
      <c r="C185" s="22"/>
      <c r="D185" s="22"/>
      <c r="F185" s="22"/>
      <c r="G185" s="22"/>
      <c r="H185" s="22"/>
      <c r="I185" s="22"/>
      <c r="J185" s="22"/>
      <c r="K185"/>
      <c r="L185"/>
    </row>
    <row r="186" spans="1:12" x14ac:dyDescent="0.45">
      <c r="A186" s="22"/>
      <c r="B186" s="22"/>
      <c r="C186" s="22"/>
      <c r="D186" s="22"/>
      <c r="F186" s="22"/>
      <c r="G186" s="22"/>
      <c r="H186" s="22"/>
      <c r="I186" s="22"/>
      <c r="J186" s="22"/>
      <c r="K186"/>
      <c r="L186"/>
    </row>
    <row r="187" spans="1:12" x14ac:dyDescent="0.45">
      <c r="A187" s="22"/>
      <c r="B187" s="22"/>
      <c r="C187" s="22"/>
      <c r="D187" s="22"/>
      <c r="F187" s="22"/>
      <c r="G187" s="22"/>
      <c r="H187" s="22"/>
      <c r="I187" s="22"/>
      <c r="J187" s="22"/>
      <c r="K187"/>
      <c r="L187"/>
    </row>
    <row r="188" spans="1:12" x14ac:dyDescent="0.45">
      <c r="A188" s="22"/>
      <c r="B188" s="22"/>
      <c r="C188" s="22"/>
      <c r="D188" s="22"/>
      <c r="F188" s="22"/>
      <c r="G188" s="22"/>
      <c r="H188" s="22"/>
      <c r="I188" s="22"/>
      <c r="J188" s="22"/>
      <c r="K188"/>
      <c r="L188"/>
    </row>
    <row r="189" spans="1:12" x14ac:dyDescent="0.45">
      <c r="A189" s="22"/>
      <c r="B189" s="22"/>
      <c r="C189" s="22"/>
      <c r="D189" s="22"/>
      <c r="F189" s="22"/>
      <c r="G189" s="22"/>
      <c r="H189" s="22"/>
      <c r="I189" s="22"/>
      <c r="J189" s="22"/>
      <c r="K189"/>
      <c r="L189"/>
    </row>
    <row r="190" spans="1:12" x14ac:dyDescent="0.45">
      <c r="A190" s="22"/>
      <c r="B190" s="22"/>
      <c r="C190" s="22"/>
      <c r="D190" s="22"/>
      <c r="F190" s="22"/>
      <c r="G190" s="22"/>
      <c r="H190" s="22"/>
      <c r="I190" s="22"/>
      <c r="J190" s="22"/>
      <c r="K190"/>
      <c r="L190"/>
    </row>
    <row r="191" spans="1:12" x14ac:dyDescent="0.45">
      <c r="A191" s="22"/>
      <c r="B191" s="22"/>
      <c r="C191" s="22"/>
      <c r="D191" s="22"/>
      <c r="F191" s="22"/>
      <c r="G191" s="22"/>
      <c r="H191" s="22"/>
      <c r="I191" s="22"/>
      <c r="J191" s="22"/>
      <c r="K191"/>
      <c r="L191"/>
    </row>
    <row r="192" spans="1:12" x14ac:dyDescent="0.45">
      <c r="A192" s="22"/>
      <c r="B192" s="22"/>
      <c r="C192" s="22"/>
      <c r="D192" s="22"/>
      <c r="F192" s="22"/>
      <c r="G192" s="22"/>
      <c r="H192" s="22"/>
      <c r="I192" s="22"/>
      <c r="J192" s="22"/>
      <c r="K192"/>
      <c r="L192"/>
    </row>
    <row r="193" spans="1:12" x14ac:dyDescent="0.45">
      <c r="A193" s="22"/>
      <c r="B193" s="22"/>
      <c r="C193" s="22"/>
      <c r="D193" s="22"/>
      <c r="F193" s="22"/>
      <c r="G193" s="22"/>
      <c r="H193" s="22"/>
      <c r="I193" s="22"/>
      <c r="J193" s="22"/>
      <c r="K193"/>
      <c r="L193"/>
    </row>
    <row r="194" spans="1:12" x14ac:dyDescent="0.45">
      <c r="A194" s="22"/>
      <c r="B194" s="22"/>
      <c r="C194" s="22"/>
      <c r="D194" s="22"/>
      <c r="F194" s="22"/>
      <c r="G194" s="22"/>
      <c r="H194" s="22"/>
      <c r="I194" s="22"/>
      <c r="J194" s="22"/>
      <c r="K194"/>
      <c r="L194"/>
    </row>
    <row r="195" spans="1:12" x14ac:dyDescent="0.45">
      <c r="A195" s="22"/>
      <c r="B195" s="22"/>
      <c r="C195" s="22"/>
      <c r="D195" s="22"/>
      <c r="F195" s="22"/>
      <c r="G195" s="22"/>
      <c r="H195" s="22"/>
      <c r="I195" s="22"/>
      <c r="J195" s="22"/>
      <c r="K195"/>
      <c r="L195"/>
    </row>
    <row r="196" spans="1:12" x14ac:dyDescent="0.45">
      <c r="A196" s="22"/>
      <c r="B196" s="22"/>
      <c r="C196" s="22"/>
      <c r="D196" s="22"/>
      <c r="F196" s="22"/>
      <c r="G196" s="22"/>
      <c r="H196" s="22"/>
      <c r="I196" s="22"/>
      <c r="J196" s="22"/>
      <c r="K196"/>
      <c r="L196"/>
    </row>
    <row r="197" spans="1:12" x14ac:dyDescent="0.45">
      <c r="A197" s="22"/>
      <c r="B197" s="22"/>
      <c r="C197" s="22"/>
      <c r="D197" s="22"/>
      <c r="F197" s="22"/>
      <c r="G197" s="22"/>
      <c r="H197" s="22"/>
      <c r="I197" s="22"/>
      <c r="J197" s="22"/>
      <c r="K197"/>
      <c r="L197"/>
    </row>
    <row r="198" spans="1:12" x14ac:dyDescent="0.45">
      <c r="A198" s="22"/>
      <c r="B198" s="22"/>
      <c r="C198" s="22"/>
      <c r="D198" s="22"/>
      <c r="F198" s="22"/>
      <c r="G198" s="22"/>
      <c r="H198" s="22"/>
      <c r="I198" s="22"/>
      <c r="J198" s="22"/>
      <c r="K198"/>
      <c r="L198"/>
    </row>
    <row r="199" spans="1:12" x14ac:dyDescent="0.45">
      <c r="A199" s="22"/>
      <c r="B199" s="22"/>
      <c r="C199" s="22"/>
      <c r="D199" s="22"/>
      <c r="F199" s="22"/>
      <c r="G199" s="22"/>
      <c r="H199" s="22"/>
      <c r="I199" s="22"/>
      <c r="J199" s="22"/>
      <c r="K199"/>
      <c r="L199"/>
    </row>
    <row r="200" spans="1:12" x14ac:dyDescent="0.45">
      <c r="A200" s="22"/>
      <c r="B200" s="22"/>
      <c r="C200" s="22"/>
      <c r="D200" s="22"/>
      <c r="F200" s="22"/>
      <c r="G200" s="22"/>
      <c r="H200" s="22"/>
      <c r="I200" s="22"/>
      <c r="J200" s="22"/>
      <c r="K200"/>
      <c r="L200"/>
    </row>
    <row r="201" spans="1:12" x14ac:dyDescent="0.45">
      <c r="A201" s="22"/>
      <c r="B201" s="22"/>
      <c r="C201" s="22"/>
      <c r="D201" s="22"/>
      <c r="F201" s="22"/>
      <c r="G201" s="22"/>
      <c r="H201" s="22"/>
      <c r="I201" s="22"/>
      <c r="J201" s="22"/>
      <c r="K201"/>
      <c r="L201"/>
    </row>
    <row r="202" spans="1:12" x14ac:dyDescent="0.45">
      <c r="A202" s="22"/>
      <c r="B202" s="22"/>
      <c r="C202" s="22"/>
      <c r="D202" s="22"/>
      <c r="F202" s="22"/>
      <c r="G202" s="22"/>
      <c r="H202" s="22"/>
      <c r="I202" s="22"/>
      <c r="J202" s="22"/>
      <c r="K202"/>
      <c r="L202"/>
    </row>
    <row r="203" spans="1:12" x14ac:dyDescent="0.45">
      <c r="A203" s="22"/>
      <c r="B203" s="22"/>
      <c r="C203" s="22"/>
      <c r="D203" s="22"/>
      <c r="F203" s="22"/>
      <c r="G203" s="22"/>
      <c r="H203" s="22"/>
      <c r="I203" s="22"/>
      <c r="J203" s="22"/>
      <c r="K203"/>
      <c r="L203"/>
    </row>
    <row r="204" spans="1:12" x14ac:dyDescent="0.45">
      <c r="A204" s="22"/>
      <c r="B204" s="22"/>
      <c r="C204" s="22"/>
      <c r="D204" s="22"/>
      <c r="F204" s="22"/>
      <c r="G204" s="22"/>
      <c r="H204" s="22"/>
      <c r="I204" s="22"/>
      <c r="J204" s="22"/>
      <c r="K204"/>
      <c r="L204"/>
    </row>
    <row r="205" spans="1:12" x14ac:dyDescent="0.45">
      <c r="A205" s="22"/>
      <c r="B205" s="22"/>
      <c r="C205" s="22"/>
      <c r="D205" s="22"/>
      <c r="F205" s="22"/>
      <c r="G205" s="22"/>
      <c r="H205" s="22"/>
      <c r="I205" s="22"/>
      <c r="J205" s="22"/>
      <c r="K205"/>
      <c r="L205"/>
    </row>
    <row r="206" spans="1:12" x14ac:dyDescent="0.45">
      <c r="A206" s="22"/>
      <c r="B206" s="22"/>
      <c r="C206" s="22"/>
      <c r="D206" s="22"/>
      <c r="F206" s="22"/>
      <c r="G206" s="22"/>
      <c r="H206" s="22"/>
      <c r="I206" s="22"/>
      <c r="J206" s="22"/>
      <c r="K206"/>
      <c r="L206"/>
    </row>
    <row r="207" spans="1:12" x14ac:dyDescent="0.45">
      <c r="A207" s="22"/>
      <c r="B207" s="22"/>
      <c r="C207" s="22"/>
      <c r="D207" s="22"/>
      <c r="F207" s="22"/>
      <c r="G207" s="22"/>
      <c r="H207" s="22"/>
      <c r="I207" s="22"/>
      <c r="J207" s="22"/>
      <c r="K207"/>
      <c r="L207"/>
    </row>
    <row r="208" spans="1:12" x14ac:dyDescent="0.45">
      <c r="A208" s="22"/>
      <c r="B208" s="22"/>
      <c r="C208" s="22"/>
      <c r="D208" s="22"/>
      <c r="F208" s="22"/>
      <c r="G208" s="22"/>
      <c r="H208" s="22"/>
      <c r="I208" s="22"/>
      <c r="J208" s="22"/>
      <c r="K208"/>
      <c r="L208"/>
    </row>
    <row r="209" spans="1:12" x14ac:dyDescent="0.45">
      <c r="A209" s="22"/>
      <c r="B209" s="22"/>
      <c r="C209" s="22"/>
      <c r="D209" s="22"/>
      <c r="F209" s="22"/>
      <c r="G209" s="22"/>
      <c r="H209" s="22"/>
      <c r="I209" s="22"/>
      <c r="J209" s="22"/>
      <c r="K209"/>
      <c r="L209"/>
    </row>
    <row r="210" spans="1:12" x14ac:dyDescent="0.45">
      <c r="A210" s="22"/>
      <c r="B210" s="22"/>
      <c r="C210" s="22"/>
      <c r="D210" s="22"/>
      <c r="F210" s="22"/>
      <c r="G210" s="22"/>
      <c r="H210" s="22"/>
      <c r="I210" s="22"/>
      <c r="J210" s="22"/>
      <c r="K210"/>
      <c r="L210"/>
    </row>
    <row r="211" spans="1:12" x14ac:dyDescent="0.45">
      <c r="A211" s="22"/>
      <c r="B211" s="22"/>
      <c r="C211" s="22"/>
      <c r="D211" s="22"/>
      <c r="F211" s="22"/>
      <c r="G211" s="22"/>
      <c r="H211" s="22"/>
      <c r="I211" s="22"/>
      <c r="J211" s="22"/>
      <c r="K211"/>
      <c r="L211"/>
    </row>
    <row r="212" spans="1:12" x14ac:dyDescent="0.45">
      <c r="A212" s="22"/>
      <c r="B212" s="22"/>
      <c r="C212" s="22"/>
      <c r="D212" s="22"/>
      <c r="F212" s="22"/>
      <c r="G212" s="22"/>
      <c r="H212" s="22"/>
      <c r="I212" s="22"/>
      <c r="J212" s="22"/>
      <c r="K212"/>
      <c r="L212"/>
    </row>
    <row r="213" spans="1:12" x14ac:dyDescent="0.45">
      <c r="A213" s="22"/>
      <c r="B213" s="22"/>
      <c r="C213" s="22"/>
      <c r="D213" s="22"/>
      <c r="F213" s="22"/>
      <c r="G213" s="22"/>
      <c r="H213" s="22"/>
      <c r="I213" s="22"/>
      <c r="J213" s="22"/>
      <c r="K213"/>
      <c r="L213"/>
    </row>
    <row r="214" spans="1:12" x14ac:dyDescent="0.45">
      <c r="A214" s="22"/>
      <c r="B214" s="22"/>
      <c r="C214" s="22"/>
      <c r="D214" s="22"/>
      <c r="F214" s="22"/>
      <c r="G214" s="22"/>
      <c r="H214" s="22"/>
      <c r="I214" s="22"/>
      <c r="J214" s="22"/>
      <c r="K214"/>
      <c r="L214"/>
    </row>
    <row r="215" spans="1:12" x14ac:dyDescent="0.45">
      <c r="A215" s="22"/>
      <c r="B215" s="22"/>
      <c r="C215" s="22"/>
      <c r="D215" s="22"/>
      <c r="F215" s="22"/>
      <c r="G215" s="22"/>
      <c r="H215" s="22"/>
      <c r="I215" s="22"/>
      <c r="J215" s="22"/>
      <c r="K215"/>
      <c r="L215"/>
    </row>
    <row r="216" spans="1:12" x14ac:dyDescent="0.45">
      <c r="A216" s="22"/>
      <c r="B216" s="22"/>
      <c r="C216" s="22"/>
      <c r="D216" s="22"/>
      <c r="F216" s="22"/>
      <c r="G216" s="22"/>
      <c r="H216" s="22"/>
      <c r="I216" s="22"/>
      <c r="J216" s="22"/>
      <c r="K216"/>
      <c r="L216"/>
    </row>
    <row r="217" spans="1:12" x14ac:dyDescent="0.45">
      <c r="A217" s="22"/>
      <c r="B217" s="22"/>
      <c r="C217" s="22"/>
      <c r="D217" s="22"/>
      <c r="F217" s="22"/>
      <c r="G217" s="22"/>
      <c r="H217" s="22"/>
      <c r="I217" s="22"/>
      <c r="J217" s="22"/>
      <c r="K217"/>
      <c r="L217"/>
    </row>
    <row r="218" spans="1:12" x14ac:dyDescent="0.45">
      <c r="A218" s="22"/>
      <c r="B218" s="22"/>
      <c r="C218" s="22"/>
      <c r="D218" s="22"/>
      <c r="F218" s="22"/>
      <c r="G218" s="22"/>
      <c r="H218" s="22"/>
      <c r="I218" s="22"/>
      <c r="J218" s="22"/>
      <c r="K218"/>
      <c r="L218"/>
    </row>
    <row r="219" spans="1:12" x14ac:dyDescent="0.45">
      <c r="A219" s="22"/>
      <c r="B219" s="22"/>
      <c r="C219" s="22"/>
      <c r="D219" s="22"/>
      <c r="F219" s="22"/>
      <c r="G219" s="22"/>
      <c r="H219" s="22"/>
      <c r="I219" s="22"/>
      <c r="J219" s="22"/>
      <c r="K219"/>
      <c r="L219"/>
    </row>
    <row r="220" spans="1:12" x14ac:dyDescent="0.45">
      <c r="A220" s="22"/>
      <c r="B220" s="22"/>
      <c r="C220" s="22"/>
      <c r="D220" s="22"/>
      <c r="F220" s="22"/>
      <c r="G220" s="22"/>
      <c r="H220" s="22"/>
      <c r="I220" s="22"/>
      <c r="J220" s="22"/>
      <c r="K220"/>
      <c r="L220"/>
    </row>
    <row r="221" spans="1:12" x14ac:dyDescent="0.45">
      <c r="A221" s="22"/>
      <c r="B221" s="22"/>
      <c r="C221" s="22"/>
      <c r="D221" s="22"/>
      <c r="F221" s="22"/>
      <c r="G221" s="22"/>
      <c r="H221" s="22"/>
      <c r="I221" s="22"/>
      <c r="J221" s="22"/>
      <c r="K221"/>
      <c r="L221"/>
    </row>
    <row r="222" spans="1:12" x14ac:dyDescent="0.45">
      <c r="A222" s="22"/>
      <c r="B222" s="22"/>
      <c r="C222" s="22"/>
      <c r="D222" s="22"/>
      <c r="F222" s="22"/>
      <c r="G222" s="22"/>
      <c r="H222" s="22"/>
      <c r="I222" s="22"/>
      <c r="J222" s="22"/>
      <c r="K222"/>
      <c r="L222"/>
    </row>
    <row r="223" spans="1:12" x14ac:dyDescent="0.45">
      <c r="A223" s="22"/>
      <c r="B223" s="22"/>
      <c r="C223" s="22"/>
      <c r="D223" s="22"/>
      <c r="F223" s="22"/>
      <c r="G223" s="22"/>
      <c r="H223" s="22"/>
      <c r="I223" s="22"/>
      <c r="J223" s="22"/>
      <c r="K223"/>
      <c r="L223"/>
    </row>
    <row r="224" spans="1:12" x14ac:dyDescent="0.45">
      <c r="A224" s="22"/>
      <c r="B224" s="22"/>
      <c r="C224" s="22"/>
      <c r="D224" s="22"/>
      <c r="F224" s="22"/>
      <c r="G224" s="22"/>
      <c r="H224" s="22"/>
      <c r="I224" s="22"/>
      <c r="J224" s="22"/>
      <c r="K224"/>
      <c r="L224"/>
    </row>
    <row r="225" spans="1:12" x14ac:dyDescent="0.45">
      <c r="A225" s="22"/>
      <c r="B225" s="22"/>
      <c r="C225" s="22"/>
      <c r="D225" s="22"/>
      <c r="F225" s="22"/>
      <c r="G225" s="22"/>
      <c r="H225" s="22"/>
      <c r="I225" s="22"/>
      <c r="J225" s="22"/>
      <c r="K225"/>
      <c r="L225"/>
    </row>
    <row r="226" spans="1:12" x14ac:dyDescent="0.45">
      <c r="A226" s="22"/>
      <c r="B226" s="22"/>
      <c r="C226" s="22"/>
      <c r="D226" s="22"/>
      <c r="F226" s="22"/>
      <c r="G226" s="22"/>
      <c r="H226" s="22"/>
      <c r="I226" s="22"/>
      <c r="J226" s="22"/>
      <c r="K226"/>
      <c r="L226"/>
    </row>
    <row r="227" spans="1:12" x14ac:dyDescent="0.45">
      <c r="A227" s="22"/>
      <c r="B227" s="22"/>
      <c r="C227" s="22"/>
      <c r="D227" s="22"/>
      <c r="F227" s="22"/>
      <c r="G227" s="22"/>
      <c r="H227" s="22"/>
      <c r="I227" s="22"/>
      <c r="J227" s="22"/>
      <c r="K227"/>
      <c r="L227"/>
    </row>
    <row r="228" spans="1:12" x14ac:dyDescent="0.45">
      <c r="A228" s="22"/>
      <c r="B228" s="22"/>
      <c r="C228" s="22"/>
      <c r="D228" s="22"/>
      <c r="F228" s="22"/>
      <c r="G228" s="22"/>
      <c r="H228" s="22"/>
      <c r="I228" s="22"/>
      <c r="J228" s="22"/>
      <c r="K228"/>
      <c r="L228"/>
    </row>
    <row r="229" spans="1:12" x14ac:dyDescent="0.45">
      <c r="A229" s="22"/>
      <c r="B229" s="22"/>
      <c r="C229" s="22"/>
      <c r="D229" s="22"/>
      <c r="F229" s="22"/>
      <c r="G229" s="22"/>
      <c r="H229" s="22"/>
      <c r="I229" s="22"/>
      <c r="J229" s="22"/>
      <c r="K229"/>
      <c r="L229"/>
    </row>
    <row r="230" spans="1:12" x14ac:dyDescent="0.45">
      <c r="A230" s="22"/>
      <c r="B230" s="22"/>
      <c r="C230" s="22"/>
      <c r="D230" s="22"/>
      <c r="F230" s="22"/>
      <c r="G230" s="22"/>
      <c r="H230" s="22"/>
      <c r="I230" s="22"/>
      <c r="J230" s="22"/>
      <c r="K230"/>
      <c r="L230"/>
    </row>
    <row r="231" spans="1:12" x14ac:dyDescent="0.45">
      <c r="A231" s="22"/>
      <c r="B231" s="22"/>
      <c r="C231" s="22"/>
      <c r="D231" s="22"/>
      <c r="F231" s="22"/>
      <c r="G231" s="22"/>
      <c r="H231" s="22"/>
      <c r="I231" s="22"/>
      <c r="J231" s="22"/>
      <c r="K231"/>
      <c r="L231"/>
    </row>
    <row r="232" spans="1:12" x14ac:dyDescent="0.45">
      <c r="A232" s="22"/>
      <c r="B232" s="22"/>
      <c r="C232" s="22"/>
      <c r="D232" s="22"/>
      <c r="F232" s="22"/>
      <c r="G232" s="22"/>
      <c r="H232" s="22"/>
      <c r="I232" s="22"/>
      <c r="J232" s="22"/>
      <c r="K232"/>
      <c r="L232"/>
    </row>
    <row r="233" spans="1:12" x14ac:dyDescent="0.45">
      <c r="A233" s="22"/>
      <c r="B233" s="22"/>
      <c r="C233" s="22"/>
      <c r="D233" s="22"/>
      <c r="F233" s="22"/>
      <c r="G233" s="22"/>
      <c r="H233" s="22"/>
      <c r="I233" s="22"/>
      <c r="J233" s="22"/>
      <c r="K233"/>
      <c r="L233"/>
    </row>
    <row r="234" spans="1:12" x14ac:dyDescent="0.45">
      <c r="A234" s="22"/>
      <c r="B234" s="22"/>
      <c r="C234" s="22"/>
      <c r="D234" s="22"/>
      <c r="F234" s="22"/>
      <c r="G234" s="22"/>
      <c r="H234" s="22"/>
      <c r="I234" s="22"/>
      <c r="J234" s="22"/>
      <c r="K234"/>
      <c r="L234"/>
    </row>
    <row r="235" spans="1:12" x14ac:dyDescent="0.45">
      <c r="A235" s="22"/>
      <c r="B235" s="22"/>
      <c r="C235" s="22"/>
      <c r="D235" s="22"/>
      <c r="F235" s="22"/>
      <c r="G235" s="22"/>
      <c r="H235" s="22"/>
      <c r="I235" s="22"/>
      <c r="J235" s="22"/>
      <c r="K235"/>
      <c r="L235"/>
    </row>
    <row r="236" spans="1:12" x14ac:dyDescent="0.45">
      <c r="A236" s="22"/>
      <c r="B236" s="22"/>
      <c r="C236" s="22"/>
      <c r="D236" s="22"/>
      <c r="F236" s="22"/>
      <c r="G236" s="22"/>
      <c r="H236" s="22"/>
      <c r="I236" s="22"/>
      <c r="J236" s="22"/>
      <c r="K236"/>
      <c r="L236"/>
    </row>
    <row r="237" spans="1:12" x14ac:dyDescent="0.45">
      <c r="A237" s="22"/>
      <c r="B237" s="22"/>
      <c r="C237" s="22"/>
      <c r="D237" s="22"/>
      <c r="F237" s="22"/>
      <c r="G237" s="22"/>
      <c r="H237" s="22"/>
      <c r="I237" s="22"/>
      <c r="J237" s="22"/>
      <c r="K237"/>
      <c r="L237"/>
    </row>
    <row r="238" spans="1:12" x14ac:dyDescent="0.45">
      <c r="A238" s="22"/>
      <c r="B238" s="22"/>
      <c r="C238" s="22"/>
      <c r="D238" s="22"/>
      <c r="F238" s="22"/>
      <c r="G238" s="22"/>
      <c r="H238" s="22"/>
      <c r="I238" s="22"/>
      <c r="J238" s="22"/>
      <c r="K238"/>
      <c r="L238"/>
    </row>
    <row r="239" spans="1:12" x14ac:dyDescent="0.45">
      <c r="A239" s="22"/>
      <c r="B239" s="22"/>
      <c r="C239" s="22"/>
      <c r="D239" s="22"/>
      <c r="F239" s="22"/>
      <c r="G239" s="22"/>
      <c r="H239" s="22"/>
      <c r="I239" s="22"/>
      <c r="J239" s="22"/>
      <c r="K239"/>
      <c r="L239"/>
    </row>
    <row r="240" spans="1:12" x14ac:dyDescent="0.45">
      <c r="A240" s="22"/>
      <c r="B240" s="22"/>
      <c r="C240" s="22"/>
      <c r="D240" s="22"/>
      <c r="F240" s="22"/>
      <c r="G240" s="22"/>
      <c r="H240" s="22"/>
      <c r="I240" s="22"/>
      <c r="J240" s="22"/>
      <c r="K240"/>
      <c r="L240"/>
    </row>
    <row r="241" spans="1:12" x14ac:dyDescent="0.45">
      <c r="A241" s="22"/>
      <c r="B241" s="22"/>
      <c r="C241" s="22"/>
      <c r="D241" s="22"/>
      <c r="F241" s="22"/>
      <c r="G241" s="22"/>
      <c r="H241" s="22"/>
      <c r="I241" s="22"/>
      <c r="J241" s="22"/>
      <c r="K241"/>
      <c r="L241"/>
    </row>
    <row r="242" spans="1:12" x14ac:dyDescent="0.45">
      <c r="A242" s="22"/>
      <c r="B242" s="22"/>
      <c r="C242" s="22"/>
      <c r="D242" s="22"/>
      <c r="F242" s="22"/>
      <c r="G242" s="22"/>
      <c r="H242" s="22"/>
      <c r="I242" s="22"/>
      <c r="J242" s="22"/>
      <c r="K242"/>
      <c r="L242"/>
    </row>
    <row r="243" spans="1:12" x14ac:dyDescent="0.45">
      <c r="A243" s="22"/>
      <c r="B243" s="22"/>
      <c r="C243" s="22"/>
      <c r="D243" s="22"/>
      <c r="F243" s="22"/>
      <c r="G243" s="22"/>
      <c r="H243" s="22"/>
      <c r="I243" s="22"/>
      <c r="J243" s="22"/>
      <c r="K243"/>
      <c r="L243"/>
    </row>
    <row r="244" spans="1:12" x14ac:dyDescent="0.45">
      <c r="A244" s="22"/>
      <c r="B244" s="22"/>
      <c r="C244" s="22"/>
      <c r="D244" s="22"/>
      <c r="F244" s="22"/>
      <c r="G244" s="22"/>
      <c r="H244" s="22"/>
      <c r="I244" s="22"/>
      <c r="J244" s="22"/>
      <c r="K244"/>
      <c r="L244"/>
    </row>
    <row r="245" spans="1:12" x14ac:dyDescent="0.45">
      <c r="A245" s="22"/>
      <c r="B245" s="22"/>
      <c r="C245" s="22"/>
      <c r="D245" s="22"/>
      <c r="F245" s="22"/>
      <c r="G245" s="22"/>
      <c r="H245" s="22"/>
      <c r="I245" s="22"/>
      <c r="J245" s="22"/>
      <c r="K245"/>
      <c r="L245"/>
    </row>
    <row r="246" spans="1:12" x14ac:dyDescent="0.45">
      <c r="A246" s="22"/>
      <c r="B246" s="22"/>
      <c r="C246" s="22"/>
      <c r="D246" s="22"/>
      <c r="F246" s="22"/>
      <c r="G246" s="22"/>
      <c r="H246" s="22"/>
      <c r="I246" s="22"/>
      <c r="J246" s="22"/>
      <c r="K246"/>
      <c r="L246"/>
    </row>
    <row r="247" spans="1:12" x14ac:dyDescent="0.45">
      <c r="A247" s="22"/>
      <c r="B247" s="22"/>
      <c r="C247" s="22"/>
      <c r="D247" s="22"/>
      <c r="F247" s="22"/>
      <c r="G247" s="22"/>
      <c r="H247" s="22"/>
      <c r="I247" s="22"/>
      <c r="J247" s="22"/>
      <c r="K247"/>
      <c r="L247"/>
    </row>
    <row r="248" spans="1:12" x14ac:dyDescent="0.45">
      <c r="A248" s="22"/>
      <c r="B248" s="22"/>
      <c r="C248" s="22"/>
      <c r="D248" s="22"/>
      <c r="F248" s="22"/>
      <c r="G248" s="22"/>
      <c r="H248" s="22"/>
      <c r="I248" s="22"/>
      <c r="J248" s="22"/>
      <c r="K248"/>
      <c r="L248"/>
    </row>
    <row r="249" spans="1:12" x14ac:dyDescent="0.45">
      <c r="A249" s="22"/>
      <c r="B249" s="22"/>
      <c r="C249" s="22"/>
      <c r="D249" s="22"/>
      <c r="F249" s="22"/>
      <c r="G249" s="22"/>
      <c r="H249" s="22"/>
      <c r="I249" s="22"/>
      <c r="J249" s="22"/>
      <c r="K249"/>
      <c r="L249"/>
    </row>
    <row r="250" spans="1:12" x14ac:dyDescent="0.45">
      <c r="L250"/>
    </row>
    <row r="251" spans="1:12" x14ac:dyDescent="0.45">
      <c r="L251"/>
    </row>
    <row r="252" spans="1:12" x14ac:dyDescent="0.45">
      <c r="L252"/>
    </row>
    <row r="253" spans="1:12" x14ac:dyDescent="0.45">
      <c r="L253"/>
    </row>
    <row r="254" spans="1:12" x14ac:dyDescent="0.45">
      <c r="L254"/>
    </row>
    <row r="255" spans="1:12" x14ac:dyDescent="0.45">
      <c r="L255"/>
    </row>
  </sheetData>
  <mergeCells count="5">
    <mergeCell ref="A1:K1"/>
    <mergeCell ref="A2:K2"/>
    <mergeCell ref="J29:N29"/>
    <mergeCell ref="A35:E35"/>
    <mergeCell ref="H28:L28"/>
  </mergeCells>
  <phoneticPr fontId="77" type="noConversion"/>
  <printOptions horizontalCentered="1"/>
  <pageMargins left="0" right="0" top="0.19685039370078741" bottom="0" header="0.31496062992125984" footer="0.31496062992125984"/>
  <pageSetup paperSize="5"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tabColor rgb="FF00B050"/>
  </sheetPr>
  <dimension ref="A7:Y54"/>
  <sheetViews>
    <sheetView topLeftCell="A37" zoomScale="70" zoomScaleNormal="70" workbookViewId="0">
      <selection activeCell="I57" sqref="I57"/>
    </sheetView>
  </sheetViews>
  <sheetFormatPr baseColWidth="10" defaultRowHeight="19.8" x14ac:dyDescent="0.2"/>
  <cols>
    <col min="2" max="2" width="15.42578125" bestFit="1" customWidth="1"/>
    <col min="3" max="3" width="25" bestFit="1" customWidth="1"/>
    <col min="4" max="4" width="35.28515625" customWidth="1"/>
    <col min="6" max="6" width="24.85546875" style="50" customWidth="1"/>
    <col min="7" max="7" width="21.85546875" bestFit="1" customWidth="1"/>
    <col min="8" max="8" width="12.85546875" customWidth="1"/>
    <col min="9" max="9" width="16.42578125" bestFit="1" customWidth="1"/>
    <col min="10" max="10" width="16.28515625" bestFit="1" customWidth="1"/>
    <col min="12" max="12" width="16.28515625" bestFit="1" customWidth="1"/>
    <col min="13" max="14" width="0" hidden="1" customWidth="1"/>
    <col min="15" max="15" width="14.85546875" bestFit="1" customWidth="1"/>
    <col min="16" max="16" width="16.85546875" bestFit="1" customWidth="1"/>
    <col min="17" max="17" width="18.7109375" bestFit="1" customWidth="1"/>
    <col min="19" max="19" width="16.85546875" bestFit="1" customWidth="1"/>
    <col min="21" max="21" width="22.140625" bestFit="1" customWidth="1"/>
    <col min="22" max="22" width="32.42578125" customWidth="1"/>
    <col min="23" max="24" width="14" bestFit="1" customWidth="1"/>
    <col min="25" max="25" width="18.7109375" bestFit="1" customWidth="1"/>
  </cols>
  <sheetData>
    <row r="7" spans="6:7" x14ac:dyDescent="0.2">
      <c r="F7" s="50" t="s">
        <v>123</v>
      </c>
      <c r="G7" s="51" t="s">
        <v>124</v>
      </c>
    </row>
    <row r="8" spans="6:7" x14ac:dyDescent="0.2">
      <c r="F8" s="50">
        <v>1</v>
      </c>
      <c r="G8" s="51"/>
    </row>
    <row r="9" spans="6:7" x14ac:dyDescent="0.2">
      <c r="F9" s="50">
        <v>2</v>
      </c>
      <c r="G9" s="51"/>
    </row>
    <row r="10" spans="6:7" x14ac:dyDescent="0.2">
      <c r="F10" s="50">
        <v>3</v>
      </c>
      <c r="G10" s="51"/>
    </row>
    <row r="11" spans="6:7" x14ac:dyDescent="0.2">
      <c r="F11" s="50">
        <v>4</v>
      </c>
      <c r="G11" s="51"/>
    </row>
    <row r="12" spans="6:7" x14ac:dyDescent="0.2">
      <c r="F12" s="50">
        <v>5</v>
      </c>
      <c r="G12" s="51"/>
    </row>
    <row r="13" spans="6:7" x14ac:dyDescent="0.2">
      <c r="F13" s="50">
        <v>6</v>
      </c>
      <c r="G13" s="51"/>
    </row>
    <row r="14" spans="6:7" x14ac:dyDescent="0.2">
      <c r="F14" s="50">
        <v>7</v>
      </c>
      <c r="G14" s="51"/>
    </row>
    <row r="15" spans="6:7" x14ac:dyDescent="0.2">
      <c r="F15" s="50">
        <v>8</v>
      </c>
      <c r="G15" s="51"/>
    </row>
    <row r="16" spans="6:7" x14ac:dyDescent="0.2">
      <c r="F16" s="50">
        <v>9</v>
      </c>
      <c r="G16" s="51"/>
    </row>
    <row r="17" spans="6:7" x14ac:dyDescent="0.2">
      <c r="F17" s="50">
        <v>10</v>
      </c>
      <c r="G17" s="51"/>
    </row>
    <row r="18" spans="6:7" x14ac:dyDescent="0.2">
      <c r="F18" s="50">
        <v>11</v>
      </c>
      <c r="G18" s="51"/>
    </row>
    <row r="19" spans="6:7" x14ac:dyDescent="0.2">
      <c r="F19" s="50">
        <v>12</v>
      </c>
      <c r="G19" s="51"/>
    </row>
    <row r="20" spans="6:7" x14ac:dyDescent="0.2">
      <c r="F20" s="50">
        <v>13</v>
      </c>
      <c r="G20" s="51"/>
    </row>
    <row r="21" spans="6:7" x14ac:dyDescent="0.2">
      <c r="F21" s="50">
        <v>14</v>
      </c>
      <c r="G21" s="51">
        <v>0</v>
      </c>
    </row>
    <row r="22" spans="6:7" x14ac:dyDescent="0.2">
      <c r="F22" s="50">
        <v>15</v>
      </c>
      <c r="G22" s="220">
        <v>36.624299999999998</v>
      </c>
    </row>
    <row r="23" spans="6:7" x14ac:dyDescent="0.2">
      <c r="F23" s="50">
        <v>16</v>
      </c>
      <c r="G23" s="220">
        <v>36.624299999999998</v>
      </c>
    </row>
    <row r="24" spans="6:7" x14ac:dyDescent="0.2">
      <c r="F24" s="50">
        <v>17</v>
      </c>
      <c r="G24" s="220">
        <v>36.624299999999998</v>
      </c>
    </row>
    <row r="25" spans="6:7" x14ac:dyDescent="0.2">
      <c r="F25" s="50">
        <v>18</v>
      </c>
      <c r="G25" s="220">
        <v>36.624299999999998</v>
      </c>
    </row>
    <row r="26" spans="6:7" x14ac:dyDescent="0.2">
      <c r="F26" s="50">
        <v>19</v>
      </c>
      <c r="G26" s="220">
        <v>36.624299999999998</v>
      </c>
    </row>
    <row r="27" spans="6:7" x14ac:dyDescent="0.2">
      <c r="F27" s="50">
        <v>20</v>
      </c>
      <c r="G27" s="220">
        <v>36.624299999999998</v>
      </c>
    </row>
    <row r="28" spans="6:7" x14ac:dyDescent="0.2">
      <c r="F28" s="50">
        <v>21</v>
      </c>
      <c r="G28" s="220">
        <v>36.624299999999998</v>
      </c>
    </row>
    <row r="29" spans="6:7" x14ac:dyDescent="0.2">
      <c r="F29" s="50">
        <v>22</v>
      </c>
      <c r="G29" s="220">
        <v>36.624299999999998</v>
      </c>
    </row>
    <row r="30" spans="6:7" x14ac:dyDescent="0.2">
      <c r="F30" s="50">
        <v>23</v>
      </c>
      <c r="G30" s="220">
        <v>36.624299999999998</v>
      </c>
    </row>
    <row r="31" spans="6:7" x14ac:dyDescent="0.2">
      <c r="F31" s="50">
        <v>24</v>
      </c>
      <c r="G31" s="220">
        <v>36.624299999999998</v>
      </c>
    </row>
    <row r="32" spans="6:7" x14ac:dyDescent="0.2">
      <c r="F32" s="50">
        <v>25</v>
      </c>
      <c r="G32" s="220">
        <v>36.624299999999998</v>
      </c>
    </row>
    <row r="33" spans="1:25" x14ac:dyDescent="0.2">
      <c r="F33" s="50">
        <v>26</v>
      </c>
      <c r="G33" s="220">
        <v>36.624299999999998</v>
      </c>
    </row>
    <row r="34" spans="1:25" x14ac:dyDescent="0.2">
      <c r="F34" s="50">
        <v>27</v>
      </c>
      <c r="G34" s="220">
        <v>36.624299999999998</v>
      </c>
    </row>
    <row r="35" spans="1:25" x14ac:dyDescent="0.2">
      <c r="F35" s="50">
        <v>28</v>
      </c>
      <c r="G35" s="220">
        <v>36.624299999999998</v>
      </c>
    </row>
    <row r="36" spans="1:25" x14ac:dyDescent="0.2">
      <c r="F36" s="50">
        <v>29</v>
      </c>
      <c r="G36" s="220">
        <v>36.624299999999998</v>
      </c>
    </row>
    <row r="37" spans="1:25" x14ac:dyDescent="0.2">
      <c r="F37" s="50">
        <v>30</v>
      </c>
      <c r="G37" s="220">
        <v>36.624299999999998</v>
      </c>
    </row>
    <row r="38" spans="1:25" x14ac:dyDescent="0.2">
      <c r="F38" s="50">
        <v>31</v>
      </c>
      <c r="G38" s="220">
        <v>36.624299999999998</v>
      </c>
    </row>
    <row r="43" spans="1:25" ht="20.399999999999999" thickBot="1" x14ac:dyDescent="0.25"/>
    <row r="44" spans="1:25" s="11" customFormat="1" ht="15" customHeight="1" thickTop="1" thickBot="1" x14ac:dyDescent="0.25">
      <c r="A44" s="1143" t="s">
        <v>2</v>
      </c>
      <c r="B44" s="1143" t="s">
        <v>3</v>
      </c>
      <c r="C44" s="1143" t="s">
        <v>4</v>
      </c>
      <c r="D44" s="1143" t="s">
        <v>6</v>
      </c>
      <c r="E44" s="1145" t="s">
        <v>187</v>
      </c>
      <c r="F44" s="1143" t="s">
        <v>7</v>
      </c>
      <c r="G44" s="1144" t="s">
        <v>126</v>
      </c>
      <c r="H44" s="1148" t="s">
        <v>125</v>
      </c>
      <c r="I44" s="1143" t="s">
        <v>8</v>
      </c>
      <c r="J44" s="1151" t="s">
        <v>9</v>
      </c>
      <c r="K44" s="1151"/>
      <c r="L44" s="1151"/>
      <c r="M44" s="1143" t="s">
        <v>10</v>
      </c>
      <c r="N44" s="1143"/>
      <c r="O44" s="1143"/>
      <c r="P44" s="1143"/>
      <c r="Q44" s="1143" t="s">
        <v>268</v>
      </c>
      <c r="R44" s="1143" t="s">
        <v>31</v>
      </c>
      <c r="S44" s="1157" t="s">
        <v>224</v>
      </c>
      <c r="T44" s="1157" t="s">
        <v>99</v>
      </c>
      <c r="U44" s="1158" t="s">
        <v>193</v>
      </c>
      <c r="V44" s="1143" t="s">
        <v>12</v>
      </c>
      <c r="W44" s="1153" t="s">
        <v>199</v>
      </c>
      <c r="X44" s="1154" t="s">
        <v>252</v>
      </c>
      <c r="Y44" s="1143" t="s">
        <v>15</v>
      </c>
    </row>
    <row r="45" spans="1:25" s="13" customFormat="1" ht="21.75" customHeight="1" thickTop="1" thickBot="1" x14ac:dyDescent="0.25">
      <c r="A45" s="1143"/>
      <c r="B45" s="1143"/>
      <c r="C45" s="1143"/>
      <c r="D45" s="1143"/>
      <c r="E45" s="1146"/>
      <c r="F45" s="1143"/>
      <c r="G45" s="1144"/>
      <c r="H45" s="1149"/>
      <c r="I45" s="1143"/>
      <c r="J45" s="1143" t="s">
        <v>177</v>
      </c>
      <c r="K45" s="1155" t="s">
        <v>16</v>
      </c>
      <c r="L45" s="1156" t="s">
        <v>17</v>
      </c>
      <c r="M45" s="1143" t="s">
        <v>18</v>
      </c>
      <c r="N45" s="1143" t="s">
        <v>19</v>
      </c>
      <c r="O45" s="1143" t="s">
        <v>75</v>
      </c>
      <c r="P45" s="1152" t="s">
        <v>20</v>
      </c>
      <c r="Q45" s="1143"/>
      <c r="R45" s="1143"/>
      <c r="S45" s="1157"/>
      <c r="T45" s="1157"/>
      <c r="U45" s="1158"/>
      <c r="V45" s="1143"/>
      <c r="W45" s="1153"/>
      <c r="X45" s="1154"/>
      <c r="Y45" s="1143"/>
    </row>
    <row r="46" spans="1:25" s="13" customFormat="1" ht="11.4" thickTop="1" thickBot="1" x14ac:dyDescent="0.25">
      <c r="A46" s="1143"/>
      <c r="B46" s="1143"/>
      <c r="C46" s="1143"/>
      <c r="D46" s="1143"/>
      <c r="E46" s="1147"/>
      <c r="F46" s="1143"/>
      <c r="G46" s="1144"/>
      <c r="H46" s="1150"/>
      <c r="I46" s="1143"/>
      <c r="J46" s="1143"/>
      <c r="K46" s="1155"/>
      <c r="L46" s="1156"/>
      <c r="M46" s="1143"/>
      <c r="N46" s="1143"/>
      <c r="O46" s="1143"/>
      <c r="P46" s="1152"/>
      <c r="Q46" s="1143"/>
      <c r="R46" s="1143"/>
      <c r="S46" s="1157"/>
      <c r="T46" s="1157"/>
      <c r="U46" s="1158"/>
      <c r="V46" s="1143"/>
      <c r="W46" s="1153"/>
      <c r="X46" s="1154"/>
      <c r="Y46" s="1143"/>
    </row>
    <row r="47" spans="1:25" s="602" customFormat="1" ht="31.2" thickTop="1" thickBot="1" x14ac:dyDescent="0.25">
      <c r="A47" s="603">
        <v>1</v>
      </c>
      <c r="B47" s="604">
        <v>7288164</v>
      </c>
      <c r="C47" s="605" t="s">
        <v>48</v>
      </c>
      <c r="D47" s="600" t="s">
        <v>28</v>
      </c>
      <c r="E47" s="606" t="s">
        <v>32</v>
      </c>
      <c r="F47" s="606" t="s">
        <v>229</v>
      </c>
      <c r="G47" s="607">
        <v>1000</v>
      </c>
      <c r="H47" s="608">
        <f>+G38</f>
        <v>36.624299999999998</v>
      </c>
      <c r="I47" s="609">
        <f>+G47*H47</f>
        <v>36624.299999999996</v>
      </c>
      <c r="J47" s="609">
        <f t="shared" ref="J47:J53" si="0">+I47/30*K47</f>
        <v>18312.149999999998</v>
      </c>
      <c r="K47" s="1048">
        <v>15</v>
      </c>
      <c r="L47" s="609">
        <f t="shared" ref="L47:L53" si="1">+J47</f>
        <v>18312.149999999998</v>
      </c>
      <c r="M47" s="609">
        <v>0</v>
      </c>
      <c r="N47" s="609">
        <v>0</v>
      </c>
      <c r="O47" s="609">
        <v>1090.5239999999999</v>
      </c>
      <c r="P47" s="577">
        <v>1090.5239999999999</v>
      </c>
      <c r="Q47" s="577">
        <f>+L47-O47</f>
        <v>17221.625999999997</v>
      </c>
      <c r="R47" s="610"/>
      <c r="S47" s="577">
        <v>0</v>
      </c>
      <c r="T47" s="577">
        <v>0</v>
      </c>
      <c r="U47" s="785">
        <f>+Q47</f>
        <v>17221.625999999997</v>
      </c>
      <c r="V47" s="601">
        <v>1</v>
      </c>
      <c r="W47" s="611">
        <v>776.93776533333323</v>
      </c>
      <c r="X47" s="611">
        <v>776.93776533333323</v>
      </c>
      <c r="Y47" s="611">
        <f t="shared" ref="Y47:Y53" si="2">+U47+W47+X47</f>
        <v>18775.501530666661</v>
      </c>
    </row>
    <row r="48" spans="1:25" s="13" customFormat="1" ht="31.2" thickTop="1" thickBot="1" x14ac:dyDescent="0.25">
      <c r="A48" s="578">
        <v>2</v>
      </c>
      <c r="B48" s="1083">
        <v>17814360</v>
      </c>
      <c r="C48" s="1084" t="s">
        <v>175</v>
      </c>
      <c r="D48" s="683" t="s">
        <v>176</v>
      </c>
      <c r="E48" s="579" t="s">
        <v>32</v>
      </c>
      <c r="F48" s="579" t="s">
        <v>216</v>
      </c>
      <c r="G48" s="78">
        <v>510</v>
      </c>
      <c r="H48" s="79">
        <f>+G36</f>
        <v>36.624299999999998</v>
      </c>
      <c r="I48" s="684">
        <v>18678.400000000001</v>
      </c>
      <c r="J48" s="684">
        <f t="shared" si="0"/>
        <v>9339.2000000000007</v>
      </c>
      <c r="K48" s="1048">
        <v>15</v>
      </c>
      <c r="L48" s="684">
        <f t="shared" si="1"/>
        <v>9339.2000000000007</v>
      </c>
      <c r="M48" s="684">
        <v>0</v>
      </c>
      <c r="N48" s="684">
        <v>0</v>
      </c>
      <c r="O48" s="684">
        <v>0</v>
      </c>
      <c r="P48" s="1085">
        <v>0</v>
      </c>
      <c r="Q48" s="1085">
        <f t="shared" ref="Q48:Q53" si="3">+L48</f>
        <v>9339.2000000000007</v>
      </c>
      <c r="R48" s="1086">
        <v>0</v>
      </c>
      <c r="S48" s="1085">
        <v>0</v>
      </c>
      <c r="T48" s="1085">
        <v>0</v>
      </c>
      <c r="U48" s="785">
        <f t="shared" ref="U48:U53" si="4">+Q48-S48</f>
        <v>9339.2000000000007</v>
      </c>
      <c r="V48" s="1087">
        <v>3</v>
      </c>
      <c r="W48" s="1088">
        <v>908.77</v>
      </c>
      <c r="X48" s="1088">
        <v>908.77</v>
      </c>
      <c r="Y48" s="1088">
        <f t="shared" si="2"/>
        <v>11156.740000000002</v>
      </c>
    </row>
    <row r="49" spans="1:25" s="602" customFormat="1" ht="31.2" thickTop="1" thickBot="1" x14ac:dyDescent="0.25">
      <c r="A49" s="603">
        <v>3</v>
      </c>
      <c r="B49" s="604"/>
      <c r="C49" s="605"/>
      <c r="D49" s="600" t="s">
        <v>179</v>
      </c>
      <c r="E49" s="606" t="s">
        <v>32</v>
      </c>
      <c r="F49" s="606" t="s">
        <v>328</v>
      </c>
      <c r="G49" s="607">
        <v>182.08</v>
      </c>
      <c r="H49" s="608">
        <v>36.624299999999998</v>
      </c>
      <c r="I49" s="609">
        <f>+G49*H49</f>
        <v>6668.5525440000001</v>
      </c>
      <c r="J49" s="609">
        <f t="shared" si="0"/>
        <v>3334.2762720000001</v>
      </c>
      <c r="K49" s="1048">
        <v>15</v>
      </c>
      <c r="L49" s="609">
        <f t="shared" si="1"/>
        <v>3334.2762720000001</v>
      </c>
      <c r="M49" s="609"/>
      <c r="N49" s="609"/>
      <c r="O49" s="609">
        <v>0</v>
      </c>
      <c r="P49" s="577">
        <v>0</v>
      </c>
      <c r="Q49" s="577">
        <f t="shared" si="3"/>
        <v>3334.2762720000001</v>
      </c>
      <c r="R49" s="610">
        <v>0</v>
      </c>
      <c r="S49" s="577"/>
      <c r="T49" s="577"/>
      <c r="U49" s="785">
        <f t="shared" si="4"/>
        <v>3334.2762720000001</v>
      </c>
      <c r="V49" s="601"/>
      <c r="W49" s="611">
        <v>908.77</v>
      </c>
      <c r="X49" s="611">
        <v>908.77</v>
      </c>
      <c r="Y49" s="611">
        <f t="shared" si="2"/>
        <v>5151.816272</v>
      </c>
    </row>
    <row r="50" spans="1:25" s="602" customFormat="1" ht="31.2" thickTop="1" thickBot="1" x14ac:dyDescent="0.25">
      <c r="A50" s="603">
        <v>4</v>
      </c>
      <c r="B50" s="604">
        <v>6983178</v>
      </c>
      <c r="C50" s="605" t="s">
        <v>113</v>
      </c>
      <c r="D50" s="600" t="s">
        <v>300</v>
      </c>
      <c r="E50" s="606" t="s">
        <v>32</v>
      </c>
      <c r="F50" s="606" t="s">
        <v>233</v>
      </c>
      <c r="G50" s="607">
        <v>350</v>
      </c>
      <c r="H50" s="608">
        <f>+G35</f>
        <v>36.624299999999998</v>
      </c>
      <c r="I50" s="609">
        <f>+G50*H50</f>
        <v>12818.504999999999</v>
      </c>
      <c r="J50" s="609">
        <f t="shared" si="0"/>
        <v>6409.2524999999996</v>
      </c>
      <c r="K50" s="1048">
        <v>15</v>
      </c>
      <c r="L50" s="609">
        <f t="shared" si="1"/>
        <v>6409.2524999999996</v>
      </c>
      <c r="M50" s="609">
        <v>0</v>
      </c>
      <c r="N50" s="609">
        <v>0</v>
      </c>
      <c r="O50" s="609">
        <v>0</v>
      </c>
      <c r="P50" s="577">
        <v>0</v>
      </c>
      <c r="Q50" s="577">
        <f t="shared" si="3"/>
        <v>6409.2524999999996</v>
      </c>
      <c r="R50" s="610">
        <v>0</v>
      </c>
      <c r="S50" s="577">
        <v>0</v>
      </c>
      <c r="T50" s="577">
        <v>0</v>
      </c>
      <c r="U50" s="785">
        <f t="shared" si="4"/>
        <v>6409.2524999999996</v>
      </c>
      <c r="V50" s="601">
        <v>3</v>
      </c>
      <c r="W50" s="611">
        <v>908.77</v>
      </c>
      <c r="X50" s="611">
        <v>908.77</v>
      </c>
      <c r="Y50" s="611">
        <f t="shared" si="2"/>
        <v>8226.7924999999996</v>
      </c>
    </row>
    <row r="51" spans="1:25" s="602" customFormat="1" ht="31.2" thickTop="1" thickBot="1" x14ac:dyDescent="0.25">
      <c r="A51" s="603">
        <v>4</v>
      </c>
      <c r="B51" s="604">
        <v>6983178</v>
      </c>
      <c r="C51" s="605" t="s">
        <v>113</v>
      </c>
      <c r="D51" s="600" t="s">
        <v>96</v>
      </c>
      <c r="E51" s="606" t="s">
        <v>32</v>
      </c>
      <c r="F51" s="606" t="s">
        <v>233</v>
      </c>
      <c r="G51" s="607">
        <v>350</v>
      </c>
      <c r="H51" s="608">
        <f>+G35</f>
        <v>36.624299999999998</v>
      </c>
      <c r="I51" s="609">
        <f>+G51*H51</f>
        <v>12818.504999999999</v>
      </c>
      <c r="J51" s="609">
        <f t="shared" si="0"/>
        <v>6409.2524999999996</v>
      </c>
      <c r="K51" s="1048">
        <v>15</v>
      </c>
      <c r="L51" s="609">
        <f t="shared" si="1"/>
        <v>6409.2524999999996</v>
      </c>
      <c r="M51" s="609">
        <v>0</v>
      </c>
      <c r="N51" s="609">
        <v>0</v>
      </c>
      <c r="O51" s="609">
        <v>0</v>
      </c>
      <c r="P51" s="577">
        <v>0</v>
      </c>
      <c r="Q51" s="577">
        <f t="shared" si="3"/>
        <v>6409.2524999999996</v>
      </c>
      <c r="R51" s="610">
        <v>0</v>
      </c>
      <c r="S51" s="577">
        <v>0</v>
      </c>
      <c r="T51" s="577">
        <v>0</v>
      </c>
      <c r="U51" s="785">
        <f t="shared" si="4"/>
        <v>6409.2524999999996</v>
      </c>
      <c r="V51" s="601">
        <v>3</v>
      </c>
      <c r="W51" s="611">
        <v>908.77</v>
      </c>
      <c r="X51" s="611">
        <v>908.77</v>
      </c>
      <c r="Y51" s="611">
        <f t="shared" si="2"/>
        <v>8226.7924999999996</v>
      </c>
    </row>
    <row r="52" spans="1:25" s="602" customFormat="1" ht="31.2" thickTop="1" thickBot="1" x14ac:dyDescent="0.25">
      <c r="A52" s="603">
        <v>4</v>
      </c>
      <c r="B52" s="604">
        <v>6983178</v>
      </c>
      <c r="C52" s="605" t="s">
        <v>113</v>
      </c>
      <c r="D52" s="600" t="s">
        <v>531</v>
      </c>
      <c r="E52" s="606" t="s">
        <v>32</v>
      </c>
      <c r="F52" s="606" t="s">
        <v>530</v>
      </c>
      <c r="G52" s="607">
        <v>327.6515</v>
      </c>
      <c r="H52" s="608">
        <f>+G35</f>
        <v>36.624299999999998</v>
      </c>
      <c r="I52" s="609">
        <f>+G52*H52</f>
        <v>12000.006831449999</v>
      </c>
      <c r="J52" s="609">
        <f t="shared" ref="J52" si="5">+I52/30*K52</f>
        <v>6000.0034157249993</v>
      </c>
      <c r="K52" s="1048">
        <v>15</v>
      </c>
      <c r="L52" s="609">
        <f t="shared" ref="L52" si="6">+J52</f>
        <v>6000.0034157249993</v>
      </c>
      <c r="M52" s="609">
        <v>0</v>
      </c>
      <c r="N52" s="609">
        <v>0</v>
      </c>
      <c r="O52" s="609">
        <v>0</v>
      </c>
      <c r="P52" s="577">
        <v>0</v>
      </c>
      <c r="Q52" s="577">
        <f t="shared" si="3"/>
        <v>6000.0034157249993</v>
      </c>
      <c r="R52" s="610">
        <v>0</v>
      </c>
      <c r="S52" s="577">
        <v>0</v>
      </c>
      <c r="T52" s="577">
        <v>0</v>
      </c>
      <c r="U52" s="785">
        <f t="shared" si="4"/>
        <v>6000.0034157249993</v>
      </c>
      <c r="V52" s="601">
        <v>3</v>
      </c>
      <c r="W52" s="611">
        <v>908.77</v>
      </c>
      <c r="X52" s="611">
        <v>908.77</v>
      </c>
      <c r="Y52" s="611">
        <f t="shared" ref="Y52" si="7">+U52+W52+X52</f>
        <v>7817.5434157250002</v>
      </c>
    </row>
    <row r="53" spans="1:25" s="602" customFormat="1" ht="31.2" thickTop="1" thickBot="1" x14ac:dyDescent="0.25">
      <c r="A53" s="603">
        <v>4</v>
      </c>
      <c r="B53" s="604">
        <v>6983178</v>
      </c>
      <c r="C53" s="605" t="s">
        <v>113</v>
      </c>
      <c r="D53" s="600" t="str">
        <f>+'ADMON COM. '!D20</f>
        <v>NELLY DEL CARMEN  SOBALVARRO THOMAS</v>
      </c>
      <c r="E53" s="606" t="s">
        <v>188</v>
      </c>
      <c r="F53" s="606" t="s">
        <v>233</v>
      </c>
      <c r="G53" s="607">
        <f>+'ADMON COM. '!G20</f>
        <v>298.98180000000002</v>
      </c>
      <c r="H53" s="608">
        <f>+G36</f>
        <v>36.624299999999998</v>
      </c>
      <c r="I53" s="609">
        <f>+G53*H53</f>
        <v>10949.99913774</v>
      </c>
      <c r="J53" s="609">
        <f t="shared" si="0"/>
        <v>5474.9995688700001</v>
      </c>
      <c r="K53" s="1048">
        <v>15</v>
      </c>
      <c r="L53" s="609">
        <f t="shared" si="1"/>
        <v>5474.9995688700001</v>
      </c>
      <c r="M53" s="609">
        <v>0</v>
      </c>
      <c r="N53" s="609">
        <v>0</v>
      </c>
      <c r="O53" s="609">
        <v>0</v>
      </c>
      <c r="P53" s="577">
        <v>0</v>
      </c>
      <c r="Q53" s="577">
        <f t="shared" si="3"/>
        <v>5474.9995688700001</v>
      </c>
      <c r="R53" s="610">
        <v>0</v>
      </c>
      <c r="S53" s="577">
        <v>0</v>
      </c>
      <c r="T53" s="577">
        <v>0</v>
      </c>
      <c r="U53" s="785">
        <f t="shared" si="4"/>
        <v>5474.9995688700001</v>
      </c>
      <c r="V53" s="601">
        <v>3</v>
      </c>
      <c r="W53" s="611">
        <v>908.77</v>
      </c>
      <c r="X53" s="611">
        <v>908.77</v>
      </c>
      <c r="Y53" s="611">
        <f t="shared" si="2"/>
        <v>7292.5395688700009</v>
      </c>
    </row>
    <row r="54" spans="1:25" ht="20.399999999999999" thickTop="1" x14ac:dyDescent="0.2">
      <c r="L54">
        <v>18</v>
      </c>
    </row>
  </sheetData>
  <mergeCells count="27">
    <mergeCell ref="W44:W46"/>
    <mergeCell ref="X44:X46"/>
    <mergeCell ref="Y44:Y46"/>
    <mergeCell ref="J45:J46"/>
    <mergeCell ref="K45:K46"/>
    <mergeCell ref="L45:L46"/>
    <mergeCell ref="M45:M46"/>
    <mergeCell ref="N45:N46"/>
    <mergeCell ref="S44:S46"/>
    <mergeCell ref="T44:T46"/>
    <mergeCell ref="U44:U46"/>
    <mergeCell ref="V44:V46"/>
    <mergeCell ref="R44:R46"/>
    <mergeCell ref="H44:H46"/>
    <mergeCell ref="I44:I46"/>
    <mergeCell ref="J44:L44"/>
    <mergeCell ref="M44:P44"/>
    <mergeCell ref="Q44:Q46"/>
    <mergeCell ref="O45:O46"/>
    <mergeCell ref="P45:P46"/>
    <mergeCell ref="F44:F46"/>
    <mergeCell ref="G44:G46"/>
    <mergeCell ref="A44:A46"/>
    <mergeCell ref="B44:B46"/>
    <mergeCell ref="C44:C46"/>
    <mergeCell ref="D44:D46"/>
    <mergeCell ref="E44:E4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transitionEvaluation="1" codeName="Hoja5">
    <tabColor theme="5"/>
    <pageSetUpPr fitToPage="1"/>
  </sheetPr>
  <dimension ref="A1:AI42"/>
  <sheetViews>
    <sheetView showGridLines="0" zoomScale="86" zoomScaleNormal="86" workbookViewId="0">
      <selection activeCell="K9" sqref="K9"/>
    </sheetView>
  </sheetViews>
  <sheetFormatPr baseColWidth="10" defaultColWidth="9.85546875" defaultRowHeight="14.4" x14ac:dyDescent="0.2"/>
  <cols>
    <col min="1" max="1" width="5.140625" style="1" customWidth="1"/>
    <col min="2" max="2" width="12.140625" style="1" hidden="1" customWidth="1"/>
    <col min="3" max="3" width="20.28515625" style="1" customWidth="1"/>
    <col min="4" max="4" width="28.28515625" style="1" customWidth="1"/>
    <col min="5" max="5" width="5.28515625" style="1" customWidth="1"/>
    <col min="6" max="6" width="7.42578125" style="5" bestFit="1" customWidth="1"/>
    <col min="7" max="7" width="23.42578125" style="5" bestFit="1" customWidth="1"/>
    <col min="8" max="8" width="18.140625" style="5" bestFit="1" customWidth="1"/>
    <col min="9" max="9" width="12.7109375" style="5" bestFit="1" customWidth="1"/>
    <col min="10" max="10" width="15.7109375" style="1" bestFit="1" customWidth="1"/>
    <col min="11" max="11" width="17.28515625" style="1" bestFit="1" customWidth="1"/>
    <col min="12" max="12" width="10.7109375" style="6" customWidth="1"/>
    <col min="13" max="14" width="10.7109375" style="6" hidden="1" customWidth="1"/>
    <col min="15" max="15" width="11.28515625" style="6" hidden="1" customWidth="1"/>
    <col min="16" max="16" width="16.42578125" style="1" bestFit="1" customWidth="1"/>
    <col min="17" max="17" width="15.85546875" style="1" customWidth="1"/>
    <col min="18" max="18" width="13.28515625" style="1" customWidth="1"/>
    <col min="19" max="19" width="9.42578125" style="1" customWidth="1"/>
    <col min="20" max="20" width="14.85546875" style="1" bestFit="1" customWidth="1"/>
    <col min="21" max="21" width="14.85546875" style="1" hidden="1" customWidth="1"/>
    <col min="22" max="22" width="14.140625" style="1" bestFit="1" customWidth="1"/>
    <col min="23" max="23" width="13.28515625" style="1" customWidth="1"/>
    <col min="24" max="24" width="17" style="1" hidden="1" customWidth="1"/>
    <col min="25" max="25" width="16.28515625" style="1" customWidth="1"/>
    <col min="26" max="26" width="54" style="1" customWidth="1"/>
    <col min="27" max="27" width="14.140625" style="1" hidden="1" customWidth="1"/>
    <col min="28" max="28" width="13.42578125" style="1" hidden="1" customWidth="1"/>
    <col min="29" max="29" width="14.42578125" style="1" hidden="1" customWidth="1"/>
    <col min="30" max="30" width="12.42578125" style="1" hidden="1" customWidth="1"/>
    <col min="31" max="31" width="17.140625" style="1" hidden="1" customWidth="1"/>
    <col min="32" max="32" width="38.85546875" style="1" customWidth="1"/>
    <col min="33" max="33" width="3.85546875" style="1" customWidth="1"/>
    <col min="34" max="34" width="8.85546875" style="1" customWidth="1"/>
    <col min="35" max="36" width="1.85546875" style="1" customWidth="1"/>
    <col min="37" max="37" width="13.85546875" style="1" customWidth="1"/>
    <col min="38" max="38" width="6.85546875" style="1" customWidth="1"/>
    <col min="39" max="39" width="5.85546875" style="1" customWidth="1"/>
    <col min="40" max="40" width="7.85546875" style="1" customWidth="1"/>
    <col min="41" max="41" width="1.85546875" style="1" customWidth="1"/>
    <col min="42" max="42" width="38.85546875" style="1" customWidth="1"/>
    <col min="43" max="43" width="3.85546875" style="1" customWidth="1"/>
    <col min="44" max="44" width="8.85546875" style="1" customWidth="1"/>
    <col min="45" max="45" width="1.85546875" style="1" customWidth="1"/>
    <col min="46" max="16384" width="9.85546875" style="1"/>
  </cols>
  <sheetData>
    <row r="1" spans="1:35" s="15" customFormat="1" ht="17.25" customHeight="1" x14ac:dyDescent="0.2">
      <c r="A1" s="1177" t="s">
        <v>97</v>
      </c>
      <c r="B1" s="1177"/>
      <c r="C1" s="1177"/>
      <c r="D1" s="1177"/>
      <c r="E1" s="1177"/>
      <c r="F1" s="1177"/>
      <c r="G1" s="1177"/>
      <c r="H1" s="1177"/>
      <c r="I1" s="1177"/>
      <c r="J1" s="1177"/>
      <c r="K1" s="1177"/>
      <c r="L1" s="1177"/>
      <c r="M1" s="1177"/>
      <c r="N1" s="1177"/>
      <c r="O1" s="1177"/>
      <c r="P1" s="1177"/>
      <c r="Q1" s="1177"/>
      <c r="R1" s="1177"/>
      <c r="S1" s="1177"/>
      <c r="T1" s="1177"/>
      <c r="U1" s="1177"/>
      <c r="V1" s="1177"/>
      <c r="W1" s="1177"/>
      <c r="X1" s="1177"/>
      <c r="Y1" s="1177"/>
      <c r="Z1" s="1177"/>
      <c r="AA1" s="1177"/>
      <c r="AB1" s="1177"/>
      <c r="AC1" s="1177"/>
      <c r="AD1" s="1177"/>
      <c r="AE1" s="1177"/>
    </row>
    <row r="2" spans="1:35" s="15" customFormat="1" ht="17.25" customHeight="1" x14ac:dyDescent="0.2">
      <c r="A2" s="1177" t="s">
        <v>203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</row>
    <row r="3" spans="1:35" s="15" customFormat="1" ht="17.25" customHeight="1" x14ac:dyDescent="0.3">
      <c r="A3" s="1178" t="str">
        <f>+'ADMON COM. '!A5:AC5</f>
        <v>QUINCENA DEL 16  AL 30  DE ABRIL - 2026</v>
      </c>
      <c r="B3" s="1178"/>
      <c r="C3" s="1178"/>
      <c r="D3" s="1178"/>
      <c r="E3" s="1178"/>
      <c r="F3" s="1178"/>
      <c r="G3" s="1178"/>
      <c r="H3" s="1178"/>
      <c r="I3" s="1178"/>
      <c r="J3" s="1178"/>
      <c r="K3" s="1178"/>
      <c r="L3" s="1178"/>
      <c r="M3" s="1178"/>
      <c r="N3" s="1178"/>
      <c r="O3" s="1178"/>
      <c r="P3" s="1178"/>
      <c r="Q3" s="1178"/>
      <c r="R3" s="1178"/>
      <c r="S3" s="1178"/>
      <c r="T3" s="1178"/>
      <c r="U3" s="1178"/>
      <c r="V3" s="1178"/>
      <c r="W3" s="1178"/>
      <c r="X3" s="1178"/>
      <c r="Y3" s="1178"/>
      <c r="Z3" s="1178"/>
      <c r="AA3" s="1178"/>
      <c r="AB3" s="1178"/>
      <c r="AC3" s="1178"/>
      <c r="AD3" s="1178"/>
      <c r="AE3" s="1178"/>
    </row>
    <row r="4" spans="1:35" s="15" customFormat="1" ht="18" customHeight="1" thickBot="1" x14ac:dyDescent="0.35">
      <c r="A4" s="74">
        <f>+'ADMON COM. '!A6</f>
        <v>15</v>
      </c>
      <c r="B4" s="75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26"/>
      <c r="AA4" s="26"/>
      <c r="AB4" s="26"/>
      <c r="AC4" s="26"/>
      <c r="AD4" s="26"/>
      <c r="AE4" s="26"/>
    </row>
    <row r="5" spans="1:35" s="11" customFormat="1" ht="15" customHeight="1" thickTop="1" thickBot="1" x14ac:dyDescent="0.25">
      <c r="A5" s="1143" t="s">
        <v>2</v>
      </c>
      <c r="B5" s="1143" t="s">
        <v>3</v>
      </c>
      <c r="C5" s="1143" t="s">
        <v>4</v>
      </c>
      <c r="D5" s="1143" t="s">
        <v>6</v>
      </c>
      <c r="E5" s="1179" t="s">
        <v>187</v>
      </c>
      <c r="F5" s="1143" t="s">
        <v>7</v>
      </c>
      <c r="G5" s="1144" t="s">
        <v>126</v>
      </c>
      <c r="H5" s="1182" t="s">
        <v>125</v>
      </c>
      <c r="I5" s="1174" t="s">
        <v>82</v>
      </c>
      <c r="J5" s="1143" t="s">
        <v>8</v>
      </c>
      <c r="K5" s="1151" t="s">
        <v>9</v>
      </c>
      <c r="L5" s="1151"/>
      <c r="M5" s="1151"/>
      <c r="N5" s="1151"/>
      <c r="O5" s="1151"/>
      <c r="P5" s="1151"/>
      <c r="Q5" s="1143" t="s">
        <v>10</v>
      </c>
      <c r="R5" s="1143"/>
      <c r="S5" s="1143"/>
      <c r="T5" s="1143"/>
      <c r="U5" s="1170" t="s">
        <v>29</v>
      </c>
      <c r="V5" s="1143" t="s">
        <v>31</v>
      </c>
      <c r="W5" s="1157" t="s">
        <v>114</v>
      </c>
      <c r="X5" s="1170" t="s">
        <v>99</v>
      </c>
      <c r="Y5" s="1143" t="s">
        <v>11</v>
      </c>
      <c r="Z5" s="1173" t="s">
        <v>12</v>
      </c>
      <c r="AA5" s="1143" t="s">
        <v>52</v>
      </c>
      <c r="AB5" s="1143" t="s">
        <v>53</v>
      </c>
      <c r="AC5" s="1143" t="s">
        <v>13</v>
      </c>
      <c r="AD5" s="1143" t="s">
        <v>14</v>
      </c>
      <c r="AE5" s="1143" t="s">
        <v>15</v>
      </c>
    </row>
    <row r="6" spans="1:35" s="13" customFormat="1" ht="21.75" customHeight="1" thickTop="1" thickBot="1" x14ac:dyDescent="0.25">
      <c r="A6" s="1143"/>
      <c r="B6" s="1143"/>
      <c r="C6" s="1143"/>
      <c r="D6" s="1143"/>
      <c r="E6" s="1180"/>
      <c r="F6" s="1143"/>
      <c r="G6" s="1144"/>
      <c r="H6" s="1182"/>
      <c r="I6" s="1175"/>
      <c r="J6" s="1143"/>
      <c r="K6" s="1143" t="s">
        <v>177</v>
      </c>
      <c r="L6" s="1155" t="s">
        <v>16</v>
      </c>
      <c r="M6" s="1168" t="s">
        <v>196</v>
      </c>
      <c r="N6" s="1168" t="s">
        <v>197</v>
      </c>
      <c r="O6" s="1168" t="s">
        <v>195</v>
      </c>
      <c r="P6" s="1143" t="s">
        <v>17</v>
      </c>
      <c r="Q6" s="1143" t="s">
        <v>18</v>
      </c>
      <c r="R6" s="1143" t="s">
        <v>19</v>
      </c>
      <c r="S6" s="1143" t="s">
        <v>94</v>
      </c>
      <c r="T6" s="1143" t="s">
        <v>20</v>
      </c>
      <c r="U6" s="1171"/>
      <c r="V6" s="1143"/>
      <c r="W6" s="1157"/>
      <c r="X6" s="1171"/>
      <c r="Y6" s="1143"/>
      <c r="Z6" s="1173"/>
      <c r="AA6" s="1143"/>
      <c r="AB6" s="1143"/>
      <c r="AC6" s="1143"/>
      <c r="AD6" s="1143"/>
      <c r="AE6" s="1143"/>
      <c r="AF6" s="12"/>
      <c r="AG6" s="12"/>
      <c r="AH6" s="12"/>
      <c r="AI6" s="12"/>
    </row>
    <row r="7" spans="1:35" s="13" customFormat="1" ht="43.65" customHeight="1" thickTop="1" thickBot="1" x14ac:dyDescent="0.25">
      <c r="A7" s="1143"/>
      <c r="B7" s="1143"/>
      <c r="C7" s="1143"/>
      <c r="D7" s="1143"/>
      <c r="E7" s="1181"/>
      <c r="F7" s="1143"/>
      <c r="G7" s="1144"/>
      <c r="H7" s="1182"/>
      <c r="I7" s="1176"/>
      <c r="J7" s="1143"/>
      <c r="K7" s="1143"/>
      <c r="L7" s="1155"/>
      <c r="M7" s="1169"/>
      <c r="N7" s="1169"/>
      <c r="O7" s="1169"/>
      <c r="P7" s="1143"/>
      <c r="Q7" s="1143"/>
      <c r="R7" s="1143"/>
      <c r="S7" s="1143"/>
      <c r="T7" s="1143"/>
      <c r="U7" s="1172"/>
      <c r="V7" s="1143"/>
      <c r="W7" s="1157"/>
      <c r="X7" s="1172"/>
      <c r="Y7" s="1143"/>
      <c r="Z7" s="1173"/>
      <c r="AA7" s="1143"/>
      <c r="AB7" s="1143"/>
      <c r="AC7" s="1143"/>
      <c r="AD7" s="1143"/>
      <c r="AE7" s="1143"/>
    </row>
    <row r="8" spans="1:35" s="7" customFormat="1" ht="75" customHeight="1" thickTop="1" thickBot="1" x14ac:dyDescent="0.25">
      <c r="A8" s="76">
        <v>1</v>
      </c>
      <c r="B8" s="84">
        <v>5357574</v>
      </c>
      <c r="C8" s="334">
        <v>0</v>
      </c>
      <c r="D8" s="77" t="e">
        <f>+'ADMON COM. '!#REF!</f>
        <v>#REF!</v>
      </c>
      <c r="E8" s="212" t="s">
        <v>32</v>
      </c>
      <c r="F8" s="357" t="s">
        <v>245</v>
      </c>
      <c r="G8" s="78">
        <v>500</v>
      </c>
      <c r="H8" s="79">
        <f>LOOKUP(A4,'Cambio del dia'!F7:G38)</f>
        <v>36.624299999999998</v>
      </c>
      <c r="I8" s="216" t="e">
        <f>+K8/L8</f>
        <v>#REF!</v>
      </c>
      <c r="J8" s="321">
        <f>+H8*G8</f>
        <v>18312.149999999998</v>
      </c>
      <c r="K8" s="321" t="e">
        <f>+(J8/30)*L8-'ADMON COM. '!#REF!</f>
        <v>#REF!</v>
      </c>
      <c r="L8" s="322">
        <v>16</v>
      </c>
      <c r="M8" s="322" t="e">
        <f>+N8*O8</f>
        <v>#REF!</v>
      </c>
      <c r="N8" s="323" t="e">
        <f>I8*60%</f>
        <v>#REF!</v>
      </c>
      <c r="O8" s="322">
        <v>0</v>
      </c>
      <c r="P8" s="324" t="e">
        <f>+K8-M8</f>
        <v>#REF!</v>
      </c>
      <c r="Q8" s="321">
        <v>0</v>
      </c>
      <c r="R8" s="321">
        <v>0</v>
      </c>
      <c r="S8" s="321"/>
      <c r="T8" s="324">
        <f>+Q8+R8+S8</f>
        <v>0</v>
      </c>
      <c r="U8" s="81" t="e">
        <f>-T8+P8</f>
        <v>#REF!</v>
      </c>
      <c r="V8" s="81">
        <v>0</v>
      </c>
      <c r="W8" s="81"/>
      <c r="X8" s="81"/>
      <c r="Y8" s="82" t="e">
        <f>+P8</f>
        <v>#REF!</v>
      </c>
      <c r="Z8" s="83"/>
      <c r="AA8" s="83">
        <f>+J8/30*1.25</f>
        <v>763.00624999999991</v>
      </c>
      <c r="AB8" s="83">
        <f>+J8/30*1.25</f>
        <v>763.00624999999991</v>
      </c>
      <c r="AC8" s="321" t="e">
        <f>IF(B8="",0,P8*21.5%)</f>
        <v>#REF!</v>
      </c>
      <c r="AD8" s="321">
        <f>IF(Q8&gt;0,P8*2%,0)</f>
        <v>0</v>
      </c>
      <c r="AE8" s="321" t="e">
        <f>SUM(P8,AC8,AB8,AA8,AD8)</f>
        <v>#REF!</v>
      </c>
    </row>
    <row r="9" spans="1:35" s="7" customFormat="1" ht="75" customHeight="1" thickTop="1" thickBot="1" x14ac:dyDescent="0.25">
      <c r="A9" s="1162" t="s">
        <v>95</v>
      </c>
      <c r="B9" s="1163"/>
      <c r="C9" s="1163"/>
      <c r="D9" s="1164"/>
      <c r="E9" s="211"/>
      <c r="F9" s="210"/>
      <c r="G9" s="85">
        <f>SUM(G8:G8)</f>
        <v>500</v>
      </c>
      <c r="H9" s="85"/>
      <c r="I9" s="85" t="e">
        <f>SUM(I8:I8)</f>
        <v>#REF!</v>
      </c>
      <c r="J9" s="86">
        <f>SUM(J8:J8)</f>
        <v>18312.149999999998</v>
      </c>
      <c r="K9" s="86" t="e">
        <f>SUM(K8:K8)</f>
        <v>#REF!</v>
      </c>
      <c r="L9" s="268">
        <f>SUM(L8:L8)</f>
        <v>16</v>
      </c>
      <c r="M9" s="80" t="e">
        <f>+N9*O9</f>
        <v>#REF!</v>
      </c>
      <c r="N9" s="219" t="e">
        <f>I9*60%</f>
        <v>#REF!</v>
      </c>
      <c r="O9" s="80">
        <f t="shared" ref="O9:Y9" si="0">SUM(O8:O8)</f>
        <v>0</v>
      </c>
      <c r="P9" s="86" t="e">
        <f t="shared" si="0"/>
        <v>#REF!</v>
      </c>
      <c r="Q9" s="86">
        <f t="shared" si="0"/>
        <v>0</v>
      </c>
      <c r="R9" s="239">
        <f t="shared" si="0"/>
        <v>0</v>
      </c>
      <c r="S9" s="86">
        <f t="shared" si="0"/>
        <v>0</v>
      </c>
      <c r="T9" s="86">
        <f t="shared" si="0"/>
        <v>0</v>
      </c>
      <c r="U9" s="215" t="e">
        <f t="shared" si="0"/>
        <v>#REF!</v>
      </c>
      <c r="V9" s="86">
        <f t="shared" si="0"/>
        <v>0</v>
      </c>
      <c r="W9" s="316">
        <f t="shared" si="0"/>
        <v>0</v>
      </c>
      <c r="X9" s="316">
        <f t="shared" si="0"/>
        <v>0</v>
      </c>
      <c r="Y9" s="163" t="e">
        <f t="shared" si="0"/>
        <v>#REF!</v>
      </c>
      <c r="Z9" s="87" t="s">
        <v>105</v>
      </c>
      <c r="AA9" s="86">
        <f>SUM(AA8:AA8)</f>
        <v>763.00624999999991</v>
      </c>
      <c r="AB9" s="86">
        <f>SUM(AB8:AB8)</f>
        <v>763.00624999999991</v>
      </c>
      <c r="AC9" s="86" t="e">
        <f>SUM(AC8:AC8)</f>
        <v>#REF!</v>
      </c>
      <c r="AD9" s="86">
        <f>SUM(AD8:AD8)</f>
        <v>0</v>
      </c>
      <c r="AE9" s="86" t="e">
        <f>SUM(AE8:AE8)</f>
        <v>#REF!</v>
      </c>
    </row>
    <row r="10" spans="1:35" s="14" customFormat="1" ht="19.5" customHeight="1" thickTop="1" x14ac:dyDescent="0.2">
      <c r="A10" s="27"/>
      <c r="B10" s="27"/>
      <c r="C10" s="27"/>
      <c r="D10" s="27"/>
      <c r="E10" s="27"/>
      <c r="F10" s="28"/>
      <c r="G10" s="28"/>
      <c r="H10" s="28"/>
      <c r="I10" s="28"/>
      <c r="J10" s="27"/>
      <c r="K10" s="27"/>
      <c r="L10" s="29"/>
      <c r="M10" s="29"/>
      <c r="N10" s="29"/>
      <c r="O10" s="29"/>
      <c r="P10" s="27" t="s">
        <v>5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</row>
    <row r="11" spans="1:35" s="14" customFormat="1" ht="19.5" customHeight="1" x14ac:dyDescent="0.2">
      <c r="A11" s="27"/>
      <c r="B11" s="27"/>
      <c r="C11" s="27"/>
      <c r="D11" s="27"/>
      <c r="E11" s="27"/>
      <c r="F11" s="28"/>
      <c r="G11" s="28"/>
      <c r="H11" s="28"/>
      <c r="I11" s="28"/>
      <c r="J11" s="27"/>
      <c r="K11" s="27"/>
      <c r="L11" s="29"/>
      <c r="M11" s="29"/>
      <c r="N11" s="29"/>
      <c r="O11" s="29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 spans="1:35" s="14" customFormat="1" ht="19.5" customHeight="1" x14ac:dyDescent="0.2">
      <c r="A12" s="27"/>
      <c r="B12" s="27"/>
      <c r="C12" s="27"/>
      <c r="D12" s="27"/>
      <c r="E12" s="27"/>
      <c r="F12" s="28"/>
      <c r="G12" s="28"/>
      <c r="H12" s="28"/>
      <c r="I12" s="28"/>
      <c r="J12" s="27"/>
      <c r="K12" s="27"/>
      <c r="L12" s="29"/>
      <c r="M12" s="29"/>
      <c r="N12" s="29"/>
      <c r="O12" s="29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spans="1:35" s="14" customFormat="1" ht="19.5" customHeight="1" x14ac:dyDescent="0.2">
      <c r="A13" s="27"/>
      <c r="B13" s="27"/>
      <c r="C13" s="27"/>
      <c r="D13" s="27"/>
      <c r="E13" s="27"/>
      <c r="F13" s="28"/>
      <c r="G13" s="28"/>
      <c r="H13" s="28"/>
      <c r="I13" s="28"/>
      <c r="J13" s="27"/>
      <c r="K13" s="27"/>
      <c r="L13" s="29"/>
      <c r="M13" s="29"/>
      <c r="N13" s="29"/>
      <c r="O13" s="29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5" s="14" customFormat="1" ht="19.5" customHeight="1" x14ac:dyDescent="0.2">
      <c r="A14" s="27"/>
      <c r="B14" s="27"/>
      <c r="C14" s="27"/>
      <c r="D14" s="27"/>
      <c r="E14" s="27"/>
      <c r="F14" s="28"/>
      <c r="G14" s="28"/>
      <c r="H14" s="28"/>
      <c r="I14" s="28"/>
      <c r="J14" s="27"/>
      <c r="K14" s="27"/>
      <c r="L14" s="29"/>
      <c r="M14" s="29"/>
      <c r="N14" s="29"/>
      <c r="O14" s="29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35" s="14" customFormat="1" ht="19.5" customHeight="1" x14ac:dyDescent="0.2">
      <c r="A15" s="27"/>
      <c r="B15" s="27"/>
      <c r="C15" s="27"/>
      <c r="D15" s="27"/>
      <c r="E15" s="27"/>
      <c r="F15" s="28"/>
      <c r="G15" s="28"/>
      <c r="H15" s="28"/>
      <c r="I15" s="28"/>
      <c r="J15" s="27"/>
      <c r="K15" s="27"/>
      <c r="L15" s="29"/>
      <c r="M15" s="29"/>
      <c r="N15" s="29"/>
      <c r="O15" s="29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5" s="11" customFormat="1" x14ac:dyDescent="0.2">
      <c r="A16" s="27"/>
      <c r="B16" s="27"/>
      <c r="C16" s="27"/>
      <c r="D16" s="27"/>
      <c r="E16" s="27"/>
      <c r="F16" s="28"/>
      <c r="G16" s="28"/>
      <c r="H16" s="28"/>
      <c r="I16" s="28"/>
      <c r="J16" s="27"/>
      <c r="K16" s="27"/>
      <c r="L16" s="29"/>
      <c r="M16" s="29"/>
      <c r="N16" s="29"/>
      <c r="O16" s="29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spans="1:31" s="11" customFormat="1" x14ac:dyDescent="0.2">
      <c r="A17" s="30"/>
      <c r="B17" s="27"/>
      <c r="C17" s="30"/>
      <c r="D17" s="27"/>
      <c r="E17" s="27"/>
      <c r="F17" s="28"/>
      <c r="G17" s="28"/>
      <c r="H17" s="28"/>
      <c r="I17" s="28"/>
      <c r="J17" s="27"/>
      <c r="K17" s="27"/>
      <c r="L17" s="29"/>
      <c r="M17" s="29"/>
      <c r="N17" s="29"/>
      <c r="O17" s="29"/>
      <c r="P17" s="30"/>
      <c r="Q17" s="27"/>
      <c r="R17" s="27"/>
      <c r="S17" s="31"/>
      <c r="T17" s="27"/>
      <c r="U17" s="27"/>
      <c r="V17" s="27"/>
      <c r="W17" s="27"/>
      <c r="X17" s="27"/>
      <c r="Y17" s="30"/>
      <c r="Z17" s="27"/>
      <c r="AA17" s="27"/>
      <c r="AB17" s="27"/>
      <c r="AC17" s="27"/>
      <c r="AD17" s="27"/>
      <c r="AE17" s="27"/>
    </row>
    <row r="18" spans="1:31" s="11" customFormat="1" x14ac:dyDescent="0.2">
      <c r="A18" s="30"/>
      <c r="B18" s="27"/>
      <c r="C18" s="30"/>
      <c r="D18" s="27"/>
      <c r="E18" s="27"/>
      <c r="F18" s="28"/>
      <c r="G18" s="28"/>
      <c r="H18" s="28"/>
      <c r="I18" s="28"/>
      <c r="J18" s="27"/>
      <c r="K18" s="27"/>
      <c r="L18" s="29"/>
      <c r="M18" s="29"/>
      <c r="N18" s="29"/>
      <c r="O18" s="29"/>
      <c r="P18" s="30"/>
      <c r="Q18" s="27"/>
      <c r="R18" s="27"/>
      <c r="S18" s="32"/>
      <c r="T18" s="27"/>
      <c r="U18" s="27"/>
      <c r="V18" s="27"/>
      <c r="W18" s="27"/>
      <c r="X18" s="27"/>
      <c r="Y18" s="30"/>
      <c r="Z18" s="27"/>
      <c r="AA18" s="27"/>
      <c r="AB18" s="27"/>
      <c r="AC18" s="27"/>
      <c r="AD18" s="27"/>
      <c r="AE18" s="27"/>
    </row>
    <row r="19" spans="1:31" s="11" customFormat="1" x14ac:dyDescent="0.2">
      <c r="A19" s="30"/>
      <c r="B19" s="27"/>
      <c r="C19" s="1165"/>
      <c r="D19" s="1165"/>
      <c r="E19" s="1165"/>
      <c r="F19" s="1165"/>
      <c r="G19" s="49"/>
      <c r="H19" s="49"/>
      <c r="I19" s="49"/>
      <c r="J19" s="27"/>
      <c r="K19" s="27"/>
      <c r="L19" s="1166"/>
      <c r="M19" s="1166"/>
      <c r="N19" s="1166"/>
      <c r="O19" s="1166"/>
      <c r="P19" s="1166"/>
      <c r="Q19" s="1166"/>
      <c r="R19" s="1166"/>
      <c r="S19" s="1166"/>
      <c r="T19" s="1166"/>
      <c r="U19" s="29"/>
      <c r="V19" s="27"/>
      <c r="W19" s="27"/>
      <c r="X19" s="27"/>
      <c r="Y19" s="1165"/>
      <c r="Z19" s="1165"/>
      <c r="AA19" s="1165"/>
      <c r="AB19" s="1165"/>
      <c r="AC19" s="1165"/>
      <c r="AD19" s="27"/>
      <c r="AE19" s="27"/>
    </row>
    <row r="20" spans="1:31" s="11" customFormat="1" ht="13.5" customHeight="1" x14ac:dyDescent="0.2">
      <c r="A20" s="27"/>
      <c r="B20" s="27"/>
      <c r="C20" s="1167" t="s">
        <v>23</v>
      </c>
      <c r="D20" s="1167"/>
      <c r="E20" s="1167"/>
      <c r="F20" s="1167"/>
      <c r="G20" s="52"/>
      <c r="H20" s="52"/>
      <c r="I20" s="52"/>
      <c r="J20" s="27"/>
      <c r="K20" s="27"/>
      <c r="L20" s="1167" t="s">
        <v>24</v>
      </c>
      <c r="M20" s="1167"/>
      <c r="N20" s="1167"/>
      <c r="O20" s="1167"/>
      <c r="P20" s="1167"/>
      <c r="Q20" s="1167"/>
      <c r="R20" s="1167"/>
      <c r="S20" s="1167"/>
      <c r="T20" s="1167"/>
      <c r="U20" s="52"/>
      <c r="V20" s="27"/>
      <c r="W20" s="27"/>
      <c r="X20" s="27"/>
      <c r="Y20" s="1167" t="s">
        <v>25</v>
      </c>
      <c r="Z20" s="1167"/>
      <c r="AA20" s="1167"/>
      <c r="AB20" s="1167"/>
      <c r="AC20" s="1167"/>
      <c r="AD20" s="27"/>
      <c r="AE20" s="27"/>
    </row>
    <row r="21" spans="1:31" s="11" customFormat="1" x14ac:dyDescent="0.2">
      <c r="A21" s="30"/>
      <c r="B21" s="27"/>
      <c r="C21" s="1159" t="str">
        <f>+'ADMON COM. '!C50:F50</f>
        <v>Jose Martin Conrrado</v>
      </c>
      <c r="D21" s="1159"/>
      <c r="E21" s="1159"/>
      <c r="F21" s="1159"/>
      <c r="G21" s="48"/>
      <c r="H21" s="48"/>
      <c r="I21" s="48"/>
      <c r="J21" s="27"/>
      <c r="K21" s="30"/>
      <c r="L21" s="1159" t="s">
        <v>26</v>
      </c>
      <c r="M21" s="1159"/>
      <c r="N21" s="1159"/>
      <c r="O21" s="1159"/>
      <c r="P21" s="1159"/>
      <c r="Q21" s="1159"/>
      <c r="R21" s="1159"/>
      <c r="S21" s="1159"/>
      <c r="T21" s="1159"/>
      <c r="U21" s="48"/>
      <c r="V21" s="33"/>
      <c r="W21" s="33"/>
      <c r="X21" s="33"/>
      <c r="Y21" s="1160" t="s">
        <v>27</v>
      </c>
      <c r="Z21" s="1160"/>
      <c r="AA21" s="1160"/>
      <c r="AB21" s="1160"/>
      <c r="AC21" s="1160"/>
      <c r="AD21" s="27"/>
      <c r="AE21" s="27"/>
    </row>
    <row r="22" spans="1:31" s="11" customFormat="1" x14ac:dyDescent="0.2">
      <c r="A22" s="8"/>
      <c r="B22" s="8"/>
      <c r="C22" s="1161"/>
      <c r="D22" s="1161"/>
      <c r="E22" s="25"/>
      <c r="F22" s="25"/>
      <c r="G22" s="25"/>
      <c r="H22" s="25"/>
      <c r="I22" s="25"/>
      <c r="J22" s="8"/>
      <c r="K22" s="8"/>
      <c r="L22" s="9"/>
      <c r="M22" s="9"/>
      <c r="N22" s="9"/>
      <c r="O22" s="9"/>
      <c r="P22" s="1161"/>
      <c r="Q22" s="1161"/>
      <c r="R22" s="1161"/>
      <c r="S22" s="25"/>
      <c r="T22" s="25"/>
      <c r="U22" s="25"/>
      <c r="V22" s="25"/>
      <c r="W22" s="25"/>
      <c r="X22" s="25"/>
      <c r="Y22" s="8"/>
      <c r="Z22" s="8"/>
      <c r="AA22" s="8"/>
      <c r="AB22" s="8"/>
      <c r="AC22" s="10"/>
      <c r="AD22" s="10"/>
      <c r="AE22" s="10"/>
    </row>
    <row r="23" spans="1:31" x14ac:dyDescent="0.2">
      <c r="A23" s="3"/>
      <c r="B23" s="3"/>
      <c r="C23" s="3"/>
      <c r="D23" s="3"/>
      <c r="E23" s="3"/>
      <c r="F23" s="4"/>
      <c r="G23" s="4"/>
      <c r="H23" s="4"/>
      <c r="I23" s="4"/>
      <c r="J23" s="3"/>
      <c r="K23" s="3"/>
      <c r="L23" s="2"/>
      <c r="M23" s="2"/>
      <c r="N23" s="2"/>
      <c r="O23" s="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">
      <c r="A24" s="3"/>
      <c r="B24" s="3"/>
      <c r="C24" s="3"/>
      <c r="D24" s="3"/>
      <c r="E24" s="3"/>
      <c r="F24" s="4"/>
      <c r="G24" s="4"/>
      <c r="H24" s="4"/>
      <c r="I24" s="4"/>
      <c r="J24" s="3"/>
      <c r="K24" s="3"/>
      <c r="L24" s="2"/>
      <c r="M24" s="2"/>
      <c r="N24" s="2"/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">
      <c r="A25" s="3"/>
      <c r="B25" s="3"/>
      <c r="C25" s="3"/>
      <c r="D25" s="3"/>
      <c r="E25" s="3"/>
      <c r="F25" s="4"/>
      <c r="G25" s="4"/>
      <c r="H25" s="4"/>
      <c r="I25" s="4"/>
      <c r="J25" s="3"/>
      <c r="K25" s="3"/>
      <c r="L25" s="2"/>
      <c r="M25" s="2"/>
      <c r="N25" s="2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2">
      <c r="A26" s="3"/>
      <c r="B26" s="3"/>
      <c r="C26" s="3"/>
      <c r="D26" s="3"/>
      <c r="E26" s="3"/>
      <c r="F26" s="4"/>
      <c r="G26" s="4"/>
      <c r="H26" s="4"/>
      <c r="I26" s="4"/>
      <c r="J26" s="3"/>
      <c r="K26" s="3"/>
      <c r="L26" s="2"/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">
      <c r="A27" s="3"/>
      <c r="B27" s="3"/>
      <c r="C27" s="3"/>
      <c r="D27" s="3"/>
      <c r="E27" s="3"/>
      <c r="F27" s="4"/>
      <c r="G27" s="4"/>
      <c r="H27" s="4"/>
      <c r="I27" s="4"/>
      <c r="J27" s="3"/>
      <c r="K27" s="3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1" x14ac:dyDescent="0.2">
      <c r="A28" s="3"/>
      <c r="B28" s="3"/>
      <c r="C28" s="3"/>
      <c r="D28" s="3"/>
      <c r="E28" s="3"/>
      <c r="F28" s="4"/>
      <c r="G28" s="4"/>
      <c r="H28" s="4"/>
      <c r="I28" s="4"/>
      <c r="J28" s="3"/>
      <c r="K28" s="3"/>
      <c r="L28" s="2"/>
      <c r="M28" s="2"/>
      <c r="N28" s="2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39" spans="1:31" x14ac:dyDescent="0.2">
      <c r="A39" s="3"/>
      <c r="B39" s="3"/>
      <c r="C39" s="3"/>
      <c r="D39" s="3"/>
      <c r="E39" s="3"/>
      <c r="F39" s="4"/>
      <c r="G39" s="4"/>
      <c r="H39" s="4"/>
      <c r="I39" s="4"/>
      <c r="J39" s="3"/>
      <c r="K39" s="3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2">
      <c r="A40" s="3"/>
      <c r="B40" s="3"/>
      <c r="C40" s="3"/>
      <c r="D40" s="3"/>
      <c r="E40" s="3"/>
      <c r="F40" s="4"/>
      <c r="G40" s="4"/>
      <c r="H40" s="4"/>
      <c r="I40" s="4"/>
      <c r="J40" s="3"/>
      <c r="K40" s="3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">
      <c r="A41" s="3"/>
      <c r="B41" s="3"/>
      <c r="C41" s="3"/>
      <c r="D41" s="3"/>
      <c r="E41" s="3"/>
      <c r="F41" s="4"/>
      <c r="G41" s="4"/>
      <c r="H41" s="4"/>
      <c r="I41" s="4"/>
      <c r="J41" s="3"/>
      <c r="K41" s="3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1" x14ac:dyDescent="0.2">
      <c r="A42" s="3"/>
      <c r="B42" s="3"/>
      <c r="C42" s="3"/>
      <c r="D42" s="3"/>
      <c r="E42" s="3"/>
      <c r="F42" s="4"/>
      <c r="G42" s="4"/>
      <c r="H42" s="4"/>
      <c r="I42" s="4"/>
      <c r="J42" s="3"/>
      <c r="K42" s="3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</sheetData>
  <mergeCells count="48">
    <mergeCell ref="A1:AE1"/>
    <mergeCell ref="A2:AE2"/>
    <mergeCell ref="A3:AE3"/>
    <mergeCell ref="A5:A7"/>
    <mergeCell ref="B5:B7"/>
    <mergeCell ref="C5:C7"/>
    <mergeCell ref="D5:D7"/>
    <mergeCell ref="E5:E7"/>
    <mergeCell ref="F5:F7"/>
    <mergeCell ref="G5:G7"/>
    <mergeCell ref="U5:U7"/>
    <mergeCell ref="Q6:Q7"/>
    <mergeCell ref="R6:R7"/>
    <mergeCell ref="S6:S7"/>
    <mergeCell ref="T6:T7"/>
    <mergeCell ref="H5:H7"/>
    <mergeCell ref="I5:I7"/>
    <mergeCell ref="J5:J7"/>
    <mergeCell ref="K5:P5"/>
    <mergeCell ref="Q5:T5"/>
    <mergeCell ref="AB5:AB7"/>
    <mergeCell ref="AC5:AC7"/>
    <mergeCell ref="AD5:AD7"/>
    <mergeCell ref="AE5:AE7"/>
    <mergeCell ref="K6:K7"/>
    <mergeCell ref="L6:L7"/>
    <mergeCell ref="M6:M7"/>
    <mergeCell ref="N6:N7"/>
    <mergeCell ref="O6:O7"/>
    <mergeCell ref="P6:P7"/>
    <mergeCell ref="V5:V7"/>
    <mergeCell ref="W5:W7"/>
    <mergeCell ref="X5:X7"/>
    <mergeCell ref="Y5:Y7"/>
    <mergeCell ref="Z5:Z7"/>
    <mergeCell ref="AA5:AA7"/>
    <mergeCell ref="A9:D9"/>
    <mergeCell ref="C19:F19"/>
    <mergeCell ref="L19:T19"/>
    <mergeCell ref="Y19:AC19"/>
    <mergeCell ref="C20:F20"/>
    <mergeCell ref="L20:T20"/>
    <mergeCell ref="Y20:AC20"/>
    <mergeCell ref="C21:F21"/>
    <mergeCell ref="L21:T21"/>
    <mergeCell ref="Y21:AC21"/>
    <mergeCell ref="C22:D22"/>
    <mergeCell ref="P22:R22"/>
  </mergeCells>
  <printOptions horizontalCentered="1" verticalCentered="1"/>
  <pageMargins left="0" right="0" top="0.78740157480314965" bottom="0" header="0" footer="0"/>
  <pageSetup paperSize="5" scale="66" orientation="landscape" horizontalDpi="4294967293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6">
    <tabColor rgb="FF00B0F0"/>
  </sheetPr>
  <dimension ref="A3:BQ28"/>
  <sheetViews>
    <sheetView showGridLines="0" topLeftCell="A23" zoomScaleNormal="100" workbookViewId="0">
      <selection activeCell="Q33" sqref="Q33"/>
    </sheetView>
  </sheetViews>
  <sheetFormatPr baseColWidth="10" defaultRowHeight="10.199999999999999" x14ac:dyDescent="0.2"/>
  <cols>
    <col min="1" max="1" width="3.7109375" customWidth="1"/>
    <col min="2" max="6" width="12" hidden="1" customWidth="1"/>
    <col min="7" max="7" width="20.7109375" customWidth="1"/>
    <col min="8" max="8" width="4.28515625" customWidth="1"/>
    <col min="9" max="9" width="4.7109375" customWidth="1"/>
    <col min="10" max="10" width="5.42578125" customWidth="1"/>
    <col min="11" max="13" width="7.28515625" customWidth="1"/>
    <col min="14" max="14" width="3.85546875" customWidth="1"/>
    <col min="15" max="17" width="7.28515625" customWidth="1"/>
    <col min="18" max="18" width="7.28515625" hidden="1" customWidth="1"/>
    <col min="19" max="19" width="5" customWidth="1"/>
    <col min="20" max="22" width="7.28515625" customWidth="1"/>
    <col min="23" max="23" width="4.140625" customWidth="1"/>
    <col min="24" max="28" width="7.28515625" customWidth="1"/>
    <col min="29" max="29" width="7.85546875" hidden="1" customWidth="1"/>
    <col min="30" max="30" width="4" customWidth="1"/>
    <col min="31" max="32" width="7.85546875" hidden="1" customWidth="1"/>
    <col min="33" max="33" width="5" customWidth="1"/>
    <col min="34" max="36" width="3.42578125" customWidth="1"/>
    <col min="37" max="37" width="7.7109375" customWidth="1"/>
    <col min="38" max="38" width="12" hidden="1" customWidth="1"/>
    <col min="39" max="39" width="1.7109375" hidden="1" customWidth="1"/>
    <col min="40" max="40" width="5.140625" customWidth="1"/>
    <col min="41" max="42" width="12" hidden="1" customWidth="1"/>
    <col min="43" max="43" width="4.140625" customWidth="1"/>
    <col min="44" max="44" width="5" customWidth="1"/>
    <col min="45" max="46" width="4.85546875" customWidth="1"/>
    <col min="47" max="54" width="12" hidden="1" customWidth="1"/>
    <col min="55" max="55" width="9.42578125" customWidth="1"/>
    <col min="56" max="56" width="7.42578125" customWidth="1"/>
    <col min="57" max="59" width="6.28515625" customWidth="1"/>
    <col min="60" max="60" width="7" customWidth="1"/>
    <col min="61" max="61" width="5.140625" customWidth="1"/>
    <col min="62" max="62" width="6.28515625" customWidth="1"/>
    <col min="63" max="65" width="12" hidden="1" customWidth="1"/>
    <col min="66" max="66" width="6.140625" customWidth="1"/>
    <col min="67" max="67" width="4.42578125" customWidth="1"/>
    <col min="68" max="68" width="14.85546875" customWidth="1"/>
    <col min="69" max="69" width="53.7109375" customWidth="1"/>
  </cols>
  <sheetData>
    <row r="3" spans="1:69" ht="17.399999999999999" x14ac:dyDescent="0.2">
      <c r="A3" s="1183" t="s">
        <v>108</v>
      </c>
      <c r="B3" s="1183"/>
      <c r="C3" s="1183"/>
      <c r="D3" s="1183"/>
      <c r="E3" s="1183"/>
      <c r="F3" s="1183"/>
      <c r="G3" s="1183"/>
      <c r="H3" s="1183"/>
      <c r="I3" s="1183"/>
      <c r="J3" s="1183"/>
      <c r="K3" s="1183"/>
      <c r="L3" s="1183"/>
      <c r="M3" s="1183"/>
      <c r="N3" s="1183"/>
      <c r="O3" s="1183"/>
      <c r="P3" s="1183"/>
      <c r="Q3" s="1183"/>
      <c r="R3" s="1183"/>
      <c r="S3" s="1183"/>
      <c r="T3" s="1183"/>
      <c r="U3" s="1183"/>
      <c r="V3" s="1183"/>
      <c r="W3" s="1183"/>
      <c r="X3" s="1183"/>
      <c r="Y3" s="1183"/>
      <c r="Z3" s="1183"/>
      <c r="AA3" s="1183"/>
      <c r="AB3" s="1183"/>
      <c r="AC3" s="1183"/>
      <c r="AD3" s="1183"/>
      <c r="AE3" s="1183"/>
      <c r="AF3" s="1183"/>
      <c r="AG3" s="1183"/>
      <c r="AH3" s="1183"/>
      <c r="AI3" s="1183"/>
      <c r="AJ3" s="1183"/>
      <c r="AK3" s="1183"/>
      <c r="AL3" s="1183"/>
      <c r="AM3" s="1183"/>
      <c r="AN3" s="1183"/>
      <c r="AO3" s="1183"/>
      <c r="AP3" s="1183"/>
      <c r="AQ3" s="1183"/>
      <c r="AR3" s="1183"/>
      <c r="AS3" s="1183"/>
      <c r="AT3" s="1183"/>
      <c r="AU3" s="1183"/>
      <c r="AV3" s="1183"/>
      <c r="AW3" s="1183"/>
      <c r="AX3" s="1183"/>
      <c r="AY3" s="1183"/>
      <c r="AZ3" s="1183"/>
      <c r="BA3" s="1183"/>
      <c r="BB3" s="1183"/>
      <c r="BC3" s="1183"/>
      <c r="BD3" s="1183"/>
      <c r="BE3" s="1183"/>
      <c r="BF3" s="1183"/>
      <c r="BG3" s="1183"/>
      <c r="BH3" s="1183"/>
      <c r="BI3" s="1183"/>
      <c r="BJ3" s="1183"/>
      <c r="BK3" s="1183"/>
      <c r="BL3" s="1183"/>
      <c r="BM3" s="1183"/>
      <c r="BN3" s="1183"/>
      <c r="BO3" s="1183"/>
      <c r="BP3" s="1183"/>
      <c r="BQ3" s="1183"/>
    </row>
    <row r="4" spans="1:69" ht="17.399999999999999" x14ac:dyDescent="0.2">
      <c r="A4" s="1183" t="s">
        <v>115</v>
      </c>
      <c r="B4" s="1183"/>
      <c r="C4" s="1183"/>
      <c r="D4" s="1183"/>
      <c r="E4" s="1183"/>
      <c r="F4" s="1183"/>
      <c r="G4" s="1183"/>
      <c r="H4" s="1183"/>
      <c r="I4" s="1183"/>
      <c r="J4" s="1183"/>
      <c r="K4" s="1183"/>
      <c r="L4" s="1183"/>
      <c r="M4" s="1183"/>
      <c r="N4" s="1183"/>
      <c r="O4" s="1183"/>
      <c r="P4" s="1183"/>
      <c r="Q4" s="1183"/>
      <c r="R4" s="1183"/>
      <c r="S4" s="1183"/>
      <c r="T4" s="1183"/>
      <c r="U4" s="1183"/>
      <c r="V4" s="1183"/>
      <c r="W4" s="1183"/>
      <c r="X4" s="1183"/>
      <c r="Y4" s="1183"/>
      <c r="Z4" s="1183"/>
      <c r="AA4" s="1183"/>
      <c r="AB4" s="1183"/>
      <c r="AC4" s="1183"/>
      <c r="AD4" s="1183"/>
      <c r="AE4" s="1183"/>
      <c r="AF4" s="1183"/>
      <c r="AG4" s="1183"/>
      <c r="AH4" s="1183"/>
      <c r="AI4" s="1183"/>
      <c r="AJ4" s="1183"/>
      <c r="AK4" s="1183"/>
      <c r="AL4" s="1183"/>
      <c r="AM4" s="1183"/>
      <c r="AN4" s="1183"/>
      <c r="AO4" s="1183"/>
      <c r="AP4" s="1183"/>
      <c r="AQ4" s="1183"/>
      <c r="AR4" s="1183"/>
      <c r="AS4" s="1183"/>
      <c r="AT4" s="1183"/>
      <c r="AU4" s="1183"/>
      <c r="AV4" s="1183"/>
      <c r="AW4" s="1183"/>
      <c r="AX4" s="1183"/>
      <c r="AY4" s="1183"/>
      <c r="AZ4" s="1183"/>
      <c r="BA4" s="1183"/>
      <c r="BB4" s="1183"/>
      <c r="BC4" s="1183"/>
      <c r="BD4" s="1183"/>
      <c r="BE4" s="1183"/>
      <c r="BF4" s="1183"/>
      <c r="BG4" s="1183"/>
      <c r="BH4" s="1183"/>
      <c r="BI4" s="1183"/>
      <c r="BJ4" s="1183"/>
      <c r="BK4" s="1183"/>
      <c r="BL4" s="1183"/>
      <c r="BM4" s="1183"/>
      <c r="BN4" s="1183"/>
      <c r="BO4" s="1183"/>
      <c r="BP4" s="1183"/>
      <c r="BQ4" s="1183"/>
    </row>
    <row r="5" spans="1:69" ht="17.399999999999999" x14ac:dyDescent="0.2">
      <c r="A5" s="1184" t="s">
        <v>202</v>
      </c>
      <c r="B5" s="1184"/>
      <c r="C5" s="1184"/>
      <c r="D5" s="1184"/>
      <c r="E5" s="1184"/>
      <c r="F5" s="1184"/>
      <c r="G5" s="1184"/>
      <c r="H5" s="1184"/>
      <c r="I5" s="1184"/>
      <c r="J5" s="1184"/>
      <c r="K5" s="1184"/>
      <c r="L5" s="1184"/>
      <c r="M5" s="1184"/>
      <c r="N5" s="1184"/>
      <c r="O5" s="1184"/>
      <c r="P5" s="1184"/>
      <c r="Q5" s="1184"/>
      <c r="R5" s="1184"/>
      <c r="S5" s="1184"/>
      <c r="T5" s="1184"/>
      <c r="U5" s="1184"/>
      <c r="V5" s="1184"/>
      <c r="W5" s="1184"/>
      <c r="X5" s="1184"/>
      <c r="Y5" s="1184"/>
      <c r="Z5" s="1184"/>
      <c r="AA5" s="1184"/>
      <c r="AB5" s="1184"/>
      <c r="AC5" s="1184"/>
      <c r="AD5" s="1184"/>
      <c r="AE5" s="1184"/>
      <c r="AF5" s="1184"/>
      <c r="AG5" s="1184"/>
      <c r="AH5" s="1184"/>
      <c r="AI5" s="1184"/>
      <c r="AJ5" s="1184"/>
      <c r="AK5" s="1184"/>
      <c r="AL5" s="1184"/>
      <c r="AM5" s="1184"/>
      <c r="AN5" s="1184"/>
      <c r="AO5" s="1184"/>
      <c r="AP5" s="1184"/>
      <c r="AQ5" s="1184"/>
      <c r="AR5" s="1184"/>
      <c r="AS5" s="1184"/>
      <c r="AT5" s="1184"/>
      <c r="AU5" s="1184"/>
      <c r="AV5" s="1184"/>
      <c r="AW5" s="1184"/>
      <c r="AX5" s="1184"/>
      <c r="AY5" s="1184"/>
      <c r="AZ5" s="1184"/>
      <c r="BA5" s="1184"/>
      <c r="BB5" s="1184"/>
      <c r="BC5" s="1184"/>
      <c r="BD5" s="1184"/>
      <c r="BE5" s="1184"/>
      <c r="BF5" s="1184"/>
      <c r="BG5" s="1184"/>
      <c r="BH5" s="1184"/>
      <c r="BI5" s="1184"/>
      <c r="BJ5" s="1184"/>
      <c r="BK5" s="1184"/>
      <c r="BL5" s="1184"/>
      <c r="BM5" s="1184"/>
      <c r="BN5" s="1184"/>
      <c r="BO5" s="1184"/>
      <c r="BP5" s="1184"/>
      <c r="BQ5" s="1184"/>
    </row>
    <row r="6" spans="1:69" ht="17.399999999999999" x14ac:dyDescent="0.3">
      <c r="A6" s="1249" t="str">
        <f>+'COMISARIATO CON INSS'!A4</f>
        <v>QUINCENA DEL 16  AL 30  DE ABRIL - 2026</v>
      </c>
      <c r="B6" s="1249"/>
      <c r="C6" s="1249"/>
      <c r="D6" s="1249"/>
      <c r="E6" s="1249"/>
      <c r="F6" s="1249"/>
      <c r="G6" s="1249"/>
      <c r="H6" s="1249"/>
      <c r="I6" s="1249"/>
      <c r="J6" s="1249"/>
      <c r="K6" s="1249"/>
      <c r="L6" s="1249"/>
      <c r="M6" s="1249"/>
      <c r="N6" s="1249"/>
      <c r="O6" s="1249"/>
      <c r="P6" s="1249"/>
      <c r="Q6" s="1249"/>
      <c r="R6" s="1249"/>
      <c r="S6" s="1249"/>
      <c r="T6" s="1249"/>
      <c r="U6" s="1249"/>
      <c r="V6" s="1249"/>
      <c r="W6" s="1249"/>
      <c r="X6" s="1249"/>
      <c r="Y6" s="1249"/>
      <c r="Z6" s="1249"/>
      <c r="AA6" s="1249"/>
      <c r="AB6" s="1249"/>
      <c r="AC6" s="1249"/>
      <c r="AD6" s="1249"/>
      <c r="AE6" s="1249"/>
      <c r="AF6" s="1249"/>
      <c r="AG6" s="1249"/>
      <c r="AH6" s="1249"/>
      <c r="AI6" s="1249"/>
      <c r="AJ6" s="1249"/>
      <c r="AK6" s="1249"/>
      <c r="AL6" s="1249"/>
      <c r="AM6" s="1249"/>
      <c r="AN6" s="1249"/>
      <c r="AO6" s="1249"/>
      <c r="AP6" s="1249"/>
      <c r="AQ6" s="1249"/>
      <c r="AR6" s="1249"/>
      <c r="AS6" s="1249"/>
      <c r="AT6" s="1249"/>
      <c r="AU6" s="1249"/>
      <c r="AV6" s="1249"/>
      <c r="AW6" s="1249"/>
      <c r="AX6" s="1249"/>
      <c r="AY6" s="1249"/>
      <c r="AZ6" s="1249"/>
      <c r="BA6" s="1249"/>
      <c r="BB6" s="1249"/>
      <c r="BC6" s="1249"/>
      <c r="BD6" s="1249"/>
      <c r="BE6" s="1249"/>
      <c r="BF6" s="1249"/>
      <c r="BG6" s="1249"/>
      <c r="BH6" s="1249"/>
      <c r="BI6" s="1249"/>
      <c r="BJ6" s="1249"/>
      <c r="BK6" s="1249"/>
      <c r="BL6" s="1249"/>
      <c r="BM6" s="1249"/>
      <c r="BN6" s="1249"/>
      <c r="BO6" s="1249"/>
      <c r="BP6" s="1249"/>
      <c r="BQ6" s="1249"/>
    </row>
    <row r="11" spans="1:69" ht="10.8" thickBot="1" x14ac:dyDescent="0.25">
      <c r="A11" s="176">
        <f>+'ADMON COM. '!A6</f>
        <v>15</v>
      </c>
    </row>
    <row r="12" spans="1:69" ht="10.8" thickTop="1" x14ac:dyDescent="0.2">
      <c r="A12" s="1185" t="s">
        <v>71</v>
      </c>
      <c r="B12" s="1188" t="s">
        <v>128</v>
      </c>
      <c r="C12" s="1188" t="s">
        <v>151</v>
      </c>
      <c r="D12" s="1188" t="s">
        <v>152</v>
      </c>
      <c r="E12" s="1188" t="s">
        <v>153</v>
      </c>
      <c r="F12" s="1188" t="s">
        <v>154</v>
      </c>
      <c r="G12" s="1191" t="s">
        <v>6</v>
      </c>
      <c r="H12" s="1194" t="s">
        <v>82</v>
      </c>
      <c r="I12" s="1194" t="s">
        <v>187</v>
      </c>
      <c r="J12" s="1194" t="s">
        <v>45</v>
      </c>
      <c r="K12" s="1197">
        <f>+'COMISARIATO CON INSS'!H7</f>
        <v>16</v>
      </c>
      <c r="L12" s="1197">
        <f>+'COMISARIATO CON INSS'!I7</f>
        <v>17</v>
      </c>
      <c r="M12" s="1197">
        <f>+'COMISARIATO CON INSS'!J7</f>
        <v>18</v>
      </c>
      <c r="N12" s="1199">
        <f>+'COMISARIATO CON INSS'!K7</f>
        <v>19</v>
      </c>
      <c r="O12" s="1197">
        <f>+'COMISARIATO CON INSS'!L7</f>
        <v>20</v>
      </c>
      <c r="P12" s="1197">
        <f>+'COMISARIATO CON INSS'!M7</f>
        <v>21</v>
      </c>
      <c r="Q12" s="1197">
        <f>+'COMISARIATO CON INSS'!N7</f>
        <v>22</v>
      </c>
      <c r="R12" s="1201" t="s">
        <v>129</v>
      </c>
      <c r="S12" s="1204" t="s">
        <v>83</v>
      </c>
      <c r="T12" s="1197">
        <f>+'COMISARIATO CON INSS'!Q7</f>
        <v>23</v>
      </c>
      <c r="U12" s="1197">
        <f>+'COMISARIATO CON INSS'!R7</f>
        <v>24</v>
      </c>
      <c r="V12" s="1197">
        <f>+'COMISARIATO CON INSS'!S7</f>
        <v>25</v>
      </c>
      <c r="W12" s="1199">
        <f>+'COMISARIATO CON INSS'!T7</f>
        <v>26</v>
      </c>
      <c r="X12" s="1197">
        <f>+'COMISARIATO CON INSS'!U7</f>
        <v>27</v>
      </c>
      <c r="Y12" s="1197">
        <f>+'COMISARIATO CON INSS'!V7</f>
        <v>28</v>
      </c>
      <c r="Z12" s="1197">
        <f>+'COMISARIATO CON INSS'!W7</f>
        <v>29</v>
      </c>
      <c r="AA12" s="1197">
        <f>+'COMISARIATO CON INSS'!X7</f>
        <v>30</v>
      </c>
      <c r="AB12" s="1197">
        <v>16</v>
      </c>
      <c r="AC12" s="1201" t="s">
        <v>130</v>
      </c>
      <c r="AD12" s="1210" t="s">
        <v>83</v>
      </c>
      <c r="AE12" s="1213" t="s">
        <v>131</v>
      </c>
      <c r="AF12" s="1213" t="s">
        <v>132</v>
      </c>
      <c r="AG12" s="1207" t="s">
        <v>77</v>
      </c>
      <c r="AH12" s="1207" t="s">
        <v>143</v>
      </c>
      <c r="AI12" s="1216" t="s">
        <v>78</v>
      </c>
      <c r="AJ12" s="1194" t="s">
        <v>79</v>
      </c>
      <c r="AK12" s="1207" t="s">
        <v>80</v>
      </c>
      <c r="AL12" s="1222"/>
      <c r="AM12" s="1222"/>
      <c r="AN12" s="1194" t="s">
        <v>83</v>
      </c>
      <c r="AO12" s="1225" t="s">
        <v>144</v>
      </c>
      <c r="AP12" s="1225" t="s">
        <v>145</v>
      </c>
      <c r="AQ12" s="1207" t="s">
        <v>146</v>
      </c>
      <c r="AR12" s="1194" t="s">
        <v>93</v>
      </c>
      <c r="AS12" s="1194" t="s">
        <v>107</v>
      </c>
      <c r="AT12" s="1207" t="s">
        <v>66</v>
      </c>
      <c r="AU12" s="1219" t="s">
        <v>134</v>
      </c>
      <c r="AV12" s="1219" t="s">
        <v>128</v>
      </c>
      <c r="AW12" s="1219" t="s">
        <v>135</v>
      </c>
      <c r="AX12" s="1219" t="s">
        <v>136</v>
      </c>
      <c r="AY12" s="1219" t="s">
        <v>137</v>
      </c>
      <c r="AZ12" s="1219" t="s">
        <v>138</v>
      </c>
      <c r="BA12" s="1219" t="s">
        <v>139</v>
      </c>
      <c r="BB12" s="1219" t="s">
        <v>139</v>
      </c>
      <c r="BC12" s="1246" t="s">
        <v>178</v>
      </c>
      <c r="BD12" s="1246" t="s">
        <v>155</v>
      </c>
      <c r="BE12" s="1243" t="s">
        <v>89</v>
      </c>
      <c r="BF12" s="241"/>
      <c r="BG12" s="1243" t="s">
        <v>3</v>
      </c>
      <c r="BH12" s="1260" t="s">
        <v>52</v>
      </c>
      <c r="BI12" s="1260" t="s">
        <v>53</v>
      </c>
      <c r="BJ12" s="1228" t="s">
        <v>17</v>
      </c>
      <c r="BK12" s="1231"/>
      <c r="BL12" s="1232"/>
      <c r="BM12" s="1233"/>
      <c r="BN12" s="1237" t="s">
        <v>65</v>
      </c>
      <c r="BO12" s="1240" t="s">
        <v>31</v>
      </c>
      <c r="BP12" s="1252" t="s">
        <v>73</v>
      </c>
      <c r="BQ12" s="1255" t="s">
        <v>38</v>
      </c>
    </row>
    <row r="13" spans="1:69" ht="10.8" thickBot="1" x14ac:dyDescent="0.25">
      <c r="A13" s="1186"/>
      <c r="B13" s="1189"/>
      <c r="C13" s="1189"/>
      <c r="D13" s="1189"/>
      <c r="E13" s="1189"/>
      <c r="F13" s="1189"/>
      <c r="G13" s="1192"/>
      <c r="H13" s="1195"/>
      <c r="I13" s="1195"/>
      <c r="J13" s="1195"/>
      <c r="K13" s="1198"/>
      <c r="L13" s="1198"/>
      <c r="M13" s="1198"/>
      <c r="N13" s="1200"/>
      <c r="O13" s="1198"/>
      <c r="P13" s="1198"/>
      <c r="Q13" s="1198"/>
      <c r="R13" s="1202"/>
      <c r="S13" s="1205"/>
      <c r="T13" s="1198"/>
      <c r="U13" s="1198"/>
      <c r="V13" s="1198"/>
      <c r="W13" s="1200"/>
      <c r="X13" s="1198"/>
      <c r="Y13" s="1198"/>
      <c r="Z13" s="1198"/>
      <c r="AA13" s="1198"/>
      <c r="AB13" s="1198"/>
      <c r="AC13" s="1202"/>
      <c r="AD13" s="1211"/>
      <c r="AE13" s="1214"/>
      <c r="AF13" s="1214"/>
      <c r="AG13" s="1208"/>
      <c r="AH13" s="1208"/>
      <c r="AI13" s="1217"/>
      <c r="AJ13" s="1195"/>
      <c r="AK13" s="1208"/>
      <c r="AL13" s="1223"/>
      <c r="AM13" s="1223"/>
      <c r="AN13" s="1195"/>
      <c r="AO13" s="1226"/>
      <c r="AP13" s="1226"/>
      <c r="AQ13" s="1208"/>
      <c r="AR13" s="1195"/>
      <c r="AS13" s="1195"/>
      <c r="AT13" s="1208"/>
      <c r="AU13" s="1220"/>
      <c r="AV13" s="1220"/>
      <c r="AW13" s="1220"/>
      <c r="AX13" s="1220"/>
      <c r="AY13" s="1220"/>
      <c r="AZ13" s="1220"/>
      <c r="BA13" s="1220"/>
      <c r="BB13" s="1220"/>
      <c r="BC13" s="1247"/>
      <c r="BD13" s="1247"/>
      <c r="BE13" s="1244"/>
      <c r="BF13" s="242"/>
      <c r="BG13" s="1244"/>
      <c r="BH13" s="1261"/>
      <c r="BI13" s="1261"/>
      <c r="BJ13" s="1229"/>
      <c r="BK13" s="1234"/>
      <c r="BL13" s="1235"/>
      <c r="BM13" s="1236"/>
      <c r="BN13" s="1238"/>
      <c r="BO13" s="1241"/>
      <c r="BP13" s="1253"/>
      <c r="BQ13" s="1256"/>
    </row>
    <row r="14" spans="1:69" ht="42" customHeight="1" thickTop="1" thickBot="1" x14ac:dyDescent="0.25">
      <c r="A14" s="1187"/>
      <c r="B14" s="1190"/>
      <c r="C14" s="1190"/>
      <c r="D14" s="1190"/>
      <c r="E14" s="1190"/>
      <c r="F14" s="1190"/>
      <c r="G14" s="1193"/>
      <c r="H14" s="1196"/>
      <c r="I14" s="1196"/>
      <c r="J14" s="1196"/>
      <c r="K14" s="169" t="str">
        <f>+'COMISARIATO CON INSS'!H9</f>
        <v>S</v>
      </c>
      <c r="L14" s="169" t="str">
        <f>+'COMISARIATO CON INSS'!I9</f>
        <v>D</v>
      </c>
      <c r="M14" s="169" t="str">
        <f>+'COMISARIATO CON INSS'!J9</f>
        <v>L</v>
      </c>
      <c r="N14" s="169" t="str">
        <f>+'COMISARIATO CON INSS'!K9</f>
        <v>M</v>
      </c>
      <c r="O14" s="169" t="str">
        <f>+'COMISARIATO CON INSS'!L9</f>
        <v>M</v>
      </c>
      <c r="P14" s="169" t="str">
        <f>+'COMISARIATO CON INSS'!M9</f>
        <v>J</v>
      </c>
      <c r="Q14" s="169" t="str">
        <f>+'COMISARIATO CON INSS'!N9</f>
        <v>V</v>
      </c>
      <c r="R14" s="1203"/>
      <c r="S14" s="1206"/>
      <c r="T14" s="169" t="str">
        <f>+'COMISARIATO CON INSS'!Q9</f>
        <v>S</v>
      </c>
      <c r="U14" s="169" t="str">
        <f>+'COMISARIATO CON INSS'!R9</f>
        <v>D</v>
      </c>
      <c r="V14" s="169" t="str">
        <f>+'COMISARIATO CON INSS'!S9</f>
        <v>L</v>
      </c>
      <c r="W14" s="169" t="str">
        <f>+'COMISARIATO CON INSS'!T9</f>
        <v>M</v>
      </c>
      <c r="X14" s="169" t="str">
        <f>+'COMISARIATO CON INSS'!U9</f>
        <v>M</v>
      </c>
      <c r="Y14" s="169" t="str">
        <f>+'COMISARIATO CON INSS'!V9</f>
        <v>J</v>
      </c>
      <c r="Z14" s="169" t="str">
        <f>+'COMISARIATO CON INSS'!W9</f>
        <v>V</v>
      </c>
      <c r="AA14" s="169" t="str">
        <f>+'COMISARIATO CON INSS'!X9</f>
        <v>S</v>
      </c>
      <c r="AB14" s="169" t="str">
        <f>+'COMISARIATO CON INSS'!Y9</f>
        <v>D</v>
      </c>
      <c r="AC14" s="1203"/>
      <c r="AD14" s="1212"/>
      <c r="AE14" s="1215"/>
      <c r="AF14" s="1215"/>
      <c r="AG14" s="1209"/>
      <c r="AH14" s="1209"/>
      <c r="AI14" s="1218"/>
      <c r="AJ14" s="1196"/>
      <c r="AK14" s="1209"/>
      <c r="AL14" s="1224"/>
      <c r="AM14" s="1224"/>
      <c r="AN14" s="1196"/>
      <c r="AO14" s="1227"/>
      <c r="AP14" s="1227"/>
      <c r="AQ14" s="1209"/>
      <c r="AR14" s="1196"/>
      <c r="AS14" s="1196"/>
      <c r="AT14" s="1209"/>
      <c r="AU14" s="1221"/>
      <c r="AV14" s="1221"/>
      <c r="AW14" s="1221"/>
      <c r="AX14" s="1221"/>
      <c r="AY14" s="1221"/>
      <c r="AZ14" s="1221"/>
      <c r="BA14" s="1221"/>
      <c r="BB14" s="1221"/>
      <c r="BC14" s="1248"/>
      <c r="BD14" s="1248"/>
      <c r="BE14" s="1245"/>
      <c r="BF14" s="243"/>
      <c r="BG14" s="1245"/>
      <c r="BH14" s="1262"/>
      <c r="BI14" s="1262"/>
      <c r="BJ14" s="1230"/>
      <c r="BK14" s="168"/>
      <c r="BL14" s="168"/>
      <c r="BM14" s="168"/>
      <c r="BN14" s="1239"/>
      <c r="BO14" s="1242"/>
      <c r="BP14" s="1254"/>
      <c r="BQ14" s="1257"/>
    </row>
    <row r="15" spans="1:69" ht="52.5" customHeight="1" thickTop="1" thickBot="1" x14ac:dyDescent="0.25">
      <c r="A15" s="136">
        <v>1</v>
      </c>
      <c r="B15" s="175">
        <f>+F15</f>
        <v>313.19880549999999</v>
      </c>
      <c r="C15" s="175">
        <v>256.55</v>
      </c>
      <c r="D15" s="180">
        <f>VLOOKUP(A11,'Cambio del dia'!F7:G38,2,1)</f>
        <v>36.624299999999998</v>
      </c>
      <c r="E15" s="174">
        <f>+D15*C15</f>
        <v>9395.9641649999994</v>
      </c>
      <c r="F15" s="175">
        <f>+E15/30</f>
        <v>313.19880549999999</v>
      </c>
      <c r="G15" s="179" t="s">
        <v>214</v>
      </c>
      <c r="H15" s="177">
        <v>147.16</v>
      </c>
      <c r="I15" s="177" t="s">
        <v>32</v>
      </c>
      <c r="J15" s="150" t="s">
        <v>215</v>
      </c>
      <c r="K15" s="139">
        <v>0</v>
      </c>
      <c r="L15" s="139">
        <v>0</v>
      </c>
      <c r="M15" s="139">
        <v>0</v>
      </c>
      <c r="N15" s="143">
        <v>0</v>
      </c>
      <c r="O15" s="139">
        <v>0</v>
      </c>
      <c r="P15" s="139">
        <v>0</v>
      </c>
      <c r="Q15" s="139">
        <v>0</v>
      </c>
      <c r="R15" s="53">
        <f>COUNTIF(K15:Q15,147.16)</f>
        <v>0</v>
      </c>
      <c r="S15" s="55">
        <f>COUNTIF(R15,6)</f>
        <v>0</v>
      </c>
      <c r="T15" s="139">
        <v>0</v>
      </c>
      <c r="U15" s="139">
        <v>0</v>
      </c>
      <c r="V15" s="139">
        <v>0</v>
      </c>
      <c r="W15" s="143">
        <v>0</v>
      </c>
      <c r="X15" s="139">
        <v>0</v>
      </c>
      <c r="Y15" s="139">
        <v>0</v>
      </c>
      <c r="Z15" s="139">
        <v>0</v>
      </c>
      <c r="AA15" s="139">
        <v>0</v>
      </c>
      <c r="AB15" s="139">
        <v>0</v>
      </c>
      <c r="AC15" s="53">
        <f>COUNTIF(T15:Z15,147.16)</f>
        <v>0</v>
      </c>
      <c r="AD15" s="55">
        <f>COUNTIF(AC15,6)</f>
        <v>0</v>
      </c>
      <c r="AE15" s="159">
        <f>+AD15+S15</f>
        <v>0</v>
      </c>
      <c r="AF15" s="141">
        <f>COUNTIF(K15:AD15,147.16)</f>
        <v>0</v>
      </c>
      <c r="AG15" s="142">
        <f>+AF15+AE15+AJ15+AH15</f>
        <v>0</v>
      </c>
      <c r="AH15" s="143">
        <v>0</v>
      </c>
      <c r="AI15" s="144">
        <v>0</v>
      </c>
      <c r="AJ15" s="155">
        <f>+W15+N15</f>
        <v>0</v>
      </c>
      <c r="AK15" s="138">
        <f>+AB15+Y15+X15+V15+U15+T15+Q15+P15+O15+M15+L15+K15+AA15+Z15</f>
        <v>0</v>
      </c>
      <c r="AL15" s="161">
        <v>147.16</v>
      </c>
      <c r="AM15" s="161">
        <f>H15*AD15</f>
        <v>0</v>
      </c>
      <c r="AN15" s="158">
        <f>+AL15*S15+AM15*AD15</f>
        <v>0</v>
      </c>
      <c r="AO15" s="160">
        <f>+H15</f>
        <v>147.16</v>
      </c>
      <c r="AP15" s="145">
        <f>+H15/8</f>
        <v>18.395</v>
      </c>
      <c r="AQ15" s="138">
        <f>+AO15*AJ15</f>
        <v>0</v>
      </c>
      <c r="AR15" s="138">
        <f>+AP15*AI15</f>
        <v>0</v>
      </c>
      <c r="AS15" s="138">
        <f>+AH15*H15</f>
        <v>0</v>
      </c>
      <c r="AT15" s="138">
        <f>+AL15*N15+AM15*W15</f>
        <v>0</v>
      </c>
      <c r="AU15" s="146">
        <f>+AG15</f>
        <v>0</v>
      </c>
      <c r="AV15" s="146">
        <f>+B15</f>
        <v>313.19880549999999</v>
      </c>
      <c r="AW15" s="146">
        <v>124</v>
      </c>
      <c r="AX15" s="147">
        <v>0.85714199999999996</v>
      </c>
      <c r="AY15" s="146">
        <f>AU15*AV15</f>
        <v>0</v>
      </c>
      <c r="AZ15" s="146">
        <f>+AY15-BI15</f>
        <v>0</v>
      </c>
      <c r="BA15" s="146">
        <f>AU15*AW15*AX15</f>
        <v>0</v>
      </c>
      <c r="BB15" s="148">
        <v>0.83330000000000004</v>
      </c>
      <c r="BC15" s="148">
        <f>+AN15+AK15</f>
        <v>0</v>
      </c>
      <c r="BD15" s="142">
        <f>+BJ15-BC15</f>
        <v>0</v>
      </c>
      <c r="BE15" s="170">
        <f>+AY15</f>
        <v>0</v>
      </c>
      <c r="BF15" s="170">
        <v>0</v>
      </c>
      <c r="BG15" s="170">
        <f>BK15*5%</f>
        <v>0</v>
      </c>
      <c r="BH15" s="171">
        <f>+BE15/12</f>
        <v>0</v>
      </c>
      <c r="BI15" s="158">
        <f>+BH15</f>
        <v>0</v>
      </c>
      <c r="BJ15" s="172">
        <f>BE15</f>
        <v>0</v>
      </c>
      <c r="BK15" s="140">
        <f>+BJ15-BI15</f>
        <v>0</v>
      </c>
      <c r="BL15" s="152">
        <v>5</v>
      </c>
      <c r="BM15" s="139">
        <v>0</v>
      </c>
      <c r="BN15" s="170">
        <f>+BJ15-BM15</f>
        <v>0</v>
      </c>
      <c r="BO15" s="151">
        <v>0</v>
      </c>
      <c r="BP15" s="196">
        <f>+BN15+BO15+AR15-BG15</f>
        <v>0</v>
      </c>
      <c r="BQ15" s="72">
        <f>+A15</f>
        <v>1</v>
      </c>
    </row>
    <row r="16" spans="1:69" ht="10.8" thickTop="1" x14ac:dyDescent="0.2">
      <c r="I16" s="209">
        <f>COUNTIF(I15,"F")</f>
        <v>0</v>
      </c>
    </row>
    <row r="18" spans="7:67" x14ac:dyDescent="0.2">
      <c r="BB18">
        <v>3570.2</v>
      </c>
    </row>
    <row r="26" spans="7:67" x14ac:dyDescent="0.2">
      <c r="G26" s="156"/>
      <c r="H26" s="1258"/>
      <c r="I26" s="1258"/>
      <c r="J26" s="1258"/>
      <c r="K26" s="1258"/>
      <c r="L26" s="1258"/>
      <c r="M26" s="1258"/>
      <c r="N26" s="156"/>
      <c r="O26" s="156"/>
      <c r="P26" s="156"/>
      <c r="T26" t="s">
        <v>150</v>
      </c>
      <c r="AT26" t="s">
        <v>121</v>
      </c>
    </row>
    <row r="27" spans="7:67" x14ac:dyDescent="0.2">
      <c r="G27" s="1259" t="s">
        <v>101</v>
      </c>
      <c r="H27" s="1259"/>
      <c r="I27" s="1259"/>
      <c r="J27" s="1259"/>
      <c r="K27" s="1259"/>
      <c r="L27" s="1259"/>
      <c r="M27" s="1259"/>
      <c r="N27" s="1259"/>
      <c r="O27" s="1259"/>
      <c r="P27" s="156"/>
      <c r="Q27" s="34"/>
      <c r="R27" s="34"/>
      <c r="S27" s="34"/>
      <c r="T27" s="34"/>
      <c r="U27" s="1251" t="s">
        <v>102</v>
      </c>
      <c r="V27" s="1251"/>
      <c r="W27" s="1251"/>
      <c r="X27" s="1251"/>
      <c r="Y27" s="1251"/>
      <c r="Z27" s="1251"/>
      <c r="AA27" s="1251"/>
      <c r="AB27" s="1251"/>
      <c r="AC27" s="1251"/>
      <c r="AD27" s="1251"/>
      <c r="AE27" s="37"/>
      <c r="AF27" s="37"/>
      <c r="AG27" s="37"/>
      <c r="AH27" s="37"/>
      <c r="AI27" s="37"/>
      <c r="AJ27" s="37"/>
      <c r="AK27" s="37"/>
      <c r="AT27" s="1251" t="s">
        <v>103</v>
      </c>
      <c r="AU27" s="1251"/>
      <c r="AV27" s="1251"/>
      <c r="AW27" s="1251"/>
      <c r="AX27" s="1251"/>
      <c r="AY27" s="1251"/>
      <c r="AZ27" s="1251"/>
      <c r="BA27" s="1251"/>
      <c r="BB27" s="1251"/>
      <c r="BC27" s="1251"/>
      <c r="BD27" s="1251"/>
      <c r="BE27" s="1251"/>
      <c r="BF27" s="1251"/>
      <c r="BG27" s="1251"/>
      <c r="BH27" s="1251"/>
      <c r="BI27" s="1251"/>
      <c r="BJ27" s="1251"/>
      <c r="BK27" s="1251"/>
      <c r="BL27" s="1251"/>
      <c r="BM27" s="1251"/>
      <c r="BN27" s="1251"/>
    </row>
    <row r="28" spans="7:67" x14ac:dyDescent="0.2">
      <c r="G28" s="1250" t="s">
        <v>209</v>
      </c>
      <c r="H28" s="1250"/>
      <c r="I28" s="1250"/>
      <c r="J28" s="1250"/>
      <c r="K28" s="1250"/>
      <c r="L28" s="1250"/>
      <c r="M28" s="1250"/>
      <c r="N28" s="1250"/>
      <c r="O28" s="1250"/>
      <c r="P28" s="156"/>
      <c r="Q28" s="34"/>
      <c r="R28" s="34"/>
      <c r="S28" s="34"/>
      <c r="T28" s="34"/>
      <c r="U28" s="37" t="s">
        <v>112</v>
      </c>
      <c r="V28" s="37"/>
      <c r="W28" s="37"/>
      <c r="X28" s="37"/>
      <c r="Y28" s="37"/>
      <c r="Z28" s="37"/>
      <c r="AA28" s="37"/>
      <c r="AB28" s="37"/>
      <c r="AC28" s="37"/>
      <c r="AD28" s="37"/>
      <c r="AE28" s="34"/>
      <c r="AF28" s="34"/>
      <c r="AG28" s="34"/>
      <c r="AT28" s="1251" t="s">
        <v>104</v>
      </c>
      <c r="AU28" s="1251"/>
      <c r="AV28" s="1251"/>
      <c r="AW28" s="1251"/>
      <c r="AX28" s="1251"/>
      <c r="AY28" s="1251"/>
      <c r="AZ28" s="1251"/>
      <c r="BA28" s="1251"/>
      <c r="BB28" s="1251"/>
      <c r="BC28" s="1251"/>
      <c r="BD28" s="1251"/>
      <c r="BE28" s="1251"/>
      <c r="BF28" s="1251"/>
      <c r="BG28" s="1251"/>
      <c r="BH28" s="1251"/>
      <c r="BI28" s="1251"/>
      <c r="BJ28" s="1251"/>
      <c r="BK28" s="1251"/>
      <c r="BL28" s="1251"/>
      <c r="BM28" s="1251"/>
      <c r="BN28" s="1251"/>
      <c r="BO28" s="1251"/>
    </row>
  </sheetData>
  <protectedRanges>
    <protectedRange sqref="AH15:AI15" name="Nomina2_3_1"/>
  </protectedRanges>
  <mergeCells count="76">
    <mergeCell ref="I12:I14"/>
    <mergeCell ref="A6:BQ6"/>
    <mergeCell ref="G28:O28"/>
    <mergeCell ref="AT28:BO28"/>
    <mergeCell ref="C12:C14"/>
    <mergeCell ref="D12:D14"/>
    <mergeCell ref="E12:E14"/>
    <mergeCell ref="F12:F14"/>
    <mergeCell ref="BP12:BP14"/>
    <mergeCell ref="BQ12:BQ14"/>
    <mergeCell ref="H26:M26"/>
    <mergeCell ref="G27:O27"/>
    <mergeCell ref="U27:AD27"/>
    <mergeCell ref="AT27:BN27"/>
    <mergeCell ref="BH12:BH14"/>
    <mergeCell ref="BI12:BI14"/>
    <mergeCell ref="BJ12:BJ14"/>
    <mergeCell ref="BK12:BM13"/>
    <mergeCell ref="BN12:BN14"/>
    <mergeCell ref="BO12:BO14"/>
    <mergeCell ref="AX12:AX14"/>
    <mergeCell ref="AY12:AY14"/>
    <mergeCell ref="AZ12:AZ14"/>
    <mergeCell ref="BA12:BA14"/>
    <mergeCell ref="BB12:BB14"/>
    <mergeCell ref="BE12:BE14"/>
    <mergeCell ref="BD12:BD14"/>
    <mergeCell ref="BC12:BC14"/>
    <mergeCell ref="BG12:BG14"/>
    <mergeCell ref="AW12:AW14"/>
    <mergeCell ref="AL12:AL14"/>
    <mergeCell ref="AM12:AM14"/>
    <mergeCell ref="AN12:AN14"/>
    <mergeCell ref="AO12:AO14"/>
    <mergeCell ref="AP12:AP14"/>
    <mergeCell ref="AQ12:AQ14"/>
    <mergeCell ref="AR12:AR14"/>
    <mergeCell ref="AS12:AS14"/>
    <mergeCell ref="AT12:AT14"/>
    <mergeCell ref="AU12:AU14"/>
    <mergeCell ref="AV12:AV14"/>
    <mergeCell ref="AK12:AK14"/>
    <mergeCell ref="X12:X13"/>
    <mergeCell ref="Y12:Y13"/>
    <mergeCell ref="AB12:AB13"/>
    <mergeCell ref="AC12:AC14"/>
    <mergeCell ref="AD12:AD14"/>
    <mergeCell ref="AE12:AE14"/>
    <mergeCell ref="AF12:AF14"/>
    <mergeCell ref="AG12:AG14"/>
    <mergeCell ref="AH12:AH14"/>
    <mergeCell ref="AI12:AI14"/>
    <mergeCell ref="AJ12:AJ14"/>
    <mergeCell ref="Z12:Z13"/>
    <mergeCell ref="AA12:AA13"/>
    <mergeCell ref="R12:R14"/>
    <mergeCell ref="S12:S14"/>
    <mergeCell ref="T12:T13"/>
    <mergeCell ref="U12:U13"/>
    <mergeCell ref="V12:V13"/>
    <mergeCell ref="A3:BQ3"/>
    <mergeCell ref="A4:BQ4"/>
    <mergeCell ref="A5:BQ5"/>
    <mergeCell ref="A12:A14"/>
    <mergeCell ref="B12:B14"/>
    <mergeCell ref="G12:G14"/>
    <mergeCell ref="H12:H14"/>
    <mergeCell ref="J12:J14"/>
    <mergeCell ref="K12:K13"/>
    <mergeCell ref="W12:W13"/>
    <mergeCell ref="L12:L13"/>
    <mergeCell ref="M12:M13"/>
    <mergeCell ref="N12:N13"/>
    <mergeCell ref="O12:O13"/>
    <mergeCell ref="P12:P13"/>
    <mergeCell ref="Q12:Q13"/>
  </mergeCells>
  <printOptions horizontalCentered="1" verticalCentered="1"/>
  <pageMargins left="0" right="0" top="0.74803149606299213" bottom="0.74803149606299213" header="0.31496062992125984" footer="0.31496062992125984"/>
  <pageSetup paperSize="5" scale="65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6482-805F-402A-9EDF-28473B370A9B}">
  <sheetPr>
    <tabColor rgb="FF0070C0"/>
    <pageSetUpPr fitToPage="1"/>
  </sheetPr>
  <dimension ref="A2:AI58"/>
  <sheetViews>
    <sheetView topLeftCell="A16" zoomScale="40" zoomScaleNormal="40" zoomScaleSheetLayoutView="50" workbookViewId="0">
      <selection activeCell="Z12" sqref="Z12"/>
    </sheetView>
  </sheetViews>
  <sheetFormatPr baseColWidth="10" defaultColWidth="9.85546875" defaultRowHeight="13.8" x14ac:dyDescent="0.2"/>
  <cols>
    <col min="1" max="1" width="6" style="818" customWidth="1"/>
    <col min="2" max="2" width="8.42578125" style="818" customWidth="1"/>
    <col min="3" max="3" width="4.85546875" style="818" customWidth="1"/>
    <col min="4" max="4" width="38.140625" style="818" customWidth="1"/>
    <col min="5" max="5" width="8.28515625" style="818" customWidth="1"/>
    <col min="6" max="6" width="23.42578125" style="832" customWidth="1"/>
    <col min="7" max="8" width="23.42578125" style="830" hidden="1" customWidth="1"/>
    <col min="9" max="9" width="23.42578125" style="830" customWidth="1"/>
    <col min="10" max="10" width="29.140625" style="818" customWidth="1"/>
    <col min="11" max="11" width="27" style="818" customWidth="1"/>
    <col min="12" max="12" width="23.140625" style="978" customWidth="1"/>
    <col min="13" max="13" width="21" style="978" hidden="1" customWidth="1"/>
    <col min="14" max="14" width="21.28515625" style="978" hidden="1" customWidth="1"/>
    <col min="15" max="15" width="5" style="978" hidden="1" customWidth="1"/>
    <col min="16" max="16" width="25.7109375" style="818" customWidth="1"/>
    <col min="17" max="17" width="21.7109375" style="818" customWidth="1"/>
    <col min="18" max="18" width="20.28515625" style="818" customWidth="1"/>
    <col min="19" max="19" width="25.7109375" style="818" customWidth="1"/>
    <col min="20" max="20" width="24.42578125" style="818" customWidth="1"/>
    <col min="21" max="21" width="22.42578125" style="818" customWidth="1"/>
    <col min="22" max="22" width="21" style="797" hidden="1" customWidth="1"/>
    <col min="23" max="23" width="24.85546875" style="818" customWidth="1"/>
    <col min="24" max="24" width="47" style="818" customWidth="1"/>
    <col min="25" max="25" width="16.28515625" style="818" hidden="1" customWidth="1"/>
    <col min="26" max="26" width="45.85546875" style="818" customWidth="1"/>
    <col min="27" max="27" width="47.140625" style="818" customWidth="1"/>
    <col min="28" max="28" width="35.42578125" style="818" hidden="1" customWidth="1"/>
    <col min="29" max="29" width="35.85546875" style="818" hidden="1" customWidth="1"/>
    <col min="30" max="30" width="68.140625" style="818" customWidth="1"/>
    <col min="31" max="31" width="25" style="818" customWidth="1"/>
    <col min="32" max="32" width="25.7109375" style="818" customWidth="1"/>
    <col min="33" max="33" width="26" style="818" customWidth="1"/>
    <col min="34" max="34" width="24.28515625" style="818" customWidth="1"/>
    <col min="35" max="35" width="27" style="818" customWidth="1"/>
    <col min="36" max="36" width="36" style="818" customWidth="1"/>
    <col min="37" max="16384" width="9.85546875" style="818"/>
  </cols>
  <sheetData>
    <row r="2" spans="1:35" s="797" customFormat="1" ht="34.799999999999997" x14ac:dyDescent="0.2">
      <c r="A2" s="1263" t="s">
        <v>0</v>
      </c>
      <c r="B2" s="1263"/>
      <c r="C2" s="1263"/>
      <c r="D2" s="1263"/>
      <c r="E2" s="1263"/>
      <c r="F2" s="1263"/>
      <c r="G2" s="1263"/>
      <c r="H2" s="1263"/>
      <c r="I2" s="1263"/>
      <c r="J2" s="1263"/>
      <c r="K2" s="1263"/>
      <c r="L2" s="1263"/>
      <c r="M2" s="1263"/>
      <c r="N2" s="1263"/>
      <c r="O2" s="1263"/>
      <c r="P2" s="1263"/>
      <c r="Q2" s="1263"/>
      <c r="R2" s="1263"/>
      <c r="S2" s="1263"/>
      <c r="T2" s="1263"/>
      <c r="U2" s="1263"/>
      <c r="V2" s="1263"/>
      <c r="W2" s="1263"/>
      <c r="X2" s="1263"/>
      <c r="Y2" s="1263"/>
      <c r="Z2" s="1263"/>
      <c r="AA2" s="1263"/>
      <c r="AB2" s="1263"/>
      <c r="AC2" s="1263"/>
      <c r="AD2" s="1263"/>
      <c r="AE2" s="1263"/>
      <c r="AF2" s="1263"/>
      <c r="AG2" s="1263"/>
      <c r="AH2" s="1263"/>
      <c r="AI2" s="1263"/>
    </row>
    <row r="3" spans="1:35" s="797" customFormat="1" ht="34.799999999999997" x14ac:dyDescent="0.2">
      <c r="A3" s="1263" t="s">
        <v>1</v>
      </c>
      <c r="B3" s="1263"/>
      <c r="C3" s="1263"/>
      <c r="D3" s="1263"/>
      <c r="E3" s="1263"/>
      <c r="F3" s="1263"/>
      <c r="G3" s="1263"/>
      <c r="H3" s="1263"/>
      <c r="I3" s="1263"/>
      <c r="J3" s="1263"/>
      <c r="K3" s="1263"/>
      <c r="L3" s="1263"/>
      <c r="M3" s="1263"/>
      <c r="N3" s="1263"/>
      <c r="O3" s="1263"/>
      <c r="P3" s="1263"/>
      <c r="Q3" s="1263"/>
      <c r="R3" s="1263"/>
      <c r="S3" s="1263"/>
      <c r="T3" s="1263"/>
      <c r="U3" s="1263"/>
      <c r="V3" s="1263"/>
      <c r="W3" s="1263"/>
      <c r="X3" s="1263"/>
      <c r="Y3" s="1263"/>
      <c r="Z3" s="1263"/>
      <c r="AA3" s="1263"/>
      <c r="AB3" s="1263"/>
      <c r="AC3" s="1263"/>
      <c r="AD3" s="1263"/>
      <c r="AE3" s="1263"/>
      <c r="AF3" s="1263"/>
      <c r="AG3" s="1263"/>
      <c r="AH3" s="1263"/>
      <c r="AI3" s="1263"/>
    </row>
    <row r="4" spans="1:35" s="797" customFormat="1" ht="34.799999999999997" x14ac:dyDescent="0.2">
      <c r="A4" s="1263" t="s">
        <v>202</v>
      </c>
      <c r="B4" s="1263"/>
      <c r="C4" s="1263"/>
      <c r="D4" s="1263"/>
      <c r="E4" s="1263"/>
      <c r="F4" s="1263"/>
      <c r="G4" s="1263"/>
      <c r="H4" s="1263"/>
      <c r="I4" s="1263"/>
      <c r="J4" s="1263"/>
      <c r="K4" s="1263"/>
      <c r="L4" s="1263"/>
      <c r="M4" s="1263"/>
      <c r="N4" s="1263"/>
      <c r="O4" s="1263"/>
      <c r="P4" s="1263"/>
      <c r="Q4" s="1263"/>
      <c r="R4" s="1263"/>
      <c r="S4" s="1263"/>
      <c r="T4" s="1263"/>
      <c r="U4" s="1263"/>
      <c r="V4" s="1263"/>
      <c r="W4" s="1263"/>
      <c r="X4" s="1263"/>
      <c r="Y4" s="1263"/>
      <c r="Z4" s="1263"/>
      <c r="AA4" s="1263"/>
      <c r="AB4" s="1263"/>
      <c r="AC4" s="1263"/>
      <c r="AD4" s="1263"/>
      <c r="AE4" s="1263"/>
      <c r="AF4" s="1263"/>
      <c r="AG4" s="1263"/>
      <c r="AH4" s="1263"/>
      <c r="AI4" s="1263"/>
    </row>
    <row r="5" spans="1:35" s="797" customFormat="1" ht="34.200000000000003" customHeight="1" x14ac:dyDescent="0.55000000000000004">
      <c r="A5" s="1264" t="s">
        <v>538</v>
      </c>
      <c r="B5" s="1264"/>
      <c r="C5" s="1264"/>
      <c r="D5" s="1264"/>
      <c r="E5" s="1264"/>
      <c r="F5" s="1264"/>
      <c r="G5" s="1264"/>
      <c r="H5" s="1264"/>
      <c r="I5" s="1264"/>
      <c r="J5" s="1264"/>
      <c r="K5" s="1264"/>
      <c r="L5" s="1264"/>
      <c r="M5" s="1264"/>
      <c r="N5" s="1264"/>
      <c r="O5" s="1264"/>
      <c r="P5" s="1264"/>
      <c r="Q5" s="1264"/>
      <c r="R5" s="1264"/>
      <c r="S5" s="1264"/>
      <c r="T5" s="1264"/>
      <c r="U5" s="1264"/>
      <c r="V5" s="1264"/>
      <c r="W5" s="1264"/>
      <c r="X5" s="1264"/>
      <c r="Y5" s="1264"/>
      <c r="Z5" s="1264"/>
      <c r="AA5" s="1264"/>
      <c r="AB5" s="1264"/>
      <c r="AC5" s="1264"/>
      <c r="AD5" s="1264"/>
      <c r="AE5" s="1264"/>
      <c r="AF5" s="1264"/>
      <c r="AG5" s="1264"/>
      <c r="AH5" s="1264"/>
      <c r="AI5" s="1264"/>
    </row>
    <row r="6" spans="1:35" s="797" customFormat="1" ht="21" customHeight="1" thickBot="1" x14ac:dyDescent="0.35">
      <c r="A6" s="769">
        <v>15</v>
      </c>
      <c r="B6" s="769"/>
      <c r="C6" s="769"/>
      <c r="D6" s="769"/>
      <c r="E6" s="769"/>
      <c r="F6" s="769"/>
      <c r="G6" s="770"/>
      <c r="H6" s="770"/>
      <c r="I6" s="770"/>
      <c r="J6" s="769"/>
      <c r="K6" s="769"/>
      <c r="L6" s="769"/>
      <c r="M6" s="769"/>
      <c r="N6" s="769"/>
      <c r="O6" s="769"/>
      <c r="P6" s="771" t="s">
        <v>226</v>
      </c>
      <c r="Q6" s="771"/>
      <c r="R6" s="771"/>
      <c r="S6" s="771"/>
      <c r="T6" s="769"/>
      <c r="U6" s="769"/>
      <c r="V6" s="769"/>
      <c r="W6" s="769"/>
      <c r="X6" s="769"/>
      <c r="Y6" s="769"/>
      <c r="Z6" s="769"/>
      <c r="AA6" s="769"/>
      <c r="AB6" s="769"/>
      <c r="AC6" s="769"/>
      <c r="AD6" s="769"/>
      <c r="AE6" s="769"/>
      <c r="AF6" s="769"/>
      <c r="AG6" s="769"/>
      <c r="AH6" s="769"/>
      <c r="AI6" s="769"/>
    </row>
    <row r="7" spans="1:35" s="768" customFormat="1" ht="22.5" customHeight="1" thickTop="1" thickBot="1" x14ac:dyDescent="0.25">
      <c r="A7" s="1265" t="s">
        <v>2</v>
      </c>
      <c r="B7" s="1265" t="s">
        <v>3</v>
      </c>
      <c r="C7" s="1267" t="s">
        <v>294</v>
      </c>
      <c r="D7" s="1265" t="s">
        <v>6</v>
      </c>
      <c r="E7" s="1269" t="s">
        <v>187</v>
      </c>
      <c r="F7" s="1265" t="s">
        <v>7</v>
      </c>
      <c r="G7" s="1294" t="s">
        <v>126</v>
      </c>
      <c r="H7" s="1174" t="s">
        <v>125</v>
      </c>
      <c r="I7" s="1174" t="s">
        <v>514</v>
      </c>
      <c r="J7" s="1265" t="s">
        <v>8</v>
      </c>
      <c r="K7" s="1279" t="s">
        <v>9</v>
      </c>
      <c r="L7" s="1279"/>
      <c r="M7" s="1279"/>
      <c r="N7" s="1279"/>
      <c r="O7" s="1279"/>
      <c r="P7" s="1279"/>
      <c r="Q7" s="772"/>
      <c r="R7" s="772"/>
      <c r="S7" s="772"/>
      <c r="T7" s="1265" t="s">
        <v>10</v>
      </c>
      <c r="U7" s="1265"/>
      <c r="V7" s="1265"/>
      <c r="W7" s="1265"/>
      <c r="X7" s="1278" t="s">
        <v>268</v>
      </c>
      <c r="Y7" s="1265" t="s">
        <v>31</v>
      </c>
      <c r="Z7" s="1280" t="s">
        <v>224</v>
      </c>
      <c r="AA7" s="1290" t="s">
        <v>73</v>
      </c>
      <c r="AB7" s="1290" t="s">
        <v>99</v>
      </c>
      <c r="AC7" s="1278" t="s">
        <v>193</v>
      </c>
      <c r="AD7" s="1265" t="s">
        <v>12</v>
      </c>
      <c r="AE7" s="1265" t="s">
        <v>50</v>
      </c>
      <c r="AF7" s="1265" t="s">
        <v>14</v>
      </c>
      <c r="AG7" s="1265" t="s">
        <v>199</v>
      </c>
      <c r="AH7" s="1265" t="s">
        <v>252</v>
      </c>
      <c r="AI7" s="1265" t="s">
        <v>15</v>
      </c>
    </row>
    <row r="8" spans="1:35" s="773" customFormat="1" ht="27.75" customHeight="1" thickTop="1" thickBot="1" x14ac:dyDescent="0.25">
      <c r="A8" s="1265"/>
      <c r="B8" s="1265"/>
      <c r="C8" s="1267"/>
      <c r="D8" s="1265"/>
      <c r="E8" s="1270"/>
      <c r="F8" s="1265"/>
      <c r="G8" s="1294"/>
      <c r="H8" s="1175"/>
      <c r="I8" s="1175"/>
      <c r="J8" s="1265"/>
      <c r="K8" s="1265" t="s">
        <v>177</v>
      </c>
      <c r="L8" s="1272" t="s">
        <v>16</v>
      </c>
      <c r="M8" s="1275" t="s">
        <v>511</v>
      </c>
      <c r="N8" s="1275" t="s">
        <v>512</v>
      </c>
      <c r="O8" s="1275" t="s">
        <v>513</v>
      </c>
      <c r="P8" s="1273" t="s">
        <v>200</v>
      </c>
      <c r="Q8" s="1273" t="s">
        <v>199</v>
      </c>
      <c r="R8" s="1273" t="s">
        <v>290</v>
      </c>
      <c r="S8" s="1273" t="s">
        <v>291</v>
      </c>
      <c r="T8" s="1265" t="s">
        <v>18</v>
      </c>
      <c r="U8" s="1265" t="s">
        <v>19</v>
      </c>
      <c r="V8" s="1266"/>
      <c r="W8" s="1296" t="s">
        <v>20</v>
      </c>
      <c r="X8" s="1278"/>
      <c r="Y8" s="1265"/>
      <c r="Z8" s="1280"/>
      <c r="AA8" s="1291"/>
      <c r="AB8" s="1291"/>
      <c r="AC8" s="1278"/>
      <c r="AD8" s="1265"/>
      <c r="AE8" s="1265"/>
      <c r="AF8" s="1265"/>
      <c r="AG8" s="1265"/>
      <c r="AH8" s="1265"/>
      <c r="AI8" s="1265"/>
    </row>
    <row r="9" spans="1:35" s="773" customFormat="1" ht="35.25" customHeight="1" thickTop="1" thickBot="1" x14ac:dyDescent="0.25">
      <c r="A9" s="1266"/>
      <c r="B9" s="1266"/>
      <c r="C9" s="1268"/>
      <c r="D9" s="1265"/>
      <c r="E9" s="1271"/>
      <c r="F9" s="1265"/>
      <c r="G9" s="1294"/>
      <c r="H9" s="1176"/>
      <c r="I9" s="1176"/>
      <c r="J9" s="1265"/>
      <c r="K9" s="1265"/>
      <c r="L9" s="1272"/>
      <c r="M9" s="1276"/>
      <c r="N9" s="1276"/>
      <c r="O9" s="1276"/>
      <c r="P9" s="1273"/>
      <c r="Q9" s="1273"/>
      <c r="R9" s="1273"/>
      <c r="S9" s="1273"/>
      <c r="T9" s="1265"/>
      <c r="U9" s="1265"/>
      <c r="V9" s="1295"/>
      <c r="W9" s="1296"/>
      <c r="X9" s="1278"/>
      <c r="Y9" s="1265"/>
      <c r="Z9" s="1280"/>
      <c r="AA9" s="1292"/>
      <c r="AB9" s="1292"/>
      <c r="AC9" s="1278"/>
      <c r="AD9" s="1265"/>
      <c r="AE9" s="1265"/>
      <c r="AF9" s="1265"/>
      <c r="AG9" s="1265"/>
      <c r="AH9" s="1265"/>
      <c r="AI9" s="1265"/>
    </row>
    <row r="10" spans="1:35" s="14" customFormat="1" ht="37.950000000000003" customHeight="1" thickTop="1" thickBot="1" x14ac:dyDescent="0.25">
      <c r="A10" s="870"/>
      <c r="B10" s="871"/>
      <c r="C10" s="872"/>
      <c r="D10" s="1297" t="s">
        <v>421</v>
      </c>
      <c r="E10" s="1298"/>
      <c r="F10" s="1299"/>
      <c r="G10" s="873"/>
      <c r="H10" s="874"/>
      <c r="I10" s="874"/>
      <c r="J10" s="875"/>
      <c r="K10" s="875"/>
      <c r="L10" s="1025"/>
      <c r="M10" s="1025"/>
      <c r="N10" s="1025"/>
      <c r="O10" s="1025"/>
      <c r="P10" s="876"/>
      <c r="Q10" s="876"/>
      <c r="R10" s="876"/>
      <c r="S10" s="876"/>
      <c r="T10" s="875"/>
      <c r="U10" s="875"/>
      <c r="V10" s="983"/>
      <c r="W10" s="876"/>
      <c r="X10" s="875"/>
      <c r="Y10" s="875"/>
      <c r="Z10" s="875"/>
      <c r="AA10" s="875"/>
      <c r="AB10" s="875"/>
      <c r="AC10" s="875"/>
      <c r="AD10" s="875"/>
      <c r="AE10" s="875"/>
      <c r="AF10" s="875"/>
      <c r="AG10" s="875"/>
      <c r="AH10" s="875"/>
      <c r="AI10" s="875"/>
    </row>
    <row r="11" spans="1:35" s="776" customFormat="1" ht="115.2" customHeight="1" thickTop="1" thickBot="1" x14ac:dyDescent="0.6">
      <c r="A11" s="1100">
        <v>1</v>
      </c>
      <c r="B11" s="1101">
        <v>26875888</v>
      </c>
      <c r="C11" s="1102" t="s">
        <v>211</v>
      </c>
      <c r="D11" s="1103" t="s">
        <v>212</v>
      </c>
      <c r="E11" s="1104" t="s">
        <v>188</v>
      </c>
      <c r="F11" s="1104" t="s">
        <v>213</v>
      </c>
      <c r="G11" s="1104">
        <v>227.47</v>
      </c>
      <c r="H11" s="1105">
        <v>36.624299999999998</v>
      </c>
      <c r="I11" s="1105">
        <f t="shared" ref="I11:I16" si="0">+K11/15</f>
        <v>277.6976507</v>
      </c>
      <c r="J11" s="1106">
        <f>+G11*H11</f>
        <v>8330.929521</v>
      </c>
      <c r="K11" s="1106">
        <f>(J11/30)*L11</f>
        <v>4165.4647605</v>
      </c>
      <c r="L11" s="1079">
        <v>15</v>
      </c>
      <c r="M11" s="1026">
        <f>+O11*N11</f>
        <v>0</v>
      </c>
      <c r="N11" s="1026">
        <f>+I11*60%</f>
        <v>166.61859042</v>
      </c>
      <c r="O11" s="1026">
        <v>0</v>
      </c>
      <c r="P11" s="1107">
        <f>+K11-M11</f>
        <v>4165.4647605</v>
      </c>
      <c r="Q11" s="1107"/>
      <c r="R11" s="1107"/>
      <c r="S11" s="1107">
        <f t="shared" ref="S11:S13" si="1">+P11</f>
        <v>4165.4647605</v>
      </c>
      <c r="T11" s="1106">
        <f t="shared" ref="T11:T13" si="2">IF(B11="",0,(P11*7%))</f>
        <v>291.58253323500003</v>
      </c>
      <c r="U11" s="1106"/>
      <c r="V11" s="1106"/>
      <c r="W11" s="1107">
        <f t="shared" ref="W11:W16" si="3">+T11+U11+V11</f>
        <v>291.58253323500003</v>
      </c>
      <c r="X11" s="991">
        <f>+P11-W11</f>
        <v>3873.882227265</v>
      </c>
      <c r="Y11" s="992"/>
      <c r="Z11" s="991">
        <v>500</v>
      </c>
      <c r="AA11" s="1096">
        <f t="shared" ref="AA11:AA17" si="4">+X11-Z11</f>
        <v>3373.882227265</v>
      </c>
      <c r="AB11" s="991">
        <v>500</v>
      </c>
      <c r="AC11" s="993">
        <f>+X11-Z11-AB11</f>
        <v>2873.882227265</v>
      </c>
      <c r="AD11" s="786">
        <f t="shared" ref="AD11:AD16" si="5">+A11</f>
        <v>1</v>
      </c>
      <c r="AE11" s="787">
        <f t="shared" ref="AE11:AE16" si="6">+P11*21.5%</f>
        <v>895.57492350749999</v>
      </c>
      <c r="AF11" s="780">
        <f t="shared" ref="AF11:AF16" si="7">IF(T11&gt;0,P11*2%,0)</f>
        <v>83.309295210000002</v>
      </c>
      <c r="AG11" s="780">
        <f t="shared" ref="AG11:AG16" si="8">+K11/12</f>
        <v>347.12206337499998</v>
      </c>
      <c r="AH11" s="780">
        <f t="shared" ref="AH11:AH19" si="9">+AG11</f>
        <v>347.12206337499998</v>
      </c>
      <c r="AI11" s="780">
        <f t="shared" ref="AI11:AI16" si="10">SUM(P11,AE11:AF11)+AG11+AH11</f>
        <v>5838.5931059674995</v>
      </c>
    </row>
    <row r="12" spans="1:35" s="776" customFormat="1" ht="114" customHeight="1" thickTop="1" thickBot="1" x14ac:dyDescent="0.6">
      <c r="A12" s="1108">
        <v>2</v>
      </c>
      <c r="B12" s="1109">
        <v>40238649</v>
      </c>
      <c r="C12" s="1110" t="s">
        <v>420</v>
      </c>
      <c r="D12" s="1103" t="s">
        <v>399</v>
      </c>
      <c r="E12" s="1104" t="s">
        <v>188</v>
      </c>
      <c r="F12" s="1104" t="s">
        <v>397</v>
      </c>
      <c r="G12" s="1104">
        <v>350</v>
      </c>
      <c r="H12" s="1105">
        <v>36.624299999999998</v>
      </c>
      <c r="I12" s="1105">
        <f t="shared" si="0"/>
        <v>427.28349999999995</v>
      </c>
      <c r="J12" s="1106">
        <f>+G12*H12</f>
        <v>12818.504999999999</v>
      </c>
      <c r="K12" s="1106">
        <f t="shared" ref="K12" si="11">(J12/30)*L12</f>
        <v>6409.2524999999996</v>
      </c>
      <c r="L12" s="1079">
        <v>15</v>
      </c>
      <c r="M12" s="1026">
        <f t="shared" ref="M12:M13" si="12">+O12*N12</f>
        <v>0</v>
      </c>
      <c r="N12" s="1026">
        <f t="shared" ref="N12:N13" si="13">+I12*60%</f>
        <v>256.37009999999998</v>
      </c>
      <c r="O12" s="1026">
        <v>0</v>
      </c>
      <c r="P12" s="1107">
        <f>+K12-M12</f>
        <v>6409.2524999999996</v>
      </c>
      <c r="Q12" s="1107"/>
      <c r="R12" s="1107"/>
      <c r="S12" s="1107">
        <f t="shared" si="1"/>
        <v>6409.2524999999996</v>
      </c>
      <c r="T12" s="1106">
        <f>IF(B12="",0,(P12*7%))</f>
        <v>448.64767499999999</v>
      </c>
      <c r="U12" s="1106">
        <f>+((((P12-T12)*24)-100000)*15%/24)</f>
        <v>269.09072374999994</v>
      </c>
      <c r="V12" s="1106">
        <v>0</v>
      </c>
      <c r="W12" s="1107">
        <f t="shared" si="3"/>
        <v>717.73839874999999</v>
      </c>
      <c r="X12" s="991">
        <f>+P12-W12</f>
        <v>5691.5141012499998</v>
      </c>
      <c r="Y12" s="992"/>
      <c r="Z12" s="991">
        <v>1000</v>
      </c>
      <c r="AA12" s="1096">
        <f t="shared" si="4"/>
        <v>4691.5141012499998</v>
      </c>
      <c r="AB12" s="991"/>
      <c r="AC12" s="993">
        <f t="shared" ref="AC12:AC14" si="14">X12-Z12</f>
        <v>4691.5141012499998</v>
      </c>
      <c r="AD12" s="786">
        <f t="shared" si="5"/>
        <v>2</v>
      </c>
      <c r="AE12" s="787">
        <f t="shared" si="6"/>
        <v>1377.9892874999998</v>
      </c>
      <c r="AF12" s="780">
        <f t="shared" si="7"/>
        <v>128.18504999999999</v>
      </c>
      <c r="AG12" s="780">
        <f t="shared" si="8"/>
        <v>534.104375</v>
      </c>
      <c r="AH12" s="780">
        <f t="shared" si="9"/>
        <v>534.104375</v>
      </c>
      <c r="AI12" s="780">
        <f t="shared" si="10"/>
        <v>8983.6355875000008</v>
      </c>
    </row>
    <row r="13" spans="1:35" s="776" customFormat="1" ht="108" customHeight="1" thickTop="1" thickBot="1" x14ac:dyDescent="0.6">
      <c r="A13" s="1108">
        <v>3</v>
      </c>
      <c r="B13" s="1109">
        <v>17814405</v>
      </c>
      <c r="C13" s="1110" t="s">
        <v>236</v>
      </c>
      <c r="D13" s="1103" t="s">
        <v>72</v>
      </c>
      <c r="E13" s="1104" t="s">
        <v>32</v>
      </c>
      <c r="F13" s="1104" t="s">
        <v>207</v>
      </c>
      <c r="G13" s="1104">
        <v>245.73</v>
      </c>
      <c r="H13" s="1105">
        <v>36.624299999999998</v>
      </c>
      <c r="I13" s="1105">
        <f t="shared" si="0"/>
        <v>339.98826013999991</v>
      </c>
      <c r="J13" s="1106">
        <f>+H13*G13</f>
        <v>8999.6892389999994</v>
      </c>
      <c r="K13" s="1106">
        <f>(J13/30)*L13</f>
        <v>5099.823902099999</v>
      </c>
      <c r="L13" s="1079">
        <v>17</v>
      </c>
      <c r="M13" s="1026">
        <f t="shared" si="12"/>
        <v>0</v>
      </c>
      <c r="N13" s="1026">
        <f t="shared" si="13"/>
        <v>203.99295608399993</v>
      </c>
      <c r="O13" s="1026">
        <v>0</v>
      </c>
      <c r="P13" s="1107">
        <f t="shared" ref="P13" si="15">+K13</f>
        <v>5099.823902099999</v>
      </c>
      <c r="Q13" s="1107"/>
      <c r="R13" s="1107"/>
      <c r="S13" s="1107">
        <f t="shared" si="1"/>
        <v>5099.823902099999</v>
      </c>
      <c r="T13" s="1106">
        <f t="shared" si="2"/>
        <v>356.98767314699995</v>
      </c>
      <c r="U13" s="1106"/>
      <c r="V13" s="1106"/>
      <c r="W13" s="1107">
        <f t="shared" si="3"/>
        <v>356.98767314699995</v>
      </c>
      <c r="X13" s="991">
        <f>+P13-W13</f>
        <v>4742.8362289529987</v>
      </c>
      <c r="Y13" s="992"/>
      <c r="Z13" s="991"/>
      <c r="AA13" s="1096">
        <f t="shared" si="4"/>
        <v>4742.8362289529987</v>
      </c>
      <c r="AB13" s="991"/>
      <c r="AC13" s="993">
        <f t="shared" si="14"/>
        <v>4742.8362289529987</v>
      </c>
      <c r="AD13" s="786">
        <f t="shared" si="5"/>
        <v>3</v>
      </c>
      <c r="AE13" s="787">
        <f t="shared" si="6"/>
        <v>1096.4621389514998</v>
      </c>
      <c r="AF13" s="780">
        <f t="shared" si="7"/>
        <v>101.99647804199998</v>
      </c>
      <c r="AG13" s="780">
        <f t="shared" si="8"/>
        <v>424.9853251749999</v>
      </c>
      <c r="AH13" s="780">
        <f t="shared" si="9"/>
        <v>424.9853251749999</v>
      </c>
      <c r="AI13" s="780">
        <f t="shared" si="10"/>
        <v>7148.2531694434983</v>
      </c>
    </row>
    <row r="14" spans="1:35" s="776" customFormat="1" ht="107.25" customHeight="1" thickTop="1" thickBot="1" x14ac:dyDescent="0.6">
      <c r="A14" s="1111">
        <v>4</v>
      </c>
      <c r="B14" s="1112">
        <v>38675494</v>
      </c>
      <c r="C14" s="1113" t="s">
        <v>248</v>
      </c>
      <c r="D14" s="1114" t="s">
        <v>295</v>
      </c>
      <c r="E14" s="1115" t="s">
        <v>32</v>
      </c>
      <c r="F14" s="1115" t="s">
        <v>245</v>
      </c>
      <c r="G14" s="1104">
        <v>167</v>
      </c>
      <c r="H14" s="1105">
        <v>36.624299999999998</v>
      </c>
      <c r="I14" s="1105">
        <f t="shared" si="0"/>
        <v>203.87533333333334</v>
      </c>
      <c r="J14" s="1106">
        <v>6116.26</v>
      </c>
      <c r="K14" s="1106">
        <f>(J14/30)*L14</f>
        <v>3058.13</v>
      </c>
      <c r="L14" s="1079">
        <v>15</v>
      </c>
      <c r="M14" s="1026">
        <f t="shared" ref="M14:M16" si="16">+O14*N14</f>
        <v>0</v>
      </c>
      <c r="N14" s="1026">
        <f t="shared" ref="N14:N16" si="17">+I14*60%</f>
        <v>122.3252</v>
      </c>
      <c r="O14" s="1026">
        <v>0</v>
      </c>
      <c r="P14" s="1107">
        <f>+K14-Q14-R14</f>
        <v>2548.4416666666666</v>
      </c>
      <c r="Q14" s="1107">
        <f>+K14/12</f>
        <v>254.84416666666667</v>
      </c>
      <c r="R14" s="1107">
        <f>+K14/12</f>
        <v>254.84416666666667</v>
      </c>
      <c r="S14" s="1107">
        <f>P14+Q14+R14</f>
        <v>3058.13</v>
      </c>
      <c r="T14" s="1106">
        <f>+(P14+Q14)*7%</f>
        <v>196.23000833333336</v>
      </c>
      <c r="U14" s="1106"/>
      <c r="V14" s="1106"/>
      <c r="W14" s="1107">
        <f t="shared" si="3"/>
        <v>196.23000833333336</v>
      </c>
      <c r="X14" s="991">
        <f>S14-T14</f>
        <v>2861.8999916666667</v>
      </c>
      <c r="Y14" s="992"/>
      <c r="Z14" s="991">
        <v>0</v>
      </c>
      <c r="AA14" s="1096">
        <f t="shared" si="4"/>
        <v>2861.8999916666667</v>
      </c>
      <c r="AB14" s="991"/>
      <c r="AC14" s="993">
        <f t="shared" si="14"/>
        <v>2861.8999916666667</v>
      </c>
      <c r="AD14" s="786">
        <f t="shared" si="5"/>
        <v>4</v>
      </c>
      <c r="AE14" s="787">
        <f t="shared" si="6"/>
        <v>547.91495833333329</v>
      </c>
      <c r="AF14" s="780">
        <f t="shared" si="7"/>
        <v>50.968833333333336</v>
      </c>
      <c r="AG14" s="780">
        <f t="shared" si="8"/>
        <v>254.84416666666667</v>
      </c>
      <c r="AH14" s="780">
        <f t="shared" ref="AH14:AH15" si="18">+AG14</f>
        <v>254.84416666666667</v>
      </c>
      <c r="AI14" s="780">
        <f t="shared" si="10"/>
        <v>3657.0137916666667</v>
      </c>
    </row>
    <row r="15" spans="1:35" s="776" customFormat="1" ht="121.5" customHeight="1" thickTop="1" thickBot="1" x14ac:dyDescent="0.6">
      <c r="A15" s="1111">
        <v>5</v>
      </c>
      <c r="B15" s="1112">
        <v>12762134</v>
      </c>
      <c r="C15" s="1113" t="s">
        <v>425</v>
      </c>
      <c r="D15" s="1114" t="s">
        <v>350</v>
      </c>
      <c r="E15" s="1115" t="s">
        <v>32</v>
      </c>
      <c r="F15" s="1115" t="s">
        <v>217</v>
      </c>
      <c r="G15" s="1104">
        <v>167</v>
      </c>
      <c r="H15" s="1105">
        <v>36.624299999999998</v>
      </c>
      <c r="I15" s="1105">
        <f t="shared" si="0"/>
        <v>350</v>
      </c>
      <c r="J15" s="1106">
        <v>10500</v>
      </c>
      <c r="K15" s="1106">
        <f>(J15/30)*L15</f>
        <v>5250</v>
      </c>
      <c r="L15" s="1079">
        <v>15</v>
      </c>
      <c r="M15" s="1026">
        <f t="shared" ref="M15" si="19">+O15*N15</f>
        <v>0</v>
      </c>
      <c r="N15" s="1026">
        <f t="shared" ref="N15" si="20">+I15*60%</f>
        <v>210</v>
      </c>
      <c r="O15" s="1026">
        <v>0</v>
      </c>
      <c r="P15" s="1107">
        <f>+K15-Q15-R15</f>
        <v>5250</v>
      </c>
      <c r="Q15" s="1107">
        <v>0</v>
      </c>
      <c r="R15" s="1107">
        <v>0</v>
      </c>
      <c r="S15" s="1107">
        <f>P15+Q15+R15</f>
        <v>5250</v>
      </c>
      <c r="T15" s="1106">
        <f>+(P15+Q15)*7%</f>
        <v>367.50000000000006</v>
      </c>
      <c r="U15" s="1106"/>
      <c r="V15" s="1106">
        <v>0</v>
      </c>
      <c r="W15" s="1107">
        <f t="shared" si="3"/>
        <v>367.50000000000006</v>
      </c>
      <c r="X15" s="991">
        <f>+S15-W15</f>
        <v>4882.5</v>
      </c>
      <c r="Y15" s="992"/>
      <c r="Z15" s="991">
        <v>0</v>
      </c>
      <c r="AA15" s="1096">
        <f t="shared" ref="AA15" si="21">+X15-Z15</f>
        <v>4882.5</v>
      </c>
      <c r="AB15" s="991">
        <v>308</v>
      </c>
      <c r="AC15" s="993">
        <f>+AA15-AB15</f>
        <v>4574.5</v>
      </c>
      <c r="AD15" s="786">
        <f t="shared" si="5"/>
        <v>5</v>
      </c>
      <c r="AE15" s="787">
        <f t="shared" si="6"/>
        <v>1128.75</v>
      </c>
      <c r="AF15" s="780">
        <f t="shared" si="7"/>
        <v>105</v>
      </c>
      <c r="AG15" s="780">
        <f t="shared" si="8"/>
        <v>437.5</v>
      </c>
      <c r="AH15" s="780">
        <f t="shared" si="18"/>
        <v>437.5</v>
      </c>
      <c r="AI15" s="780">
        <f t="shared" si="10"/>
        <v>7358.75</v>
      </c>
    </row>
    <row r="16" spans="1:35" s="776" customFormat="1" ht="121.5" customHeight="1" thickTop="1" thickBot="1" x14ac:dyDescent="0.6">
      <c r="A16" s="1111">
        <v>5</v>
      </c>
      <c r="B16" s="1112"/>
      <c r="C16" s="1113"/>
      <c r="D16" s="1114" t="s">
        <v>525</v>
      </c>
      <c r="E16" s="1115" t="s">
        <v>32</v>
      </c>
      <c r="F16" s="1115" t="s">
        <v>526</v>
      </c>
      <c r="G16" s="1104">
        <v>167</v>
      </c>
      <c r="H16" s="1105">
        <v>36.624299999999998</v>
      </c>
      <c r="I16" s="1105">
        <f t="shared" si="0"/>
        <v>833.33333333333337</v>
      </c>
      <c r="J16" s="1106">
        <v>25000</v>
      </c>
      <c r="K16" s="1106">
        <f>(J16/30)*L16</f>
        <v>12500</v>
      </c>
      <c r="L16" s="1079">
        <v>15</v>
      </c>
      <c r="M16" s="1026">
        <f t="shared" si="16"/>
        <v>0</v>
      </c>
      <c r="N16" s="1026">
        <f t="shared" si="17"/>
        <v>500</v>
      </c>
      <c r="O16" s="1026">
        <v>0</v>
      </c>
      <c r="P16" s="1107">
        <f>+K16-Q16-R16</f>
        <v>12500</v>
      </c>
      <c r="Q16" s="1107">
        <v>0</v>
      </c>
      <c r="R16" s="1107">
        <v>0</v>
      </c>
      <c r="S16" s="1107">
        <f>P16+Q16+R16</f>
        <v>12500</v>
      </c>
      <c r="T16" s="1106">
        <f>+(P16+Q16)*7%</f>
        <v>875.00000000000011</v>
      </c>
      <c r="U16" s="1106">
        <f>+((((P16-T16)*24)-100000)*15%/24)</f>
        <v>1118.75</v>
      </c>
      <c r="V16" s="1106">
        <v>0</v>
      </c>
      <c r="W16" s="1107">
        <f t="shared" si="3"/>
        <v>1993.75</v>
      </c>
      <c r="X16" s="991">
        <f>+S16-W16</f>
        <v>10506.25</v>
      </c>
      <c r="Y16" s="992"/>
      <c r="Z16" s="991">
        <v>0</v>
      </c>
      <c r="AA16" s="1096">
        <f t="shared" si="4"/>
        <v>10506.25</v>
      </c>
      <c r="AB16" s="991">
        <v>0</v>
      </c>
      <c r="AC16" s="993">
        <f>+AA16-AB16</f>
        <v>10506.25</v>
      </c>
      <c r="AD16" s="786">
        <f t="shared" si="5"/>
        <v>5</v>
      </c>
      <c r="AE16" s="787">
        <f t="shared" si="6"/>
        <v>2687.5</v>
      </c>
      <c r="AF16" s="780">
        <f t="shared" si="7"/>
        <v>250</v>
      </c>
      <c r="AG16" s="780">
        <f t="shared" si="8"/>
        <v>1041.6666666666667</v>
      </c>
      <c r="AH16" s="780">
        <f t="shared" si="9"/>
        <v>1041.6666666666667</v>
      </c>
      <c r="AI16" s="780">
        <f t="shared" si="10"/>
        <v>17520.833333333336</v>
      </c>
    </row>
    <row r="17" spans="1:35" s="776" customFormat="1" ht="39.6" customHeight="1" thickTop="1" thickBot="1" x14ac:dyDescent="0.25">
      <c r="A17" s="1282" t="s">
        <v>365</v>
      </c>
      <c r="B17" s="1283"/>
      <c r="C17" s="1283"/>
      <c r="D17" s="1283"/>
      <c r="E17" s="1283"/>
      <c r="F17" s="1284"/>
      <c r="G17" s="1116">
        <f>SUM(G11:G16)</f>
        <v>1324.2</v>
      </c>
      <c r="H17" s="1116">
        <f>SUM(H11:H16)</f>
        <v>219.7458</v>
      </c>
      <c r="I17" s="1116"/>
      <c r="J17" s="1116">
        <f>SUM(J11:J16)</f>
        <v>71765.383759999997</v>
      </c>
      <c r="K17" s="1117">
        <f>SUM(K11:K16)</f>
        <v>36482.671162600003</v>
      </c>
      <c r="L17" s="1118">
        <f>SUM(L11:L16)</f>
        <v>92</v>
      </c>
      <c r="M17" s="1118"/>
      <c r="N17" s="1118"/>
      <c r="O17" s="1118"/>
      <c r="P17" s="1117">
        <f t="shared" ref="P17:Z17" si="22">SUM(P11:P16)</f>
        <v>35972.982829266664</v>
      </c>
      <c r="Q17" s="1117">
        <f t="shared" si="22"/>
        <v>254.84416666666667</v>
      </c>
      <c r="R17" s="1117">
        <f t="shared" si="22"/>
        <v>254.84416666666667</v>
      </c>
      <c r="S17" s="1117">
        <f t="shared" si="22"/>
        <v>36482.671162600003</v>
      </c>
      <c r="T17" s="1117">
        <f t="shared" si="22"/>
        <v>2535.9478897153335</v>
      </c>
      <c r="U17" s="1117">
        <f t="shared" si="22"/>
        <v>1387.8407237500001</v>
      </c>
      <c r="V17" s="1118">
        <f t="shared" si="22"/>
        <v>0</v>
      </c>
      <c r="W17" s="1117">
        <f t="shared" si="22"/>
        <v>3923.7886134653336</v>
      </c>
      <c r="X17" s="994">
        <f t="shared" si="22"/>
        <v>32558.882549134665</v>
      </c>
      <c r="Y17" s="994">
        <f t="shared" si="22"/>
        <v>0</v>
      </c>
      <c r="Z17" s="994">
        <f t="shared" si="22"/>
        <v>1500</v>
      </c>
      <c r="AA17" s="1097">
        <f t="shared" si="4"/>
        <v>31058.882549134665</v>
      </c>
      <c r="AB17" s="994">
        <f>SUM(AB11:AB16)</f>
        <v>808</v>
      </c>
      <c r="AC17" s="994">
        <f>SUM(AC11:AC16)</f>
        <v>30250.882549134665</v>
      </c>
      <c r="AD17" s="790"/>
      <c r="AE17" s="791">
        <f>SUM(AE11:AE16)</f>
        <v>7734.1913082923329</v>
      </c>
      <c r="AF17" s="791">
        <f>SUM(AF11:AF16)</f>
        <v>719.45965658533328</v>
      </c>
      <c r="AG17" s="791">
        <f>SUM(AG11:AG16)</f>
        <v>3040.2225968833336</v>
      </c>
      <c r="AH17" s="791">
        <f>SUM(AH11:AH16)</f>
        <v>3040.2225968833336</v>
      </c>
      <c r="AI17" s="791">
        <f>SUM(AI11:AI16)</f>
        <v>50507.078987911002</v>
      </c>
    </row>
    <row r="18" spans="1:35" s="776" customFormat="1" ht="30.6" customHeight="1" thickTop="1" thickBot="1" x14ac:dyDescent="0.25">
      <c r="A18" s="1119"/>
      <c r="B18" s="1120"/>
      <c r="C18" s="1121"/>
      <c r="D18" s="1121" t="s">
        <v>422</v>
      </c>
      <c r="E18" s="1121"/>
      <c r="F18" s="1121"/>
      <c r="G18" s="1122"/>
      <c r="H18" s="1122"/>
      <c r="I18" s="1122"/>
      <c r="J18" s="1122"/>
      <c r="K18" s="1122"/>
      <c r="L18" s="1118"/>
      <c r="M18" s="1118"/>
      <c r="N18" s="1118"/>
      <c r="O18" s="1118"/>
      <c r="P18" s="1122"/>
      <c r="Q18" s="1122"/>
      <c r="R18" s="1122"/>
      <c r="S18" s="1122"/>
      <c r="T18" s="1122"/>
      <c r="U18" s="1122"/>
      <c r="V18" s="1118"/>
      <c r="W18" s="1122"/>
      <c r="X18" s="995"/>
      <c r="Y18" s="995"/>
      <c r="Z18" s="995"/>
      <c r="AA18" s="995"/>
      <c r="AB18" s="995"/>
      <c r="AC18" s="995"/>
      <c r="AD18" s="878"/>
      <c r="AE18" s="879"/>
      <c r="AF18" s="879"/>
      <c r="AG18" s="879"/>
      <c r="AH18" s="879"/>
      <c r="AI18" s="879"/>
    </row>
    <row r="19" spans="1:35" s="776" customFormat="1" ht="100.5" customHeight="1" thickTop="1" thickBot="1" x14ac:dyDescent="0.6">
      <c r="A19" s="1123">
        <v>6</v>
      </c>
      <c r="B19" s="1124">
        <v>35126559</v>
      </c>
      <c r="C19" s="1125" t="s">
        <v>332</v>
      </c>
      <c r="D19" s="1126" t="s">
        <v>331</v>
      </c>
      <c r="E19" s="1127" t="s">
        <v>188</v>
      </c>
      <c r="F19" s="1127" t="s">
        <v>404</v>
      </c>
      <c r="G19" s="1128">
        <v>204.78200000000001</v>
      </c>
      <c r="H19" s="1129">
        <v>36.624299999999998</v>
      </c>
      <c r="I19" s="1129"/>
      <c r="J19" s="1130">
        <f>+H19*G19</f>
        <v>7499.9974026</v>
      </c>
      <c r="K19" s="1106">
        <f>(J19/30)*L19</f>
        <v>3749.9987013</v>
      </c>
      <c r="L19" s="1079">
        <v>15</v>
      </c>
      <c r="M19" s="1026"/>
      <c r="N19" s="1026"/>
      <c r="O19" s="1026"/>
      <c r="P19" s="1107">
        <f>+K19-Q19-R19</f>
        <v>3749.9987013</v>
      </c>
      <c r="Q19" s="1107">
        <v>0</v>
      </c>
      <c r="R19" s="1107">
        <v>0</v>
      </c>
      <c r="S19" s="1107">
        <f>P19+Q19+R19</f>
        <v>3749.9987013</v>
      </c>
      <c r="T19" s="1106">
        <f>+(P19+Q19)*5%</f>
        <v>187.49993506500002</v>
      </c>
      <c r="U19" s="1106"/>
      <c r="V19" s="1106"/>
      <c r="W19" s="1107">
        <f>+T19+U19+V19</f>
        <v>187.49993506500002</v>
      </c>
      <c r="X19" s="991">
        <f>S19-T19</f>
        <v>3562.4987662349999</v>
      </c>
      <c r="Y19" s="992"/>
      <c r="Z19" s="991">
        <v>0</v>
      </c>
      <c r="AA19" s="991">
        <f>+X19-Z19</f>
        <v>3562.4987662349999</v>
      </c>
      <c r="AB19" s="991">
        <v>0</v>
      </c>
      <c r="AC19" s="993">
        <f>+X19-Z19-AB19</f>
        <v>3562.4987662349999</v>
      </c>
      <c r="AD19" s="786">
        <f>+A19</f>
        <v>6</v>
      </c>
      <c r="AE19" s="787">
        <f>+P19*21.5%</f>
        <v>806.24972077949997</v>
      </c>
      <c r="AF19" s="780">
        <f>IF(T19&gt;0,P19*2%,0)</f>
        <v>74.999974026000004</v>
      </c>
      <c r="AG19" s="780">
        <f>+K19/12</f>
        <v>312.49989177499998</v>
      </c>
      <c r="AH19" s="780">
        <f t="shared" si="9"/>
        <v>312.49989177499998</v>
      </c>
      <c r="AI19" s="780">
        <f>SUM(P19,AE19:AF19)+AG19+AH19</f>
        <v>5256.2481796554994</v>
      </c>
    </row>
    <row r="20" spans="1:35" s="776" customFormat="1" ht="52.2" customHeight="1" thickTop="1" thickBot="1" x14ac:dyDescent="0.25">
      <c r="A20" s="1282" t="s">
        <v>426</v>
      </c>
      <c r="B20" s="1285"/>
      <c r="C20" s="1285"/>
      <c r="D20" s="1285"/>
      <c r="E20" s="1285"/>
      <c r="F20" s="1286"/>
      <c r="G20" s="1117"/>
      <c r="H20" s="1131"/>
      <c r="I20" s="1131"/>
      <c r="J20" s="1132">
        <f>SUM(J19)</f>
        <v>7499.9974026</v>
      </c>
      <c r="K20" s="1132">
        <f t="shared" ref="K20:AI20" si="23">SUM(K19)</f>
        <v>3749.9987013</v>
      </c>
      <c r="L20" s="1133">
        <f t="shared" si="23"/>
        <v>15</v>
      </c>
      <c r="M20" s="1133"/>
      <c r="N20" s="1133"/>
      <c r="O20" s="1133"/>
      <c r="P20" s="1132">
        <f t="shared" si="23"/>
        <v>3749.9987013</v>
      </c>
      <c r="Q20" s="1132">
        <f t="shared" si="23"/>
        <v>0</v>
      </c>
      <c r="R20" s="1132">
        <f t="shared" si="23"/>
        <v>0</v>
      </c>
      <c r="S20" s="1132">
        <f t="shared" si="23"/>
        <v>3749.9987013</v>
      </c>
      <c r="T20" s="1132">
        <f t="shared" si="23"/>
        <v>187.49993506500002</v>
      </c>
      <c r="U20" s="1132">
        <f t="shared" si="23"/>
        <v>0</v>
      </c>
      <c r="V20" s="1133">
        <f t="shared" si="23"/>
        <v>0</v>
      </c>
      <c r="W20" s="1132">
        <f t="shared" si="23"/>
        <v>187.49993506500002</v>
      </c>
      <c r="X20" s="996">
        <f t="shared" si="23"/>
        <v>3562.4987662349999</v>
      </c>
      <c r="Y20" s="996">
        <f t="shared" si="23"/>
        <v>0</v>
      </c>
      <c r="Z20" s="996">
        <f t="shared" si="23"/>
        <v>0</v>
      </c>
      <c r="AA20" s="996">
        <f>+X20-Z20</f>
        <v>3562.4987662349999</v>
      </c>
      <c r="AB20" s="996">
        <f>+AB19</f>
        <v>0</v>
      </c>
      <c r="AC20" s="996">
        <f t="shared" si="23"/>
        <v>3562.4987662349999</v>
      </c>
      <c r="AD20" s="795"/>
      <c r="AE20" s="795">
        <f t="shared" si="23"/>
        <v>806.24972077949997</v>
      </c>
      <c r="AF20" s="795">
        <f t="shared" si="23"/>
        <v>74.999974026000004</v>
      </c>
      <c r="AG20" s="795">
        <f t="shared" si="23"/>
        <v>312.49989177499998</v>
      </c>
      <c r="AH20" s="795">
        <f t="shared" si="23"/>
        <v>312.49989177499998</v>
      </c>
      <c r="AI20" s="795">
        <f t="shared" si="23"/>
        <v>5256.2481796554994</v>
      </c>
    </row>
    <row r="21" spans="1:35" s="839" customFormat="1" ht="58.95" customHeight="1" thickTop="1" thickBot="1" x14ac:dyDescent="0.25">
      <c r="A21" s="1287" t="s">
        <v>95</v>
      </c>
      <c r="B21" s="1288"/>
      <c r="C21" s="1288"/>
      <c r="D21" s="1288"/>
      <c r="E21" s="1288"/>
      <c r="F21" s="1289"/>
      <c r="G21" s="1134"/>
      <c r="H21" s="1135"/>
      <c r="I21" s="1135"/>
      <c r="J21" s="1136">
        <f>+J17+J20</f>
        <v>79265.381162599995</v>
      </c>
      <c r="K21" s="1136">
        <f t="shared" ref="K21:AE21" si="24">+K17+K20</f>
        <v>40232.669863900002</v>
      </c>
      <c r="L21" s="1136">
        <f t="shared" si="24"/>
        <v>107</v>
      </c>
      <c r="M21" s="1136"/>
      <c r="N21" s="1136"/>
      <c r="O21" s="1136"/>
      <c r="P21" s="1136">
        <f t="shared" si="24"/>
        <v>39722.981530566663</v>
      </c>
      <c r="Q21" s="1136">
        <f t="shared" si="24"/>
        <v>254.84416666666667</v>
      </c>
      <c r="R21" s="1136">
        <f t="shared" si="24"/>
        <v>254.84416666666667</v>
      </c>
      <c r="S21" s="1136">
        <f t="shared" si="24"/>
        <v>40232.669863900002</v>
      </c>
      <c r="T21" s="1136">
        <f t="shared" si="24"/>
        <v>2723.4478247803336</v>
      </c>
      <c r="U21" s="1136">
        <f t="shared" si="24"/>
        <v>1387.8407237500001</v>
      </c>
      <c r="V21" s="1136">
        <f t="shared" si="24"/>
        <v>0</v>
      </c>
      <c r="W21" s="1136">
        <f t="shared" si="24"/>
        <v>4111.2885485303332</v>
      </c>
      <c r="X21" s="1098">
        <f>+X17+X20</f>
        <v>36121.381315369668</v>
      </c>
      <c r="Y21" s="1099">
        <f t="shared" si="24"/>
        <v>0</v>
      </c>
      <c r="Z21" s="1098">
        <f>+Z17+Z20</f>
        <v>1500</v>
      </c>
      <c r="AA21" s="1098">
        <f>+X21-Z21</f>
        <v>34621.381315369668</v>
      </c>
      <c r="AB21" s="998">
        <f t="shared" si="24"/>
        <v>808</v>
      </c>
      <c r="AC21" s="997">
        <f>+X21-Z21-AB21</f>
        <v>33813.381315369668</v>
      </c>
      <c r="AD21" s="854" t="str">
        <f>+TECNICOS!Z15</f>
        <v>"EL SEÑOR ES MI PASTOR, NADA ME FALTARA"</v>
      </c>
      <c r="AE21" s="723">
        <f t="shared" si="24"/>
        <v>8540.4410290718333</v>
      </c>
      <c r="AF21" s="723">
        <f t="shared" ref="AF21" si="25">+AF17+AF20</f>
        <v>794.4596306113333</v>
      </c>
      <c r="AG21" s="723">
        <f t="shared" ref="AG21" si="26">+AG17+AG20</f>
        <v>3352.7224886583335</v>
      </c>
      <c r="AH21" s="723">
        <f t="shared" ref="AH21" si="27">+AH17+AH20</f>
        <v>3352.7224886583335</v>
      </c>
      <c r="AI21" s="723">
        <f t="shared" ref="AI21" si="28">+AI17+AI20</f>
        <v>55763.327167566502</v>
      </c>
    </row>
    <row r="22" spans="1:35" s="14" customFormat="1" ht="19.5" customHeight="1" x14ac:dyDescent="0.2">
      <c r="A22" s="1274"/>
      <c r="B22" s="1274"/>
      <c r="C22" s="809"/>
      <c r="D22" s="809"/>
      <c r="E22" s="809"/>
      <c r="F22" s="810" t="s">
        <v>5</v>
      </c>
      <c r="G22" s="810"/>
      <c r="H22" s="810"/>
      <c r="I22" s="810"/>
      <c r="J22" s="809"/>
      <c r="K22" s="809"/>
      <c r="L22" s="812"/>
      <c r="M22" s="812"/>
      <c r="N22" s="812"/>
      <c r="O22" s="812"/>
      <c r="P22" s="809" t="s">
        <v>5</v>
      </c>
      <c r="Q22" s="809"/>
      <c r="R22" s="809"/>
      <c r="S22" s="809"/>
      <c r="T22" s="809"/>
      <c r="U22" s="809"/>
      <c r="V22" s="809"/>
      <c r="W22" s="809"/>
      <c r="X22" s="809"/>
      <c r="Y22" s="809"/>
      <c r="Z22" s="809"/>
      <c r="AA22" s="809"/>
      <c r="AB22" s="809"/>
      <c r="AC22" s="809"/>
      <c r="AD22" s="809"/>
      <c r="AE22" s="809"/>
      <c r="AF22" s="809"/>
      <c r="AG22" s="809"/>
      <c r="AH22" s="809"/>
      <c r="AI22" s="809"/>
    </row>
    <row r="23" spans="1:35" s="797" customFormat="1" x14ac:dyDescent="0.2">
      <c r="A23" s="809"/>
      <c r="B23" s="809"/>
      <c r="C23" s="809"/>
      <c r="D23" s="809"/>
      <c r="E23" s="809"/>
      <c r="F23" s="810"/>
      <c r="G23" s="810"/>
      <c r="H23" s="810">
        <f>500*35.6348</f>
        <v>17817.399999999998</v>
      </c>
      <c r="I23" s="810"/>
      <c r="J23" s="809"/>
      <c r="K23" s="809"/>
      <c r="L23" s="812"/>
      <c r="M23" s="812"/>
      <c r="N23" s="812"/>
      <c r="O23" s="812"/>
      <c r="P23" s="809"/>
      <c r="Q23" s="809"/>
      <c r="R23" s="809"/>
      <c r="S23" s="809"/>
      <c r="T23" s="809"/>
      <c r="U23" s="809"/>
      <c r="V23" s="809"/>
      <c r="W23" s="809"/>
      <c r="X23" s="809"/>
      <c r="Y23" s="809"/>
      <c r="Z23" s="809"/>
      <c r="AA23" s="809"/>
      <c r="AB23" s="809"/>
      <c r="AC23" s="809"/>
      <c r="AD23" s="809"/>
      <c r="AE23" s="809"/>
      <c r="AF23" s="809"/>
      <c r="AG23" s="809"/>
      <c r="AH23" s="809"/>
      <c r="AI23" s="809"/>
    </row>
    <row r="24" spans="1:35" s="797" customFormat="1" x14ac:dyDescent="0.2">
      <c r="A24" s="809"/>
      <c r="B24" s="809"/>
      <c r="C24" s="809"/>
      <c r="D24" s="809"/>
      <c r="E24" s="809"/>
      <c r="F24" s="810"/>
      <c r="G24" s="810"/>
      <c r="H24" s="810"/>
      <c r="I24" s="810"/>
      <c r="J24" s="809"/>
      <c r="K24" s="809"/>
      <c r="L24" s="812"/>
      <c r="M24" s="812"/>
      <c r="N24" s="812"/>
      <c r="O24" s="812"/>
      <c r="P24" s="809"/>
      <c r="Q24" s="809"/>
      <c r="R24" s="809"/>
      <c r="S24" s="809"/>
      <c r="T24" s="809"/>
      <c r="U24" s="809"/>
      <c r="V24" s="809"/>
      <c r="W24" s="809"/>
      <c r="X24" s="809"/>
      <c r="Y24" s="809"/>
      <c r="Z24" s="809"/>
      <c r="AA24" s="809"/>
      <c r="AB24" s="809"/>
      <c r="AC24" s="809"/>
      <c r="AD24" s="809"/>
      <c r="AE24" s="809"/>
      <c r="AF24" s="809"/>
      <c r="AG24" s="809"/>
      <c r="AH24" s="809"/>
      <c r="AI24" s="809"/>
    </row>
    <row r="25" spans="1:35" s="797" customFormat="1" x14ac:dyDescent="0.2">
      <c r="A25" s="809"/>
      <c r="B25" s="809"/>
      <c r="C25" s="809"/>
      <c r="D25" s="809"/>
      <c r="E25" s="809"/>
      <c r="F25" s="810"/>
      <c r="G25" s="810"/>
      <c r="H25" s="810"/>
      <c r="I25" s="810"/>
      <c r="J25" s="809"/>
      <c r="K25" s="809"/>
      <c r="L25" s="812"/>
      <c r="M25" s="812"/>
      <c r="N25" s="812"/>
      <c r="O25" s="812"/>
      <c r="P25" s="809"/>
      <c r="Q25" s="809"/>
      <c r="R25" s="809"/>
      <c r="S25" s="809"/>
      <c r="T25" s="809"/>
      <c r="U25" s="809"/>
      <c r="V25" s="809"/>
      <c r="W25" s="809"/>
      <c r="X25" s="809"/>
      <c r="Y25" s="809"/>
      <c r="Z25" s="809"/>
      <c r="AA25" s="809"/>
      <c r="AB25" s="809"/>
      <c r="AC25" s="809"/>
      <c r="AD25" s="815"/>
      <c r="AE25" s="809"/>
      <c r="AF25" s="809"/>
      <c r="AG25" s="809"/>
      <c r="AH25" s="809"/>
      <c r="AI25" s="809"/>
    </row>
    <row r="26" spans="1:35" s="797" customFormat="1" x14ac:dyDescent="0.2">
      <c r="A26" s="809"/>
      <c r="B26" s="809"/>
      <c r="C26" s="809"/>
      <c r="D26" s="809"/>
      <c r="E26" s="809"/>
      <c r="F26" s="810"/>
      <c r="G26" s="810"/>
      <c r="H26" s="810"/>
      <c r="I26" s="810"/>
      <c r="J26" s="809"/>
      <c r="K26" s="809"/>
      <c r="L26" s="812"/>
      <c r="M26" s="812"/>
      <c r="N26" s="812"/>
      <c r="O26" s="812"/>
      <c r="P26" s="809"/>
      <c r="Q26" s="809"/>
      <c r="R26" s="809"/>
      <c r="S26" s="809"/>
      <c r="T26" s="809"/>
      <c r="U26" s="809"/>
      <c r="V26" s="809"/>
      <c r="W26" s="809"/>
      <c r="X26" s="809"/>
      <c r="Y26" s="809"/>
      <c r="Z26" s="809"/>
      <c r="AA26" s="809"/>
      <c r="AB26" s="809"/>
      <c r="AC26" s="809"/>
      <c r="AD26" s="815"/>
      <c r="AE26" s="809"/>
      <c r="AF26" s="809"/>
      <c r="AG26" s="809"/>
      <c r="AH26" s="809"/>
      <c r="AI26" s="809"/>
    </row>
    <row r="27" spans="1:35" s="797" customFormat="1" x14ac:dyDescent="0.2">
      <c r="A27" s="809"/>
      <c r="B27" s="809"/>
      <c r="C27" s="809"/>
      <c r="D27" s="809"/>
      <c r="E27" s="809"/>
      <c r="F27" s="810"/>
      <c r="G27" s="810"/>
      <c r="H27" s="810"/>
      <c r="I27" s="810"/>
      <c r="J27" s="809"/>
      <c r="K27" s="809"/>
      <c r="L27" s="812"/>
      <c r="M27" s="812"/>
      <c r="N27" s="812"/>
      <c r="O27" s="812"/>
      <c r="P27" s="809"/>
      <c r="Q27" s="809"/>
      <c r="R27" s="809"/>
      <c r="S27" s="809"/>
      <c r="T27" s="809"/>
      <c r="U27" s="809"/>
      <c r="V27" s="809"/>
      <c r="W27" s="809"/>
      <c r="X27" s="809"/>
      <c r="Y27" s="809"/>
      <c r="Z27" s="809"/>
      <c r="AA27" s="809"/>
      <c r="AB27" s="809"/>
      <c r="AC27" s="809"/>
      <c r="AD27" s="815"/>
      <c r="AE27" s="809"/>
      <c r="AF27" s="809"/>
      <c r="AG27" s="809"/>
      <c r="AH27" s="809"/>
      <c r="AI27" s="809"/>
    </row>
    <row r="28" spans="1:35" s="797" customFormat="1" x14ac:dyDescent="0.2">
      <c r="A28" s="816"/>
      <c r="B28" s="809"/>
      <c r="C28" s="816"/>
      <c r="D28" s="809"/>
      <c r="E28" s="809"/>
      <c r="F28" s="810"/>
      <c r="G28" s="810"/>
      <c r="H28" s="810"/>
      <c r="I28" s="810"/>
      <c r="J28" s="809"/>
      <c r="K28" s="809"/>
      <c r="L28" s="812"/>
      <c r="M28" s="812"/>
      <c r="N28" s="812"/>
      <c r="O28" s="812"/>
      <c r="P28" s="816"/>
      <c r="Q28" s="816"/>
      <c r="R28" s="816"/>
      <c r="S28" s="816"/>
      <c r="T28" s="809"/>
      <c r="U28" s="809"/>
      <c r="V28" s="809"/>
      <c r="W28" s="809"/>
      <c r="X28" s="816"/>
      <c r="Y28" s="816"/>
      <c r="Z28" s="816"/>
      <c r="AA28" s="816"/>
      <c r="AB28" s="816"/>
      <c r="AC28" s="816"/>
      <c r="AD28" s="816"/>
      <c r="AE28" s="809"/>
      <c r="AF28" s="809"/>
      <c r="AG28" s="809"/>
      <c r="AH28" s="809"/>
      <c r="AI28" s="809"/>
    </row>
    <row r="29" spans="1:35" s="768" customFormat="1" ht="18" x14ac:dyDescent="0.2">
      <c r="A29" s="754"/>
      <c r="B29" s="755"/>
      <c r="C29" s="1277" t="s">
        <v>23</v>
      </c>
      <c r="D29" s="1277"/>
      <c r="E29" s="1277"/>
      <c r="F29" s="1277"/>
      <c r="G29" s="955"/>
      <c r="H29" s="955"/>
      <c r="I29" s="955"/>
      <c r="J29" s="755"/>
      <c r="K29" s="1281" t="s">
        <v>24</v>
      </c>
      <c r="L29" s="1277"/>
      <c r="M29" s="1277"/>
      <c r="N29" s="1277"/>
      <c r="O29" s="1277"/>
      <c r="P29" s="1277"/>
      <c r="Q29" s="1277"/>
      <c r="R29" s="1277"/>
      <c r="S29" s="1277"/>
      <c r="T29" s="1277"/>
      <c r="U29" s="1277"/>
      <c r="V29" s="1277"/>
      <c r="W29" s="1277"/>
      <c r="X29" s="1281"/>
      <c r="Y29" s="1281"/>
      <c r="Z29" s="756"/>
      <c r="AA29" s="756"/>
      <c r="AB29" s="756"/>
      <c r="AC29" s="1277" t="s">
        <v>25</v>
      </c>
      <c r="AD29" s="1277"/>
      <c r="AE29" s="1277"/>
      <c r="AF29" s="755"/>
      <c r="AG29" s="755"/>
      <c r="AH29" s="755"/>
      <c r="AI29" s="755"/>
    </row>
    <row r="30" spans="1:35" s="774" customFormat="1" ht="18" x14ac:dyDescent="0.2">
      <c r="A30" s="757"/>
      <c r="B30" s="757"/>
      <c r="C30" s="1293" t="s">
        <v>541</v>
      </c>
      <c r="D30" s="1293"/>
      <c r="E30" s="1293"/>
      <c r="F30" s="1293"/>
      <c r="G30" s="954"/>
      <c r="H30" s="954"/>
      <c r="I30" s="954"/>
      <c r="J30" s="757"/>
      <c r="K30" s="1293" t="s">
        <v>350</v>
      </c>
      <c r="L30" s="1293"/>
      <c r="M30" s="1293"/>
      <c r="N30" s="1293"/>
      <c r="O30" s="1293"/>
      <c r="P30" s="1293"/>
      <c r="Q30" s="1293"/>
      <c r="R30" s="1293"/>
      <c r="S30" s="1293"/>
      <c r="T30" s="1293"/>
      <c r="U30" s="1293"/>
      <c r="V30" s="1293"/>
      <c r="W30" s="1293"/>
      <c r="X30" s="1293"/>
      <c r="Y30" s="1293"/>
      <c r="Z30" s="758"/>
      <c r="AA30" s="758"/>
      <c r="AB30" s="758"/>
      <c r="AC30" s="1281" t="s">
        <v>495</v>
      </c>
      <c r="AD30" s="1281"/>
      <c r="AE30" s="1281"/>
      <c r="AF30" s="757"/>
      <c r="AG30" s="757"/>
      <c r="AH30" s="757"/>
      <c r="AI30" s="757"/>
    </row>
    <row r="31" spans="1:35" x14ac:dyDescent="0.2">
      <c r="A31" s="813"/>
      <c r="B31" s="813"/>
      <c r="C31" s="813"/>
      <c r="D31" s="813"/>
      <c r="E31" s="813"/>
      <c r="F31" s="819"/>
      <c r="G31" s="810"/>
      <c r="H31" s="810"/>
      <c r="I31" s="810"/>
      <c r="J31" s="813"/>
      <c r="K31" s="809"/>
      <c r="L31" s="812"/>
      <c r="M31" s="812"/>
      <c r="N31" s="812"/>
      <c r="O31" s="812"/>
      <c r="P31" s="809"/>
      <c r="Q31" s="809"/>
      <c r="R31" s="809"/>
      <c r="S31" s="809"/>
      <c r="T31" s="809"/>
      <c r="U31" s="809"/>
      <c r="V31" s="809"/>
      <c r="W31" s="809"/>
      <c r="X31" s="809"/>
      <c r="Y31" s="809"/>
      <c r="Z31" s="813"/>
      <c r="AA31" s="813"/>
      <c r="AB31" s="813"/>
      <c r="AC31" s="813"/>
      <c r="AD31" s="813"/>
      <c r="AE31" s="813"/>
      <c r="AF31" s="813"/>
      <c r="AG31" s="813"/>
      <c r="AH31" s="813"/>
      <c r="AI31" s="813"/>
    </row>
    <row r="32" spans="1:35" x14ac:dyDescent="0.2">
      <c r="A32" s="813"/>
      <c r="B32" s="813"/>
      <c r="C32" s="813"/>
      <c r="D32" s="813"/>
      <c r="E32" s="813"/>
      <c r="F32" s="819"/>
      <c r="G32" s="810"/>
      <c r="H32" s="810"/>
      <c r="I32" s="810"/>
      <c r="J32" s="817"/>
      <c r="K32" s="816"/>
      <c r="L32" s="812"/>
      <c r="M32" s="812"/>
      <c r="N32" s="812"/>
      <c r="O32" s="812"/>
      <c r="P32" s="809"/>
      <c r="Q32" s="809"/>
      <c r="R32" s="809"/>
      <c r="S32" s="809"/>
      <c r="T32" s="809"/>
      <c r="U32" s="809"/>
      <c r="V32" s="809"/>
      <c r="W32" s="809"/>
      <c r="X32" s="809"/>
      <c r="Y32" s="809"/>
      <c r="Z32" s="813"/>
      <c r="AA32" s="813"/>
      <c r="AB32" s="813"/>
      <c r="AC32" s="813"/>
      <c r="AD32" s="813"/>
      <c r="AE32" s="813"/>
      <c r="AF32" s="813"/>
      <c r="AG32" s="813"/>
      <c r="AH32" s="813"/>
      <c r="AI32" s="813"/>
    </row>
    <row r="33" spans="1:35" x14ac:dyDescent="0.25">
      <c r="A33" s="813"/>
      <c r="B33" s="813"/>
      <c r="C33" s="813"/>
      <c r="D33" s="813"/>
      <c r="E33" s="813"/>
      <c r="F33" s="810"/>
      <c r="G33" s="810"/>
      <c r="H33" s="810"/>
      <c r="I33" s="810"/>
      <c r="J33" s="797"/>
      <c r="K33" s="977"/>
      <c r="P33" s="809"/>
      <c r="Q33" s="809"/>
      <c r="R33" s="809"/>
      <c r="S33" s="809"/>
      <c r="T33" s="809"/>
      <c r="U33" s="809"/>
      <c r="V33" s="809"/>
      <c r="W33" s="809"/>
      <c r="X33" s="979"/>
      <c r="Y33" s="979"/>
      <c r="Z33" s="823"/>
      <c r="AA33" s="823"/>
      <c r="AB33" s="823"/>
      <c r="AC33" s="824"/>
      <c r="AD33" s="824"/>
      <c r="AE33" s="813"/>
      <c r="AF33" s="813"/>
      <c r="AG33" s="813"/>
      <c r="AH33" s="813"/>
      <c r="AI33" s="813"/>
    </row>
    <row r="34" spans="1:35" x14ac:dyDescent="0.2">
      <c r="A34" s="825"/>
      <c r="B34" s="825"/>
      <c r="C34" s="813"/>
      <c r="D34" s="813"/>
      <c r="E34" s="813"/>
      <c r="F34" s="810"/>
      <c r="G34" s="982"/>
      <c r="H34" s="982"/>
      <c r="I34" s="982"/>
      <c r="J34" s="980"/>
      <c r="K34" s="980"/>
      <c r="L34" s="981"/>
      <c r="M34" s="981"/>
      <c r="N34" s="981"/>
      <c r="O34" s="981"/>
      <c r="P34" s="980"/>
      <c r="Q34" s="980"/>
      <c r="R34" s="980"/>
      <c r="S34" s="980"/>
      <c r="T34" s="980"/>
      <c r="U34" s="980"/>
      <c r="V34" s="980"/>
      <c r="W34" s="980"/>
      <c r="X34" s="980"/>
      <c r="Y34" s="980"/>
      <c r="Z34" s="825"/>
      <c r="AA34" s="825"/>
      <c r="AB34" s="825"/>
      <c r="AC34" s="825"/>
      <c r="AD34" s="825"/>
      <c r="AE34" s="825"/>
      <c r="AF34" s="825"/>
      <c r="AG34" s="825"/>
      <c r="AH34" s="825"/>
      <c r="AI34" s="825"/>
    </row>
    <row r="35" spans="1:35" x14ac:dyDescent="0.2">
      <c r="A35" s="825"/>
      <c r="B35" s="825"/>
      <c r="C35" s="825"/>
      <c r="D35" s="825"/>
      <c r="E35" s="825"/>
      <c r="F35" s="982"/>
      <c r="G35" s="982"/>
      <c r="H35" s="982"/>
      <c r="I35" s="982"/>
      <c r="J35" s="980"/>
      <c r="K35" s="980"/>
      <c r="L35" s="981"/>
      <c r="M35" s="981"/>
      <c r="N35" s="981"/>
      <c r="O35" s="981"/>
      <c r="P35" s="980"/>
      <c r="Q35" s="980"/>
      <c r="R35" s="980"/>
      <c r="S35" s="980"/>
      <c r="T35" s="980"/>
      <c r="U35" s="980"/>
      <c r="V35" s="980"/>
      <c r="W35" s="980"/>
      <c r="X35" s="980"/>
      <c r="Y35" s="980"/>
      <c r="Z35" s="825"/>
      <c r="AA35" s="825"/>
      <c r="AB35" s="825"/>
      <c r="AC35" s="825"/>
      <c r="AD35" s="825"/>
      <c r="AE35" s="825"/>
      <c r="AF35" s="825"/>
      <c r="AG35" s="825"/>
      <c r="AH35" s="825"/>
      <c r="AI35" s="825"/>
    </row>
    <row r="36" spans="1:35" x14ac:dyDescent="0.2">
      <c r="A36" s="825"/>
      <c r="B36" s="825"/>
      <c r="C36" s="825"/>
      <c r="D36" s="825"/>
      <c r="E36" s="825"/>
      <c r="F36" s="982"/>
      <c r="G36" s="982"/>
      <c r="H36" s="982"/>
      <c r="I36" s="982"/>
      <c r="J36" s="980"/>
      <c r="K36" s="980"/>
      <c r="L36" s="981"/>
      <c r="M36" s="981"/>
      <c r="N36" s="981"/>
      <c r="O36" s="981"/>
      <c r="P36" s="980"/>
      <c r="Q36" s="980"/>
      <c r="R36" s="980"/>
      <c r="S36" s="980"/>
      <c r="T36" s="980"/>
      <c r="U36" s="980"/>
      <c r="V36" s="980"/>
      <c r="W36" s="980"/>
      <c r="X36" s="980"/>
      <c r="Y36" s="980"/>
      <c r="Z36" s="825"/>
      <c r="AA36" s="825"/>
      <c r="AB36" s="825"/>
      <c r="AC36" s="825"/>
      <c r="AD36" s="825"/>
      <c r="AE36" s="825"/>
      <c r="AF36" s="825"/>
      <c r="AG36" s="825"/>
      <c r="AH36" s="825"/>
      <c r="AI36" s="825"/>
    </row>
    <row r="37" spans="1:35" x14ac:dyDescent="0.2">
      <c r="A37" s="825"/>
      <c r="B37" s="825"/>
      <c r="C37" s="825"/>
      <c r="D37" s="825"/>
      <c r="E37" s="825"/>
      <c r="F37" s="982"/>
      <c r="G37" s="982"/>
      <c r="H37" s="982"/>
      <c r="I37" s="982"/>
      <c r="J37" s="980"/>
      <c r="K37" s="980"/>
      <c r="L37" s="981"/>
      <c r="M37" s="981"/>
      <c r="N37" s="981"/>
      <c r="O37" s="981"/>
      <c r="P37" s="980"/>
      <c r="Q37" s="980"/>
      <c r="R37" s="980"/>
      <c r="S37" s="980"/>
      <c r="T37" s="980"/>
      <c r="U37" s="980"/>
      <c r="V37" s="980"/>
      <c r="W37" s="980"/>
      <c r="X37" s="825"/>
      <c r="Y37" s="825"/>
      <c r="Z37" s="825"/>
      <c r="AA37" s="825"/>
      <c r="AB37" s="825"/>
      <c r="AC37" s="825"/>
      <c r="AD37" s="825"/>
      <c r="AE37" s="825"/>
      <c r="AF37" s="825"/>
      <c r="AG37" s="825"/>
      <c r="AH37" s="825"/>
      <c r="AI37" s="825"/>
    </row>
    <row r="38" spans="1:35" x14ac:dyDescent="0.2">
      <c r="A38" s="825"/>
      <c r="B38" s="825"/>
      <c r="C38" s="825"/>
      <c r="D38" s="825"/>
      <c r="E38" s="825"/>
      <c r="F38" s="982"/>
      <c r="G38" s="982"/>
      <c r="H38" s="982"/>
      <c r="I38" s="982"/>
      <c r="J38" s="980"/>
      <c r="K38" s="980"/>
      <c r="L38" s="981"/>
      <c r="M38" s="981"/>
      <c r="N38" s="981"/>
      <c r="O38" s="981"/>
      <c r="P38" s="980"/>
      <c r="Q38" s="980"/>
      <c r="R38" s="980"/>
      <c r="S38" s="980"/>
      <c r="T38" s="980"/>
      <c r="U38" s="980"/>
      <c r="V38" s="980"/>
      <c r="W38" s="980"/>
      <c r="X38" s="825"/>
      <c r="Y38" s="825"/>
      <c r="Z38" s="825"/>
      <c r="AA38" s="825"/>
      <c r="AB38" s="825"/>
      <c r="AC38" s="825"/>
      <c r="AD38" s="825"/>
      <c r="AE38" s="825"/>
      <c r="AF38" s="825"/>
      <c r="AG38" s="825"/>
      <c r="AH38" s="825"/>
      <c r="AI38" s="825"/>
    </row>
    <row r="39" spans="1:35" x14ac:dyDescent="0.2">
      <c r="A39" s="825"/>
      <c r="B39" s="825"/>
      <c r="C39" s="825"/>
      <c r="D39" s="825"/>
      <c r="E39" s="825"/>
      <c r="F39" s="982"/>
      <c r="G39" s="982"/>
      <c r="H39" s="982"/>
      <c r="I39" s="982"/>
      <c r="J39" s="980"/>
      <c r="K39" s="980"/>
      <c r="L39" s="981"/>
      <c r="M39" s="981"/>
      <c r="N39" s="981"/>
      <c r="O39" s="981"/>
      <c r="P39" s="980"/>
      <c r="Q39" s="980"/>
      <c r="R39" s="980"/>
      <c r="S39" s="980"/>
      <c r="T39" s="980"/>
      <c r="U39" s="980"/>
      <c r="V39" s="980"/>
      <c r="W39" s="980"/>
      <c r="X39" s="825"/>
      <c r="Y39" s="825"/>
      <c r="Z39" s="825"/>
      <c r="AA39" s="825"/>
      <c r="AB39" s="825"/>
      <c r="AC39" s="825"/>
      <c r="AD39" s="825"/>
      <c r="AE39" s="825"/>
      <c r="AF39" s="825"/>
      <c r="AG39" s="825"/>
      <c r="AH39" s="825"/>
      <c r="AI39" s="825"/>
    </row>
    <row r="40" spans="1:35" x14ac:dyDescent="0.2">
      <c r="A40" s="825"/>
      <c r="B40" s="825"/>
      <c r="C40" s="825"/>
      <c r="D40" s="825"/>
      <c r="E40" s="825"/>
      <c r="F40" s="982"/>
      <c r="G40" s="982"/>
      <c r="H40" s="982"/>
      <c r="I40" s="982"/>
      <c r="J40" s="980"/>
      <c r="K40" s="980"/>
      <c r="L40" s="981"/>
      <c r="M40" s="981"/>
      <c r="N40" s="981"/>
      <c r="O40" s="981"/>
      <c r="P40" s="980"/>
      <c r="Q40" s="980"/>
      <c r="R40" s="980"/>
      <c r="S40" s="980"/>
      <c r="T40" s="980"/>
      <c r="U40" s="980"/>
      <c r="V40" s="980"/>
      <c r="W40" s="980"/>
      <c r="X40" s="825"/>
      <c r="Y40" s="825"/>
      <c r="Z40" s="825"/>
      <c r="AA40" s="825"/>
      <c r="AB40" s="825"/>
      <c r="AC40" s="825"/>
      <c r="AD40" s="825"/>
      <c r="AE40" s="825"/>
      <c r="AF40" s="825"/>
      <c r="AG40" s="825"/>
      <c r="AH40" s="825"/>
      <c r="AI40" s="825"/>
    </row>
    <row r="41" spans="1:35" x14ac:dyDescent="0.2">
      <c r="A41" s="825"/>
      <c r="B41" s="825"/>
      <c r="D41" s="825"/>
      <c r="E41" s="825"/>
      <c r="F41" s="982"/>
      <c r="G41" s="982"/>
      <c r="H41" s="982"/>
      <c r="I41" s="982"/>
      <c r="J41" s="980"/>
      <c r="K41" s="980"/>
      <c r="L41" s="981"/>
      <c r="M41" s="981"/>
      <c r="N41" s="981"/>
      <c r="O41" s="981"/>
      <c r="P41" s="980"/>
      <c r="Q41" s="980"/>
      <c r="R41" s="980"/>
      <c r="S41" s="980"/>
      <c r="T41" s="980"/>
      <c r="U41" s="980"/>
      <c r="V41" s="980"/>
      <c r="W41" s="980"/>
      <c r="X41" s="825"/>
      <c r="Y41" s="825"/>
      <c r="Z41" s="825"/>
      <c r="AA41" s="825"/>
      <c r="AB41" s="825"/>
      <c r="AC41" s="825"/>
      <c r="AD41" s="825"/>
      <c r="AE41" s="825"/>
      <c r="AF41" s="825"/>
      <c r="AG41" s="825"/>
      <c r="AH41" s="825"/>
      <c r="AI41" s="825"/>
    </row>
    <row r="42" spans="1:35" x14ac:dyDescent="0.2">
      <c r="A42" s="825"/>
      <c r="B42" s="825"/>
      <c r="C42" s="825"/>
      <c r="D42" s="825"/>
      <c r="E42" s="825"/>
      <c r="F42" s="982"/>
      <c r="G42" s="982"/>
      <c r="H42" s="982"/>
      <c r="I42" s="982"/>
      <c r="J42" s="980"/>
      <c r="K42" s="980"/>
      <c r="L42" s="981"/>
      <c r="M42" s="981"/>
      <c r="N42" s="981"/>
      <c r="O42" s="981"/>
      <c r="P42" s="980"/>
      <c r="Q42" s="980"/>
      <c r="R42" s="980"/>
      <c r="S42" s="980"/>
      <c r="T42" s="980"/>
      <c r="U42" s="980"/>
      <c r="V42" s="980"/>
      <c r="W42" s="980"/>
      <c r="X42" s="825"/>
      <c r="Y42" s="825"/>
      <c r="Z42" s="825"/>
      <c r="AA42" s="825"/>
      <c r="AB42" s="825"/>
      <c r="AC42" s="825"/>
      <c r="AD42" s="825"/>
      <c r="AE42" s="825"/>
      <c r="AF42" s="825"/>
      <c r="AG42" s="825"/>
      <c r="AH42" s="825"/>
      <c r="AI42" s="825"/>
    </row>
    <row r="43" spans="1:35" x14ac:dyDescent="0.2">
      <c r="A43" s="825"/>
      <c r="B43" s="825"/>
      <c r="C43" s="825"/>
      <c r="D43" s="825"/>
      <c r="E43" s="825"/>
      <c r="F43" s="982"/>
      <c r="G43" s="982"/>
      <c r="H43" s="982"/>
      <c r="I43" s="982"/>
      <c r="J43" s="980"/>
      <c r="K43" s="980"/>
      <c r="L43" s="981"/>
      <c r="M43" s="981"/>
      <c r="N43" s="981"/>
      <c r="O43" s="981"/>
      <c r="P43" s="980"/>
      <c r="Q43" s="980"/>
      <c r="R43" s="980"/>
      <c r="S43" s="980"/>
      <c r="T43" s="980"/>
      <c r="U43" s="980"/>
      <c r="V43" s="980"/>
      <c r="W43" s="980"/>
      <c r="X43" s="825"/>
      <c r="Y43" s="825"/>
      <c r="Z43" s="825"/>
      <c r="AA43" s="825"/>
      <c r="AB43" s="825"/>
      <c r="AC43" s="825"/>
      <c r="AD43" s="825"/>
      <c r="AE43" s="825"/>
      <c r="AF43" s="825"/>
      <c r="AG43" s="825"/>
      <c r="AH43" s="825"/>
      <c r="AI43" s="825"/>
    </row>
    <row r="44" spans="1:35" x14ac:dyDescent="0.2">
      <c r="A44" s="825"/>
      <c r="B44" s="825"/>
      <c r="C44" s="825"/>
      <c r="D44" s="825"/>
      <c r="E44" s="825"/>
      <c r="F44" s="982"/>
      <c r="G44" s="982"/>
      <c r="H44" s="982"/>
      <c r="I44" s="982"/>
      <c r="J44" s="980"/>
      <c r="K44" s="980"/>
      <c r="L44" s="981"/>
      <c r="M44" s="981"/>
      <c r="N44" s="981"/>
      <c r="O44" s="981"/>
      <c r="P44" s="980"/>
      <c r="Q44" s="980"/>
      <c r="R44" s="980"/>
      <c r="S44" s="980"/>
      <c r="T44" s="980"/>
      <c r="U44" s="980"/>
      <c r="V44" s="980"/>
      <c r="W44" s="980"/>
      <c r="X44" s="825"/>
      <c r="Y44" s="825"/>
      <c r="Z44" s="825"/>
      <c r="AA44" s="825"/>
      <c r="AB44" s="825"/>
      <c r="AC44" s="825"/>
      <c r="AD44" s="825"/>
      <c r="AE44" s="825"/>
      <c r="AF44" s="825"/>
      <c r="AG44" s="825"/>
      <c r="AH44" s="825"/>
      <c r="AI44" s="825"/>
    </row>
    <row r="45" spans="1:35" x14ac:dyDescent="0.2">
      <c r="A45" s="825"/>
      <c r="B45" s="825"/>
      <c r="C45" s="825"/>
      <c r="D45" s="825"/>
      <c r="E45" s="825"/>
      <c r="F45" s="982"/>
      <c r="G45" s="982"/>
      <c r="H45" s="982"/>
      <c r="I45" s="982"/>
      <c r="J45" s="980"/>
      <c r="K45" s="980"/>
      <c r="L45" s="981"/>
      <c r="M45" s="981"/>
      <c r="N45" s="981"/>
      <c r="O45" s="981"/>
      <c r="P45" s="980"/>
      <c r="Q45" s="980"/>
      <c r="R45" s="980"/>
      <c r="S45" s="980"/>
      <c r="T45" s="980"/>
      <c r="U45" s="980"/>
      <c r="V45" s="980"/>
      <c r="W45" s="980"/>
      <c r="X45" s="825"/>
      <c r="Y45" s="825"/>
      <c r="Z45" s="825"/>
      <c r="AA45" s="825"/>
      <c r="AB45" s="825"/>
      <c r="AC45" s="825"/>
      <c r="AD45" s="825"/>
      <c r="AE45" s="825"/>
      <c r="AF45" s="825"/>
      <c r="AG45" s="825"/>
      <c r="AH45" s="825"/>
      <c r="AI45" s="825"/>
    </row>
    <row r="46" spans="1:35" x14ac:dyDescent="0.2">
      <c r="A46" s="825"/>
      <c r="B46" s="825"/>
      <c r="C46" s="825"/>
      <c r="D46" s="825"/>
      <c r="E46" s="825"/>
      <c r="F46" s="982"/>
      <c r="G46" s="982"/>
      <c r="H46" s="982"/>
      <c r="I46" s="982"/>
      <c r="J46" s="980"/>
      <c r="K46" s="980"/>
      <c r="L46" s="981"/>
      <c r="M46" s="981"/>
      <c r="N46" s="981"/>
      <c r="O46" s="981"/>
      <c r="P46" s="980"/>
      <c r="Q46" s="980"/>
      <c r="R46" s="980"/>
      <c r="S46" s="980"/>
      <c r="T46" s="980"/>
      <c r="U46" s="980"/>
      <c r="V46" s="980"/>
      <c r="W46" s="980"/>
      <c r="X46" s="825"/>
      <c r="Y46" s="825"/>
      <c r="Z46" s="825"/>
      <c r="AA46" s="825"/>
      <c r="AB46" s="825"/>
      <c r="AC46" s="825"/>
      <c r="AD46" s="825"/>
      <c r="AE46" s="825"/>
      <c r="AF46" s="825"/>
      <c r="AG46" s="825"/>
      <c r="AH46" s="825"/>
      <c r="AI46" s="825"/>
    </row>
    <row r="47" spans="1:35" x14ac:dyDescent="0.2">
      <c r="A47" s="825"/>
      <c r="B47" s="825"/>
      <c r="C47" s="825"/>
      <c r="D47" s="825"/>
      <c r="E47" s="825"/>
      <c r="F47" s="982"/>
      <c r="G47" s="982"/>
      <c r="H47" s="982"/>
      <c r="I47" s="982"/>
      <c r="J47" s="980"/>
      <c r="K47" s="980"/>
      <c r="L47" s="981"/>
      <c r="M47" s="981"/>
      <c r="N47" s="981"/>
      <c r="O47" s="981"/>
      <c r="P47" s="980"/>
      <c r="Q47" s="980"/>
      <c r="R47" s="980"/>
      <c r="S47" s="980"/>
      <c r="T47" s="980"/>
      <c r="U47" s="980"/>
      <c r="V47" s="980"/>
      <c r="W47" s="980"/>
      <c r="X47" s="825"/>
      <c r="Y47" s="825"/>
      <c r="Z47" s="825"/>
      <c r="AA47" s="825"/>
      <c r="AB47" s="825"/>
      <c r="AC47" s="825"/>
      <c r="AD47" s="825"/>
      <c r="AE47" s="825"/>
      <c r="AF47" s="825"/>
      <c r="AG47" s="825"/>
      <c r="AH47" s="825"/>
      <c r="AI47" s="825"/>
    </row>
    <row r="48" spans="1:35" x14ac:dyDescent="0.2">
      <c r="A48" s="825"/>
      <c r="B48" s="825"/>
      <c r="C48" s="825"/>
      <c r="D48" s="825"/>
      <c r="E48" s="825"/>
      <c r="F48" s="982"/>
      <c r="G48" s="982"/>
      <c r="H48" s="982"/>
      <c r="I48" s="982"/>
      <c r="J48" s="980"/>
      <c r="K48" s="980"/>
      <c r="L48" s="981"/>
      <c r="M48" s="981"/>
      <c r="N48" s="981"/>
      <c r="O48" s="981"/>
      <c r="P48" s="980"/>
      <c r="Q48" s="980"/>
      <c r="R48" s="980"/>
      <c r="S48" s="980"/>
      <c r="T48" s="980"/>
      <c r="U48" s="980"/>
      <c r="V48" s="980"/>
      <c r="W48" s="980"/>
      <c r="X48" s="825"/>
      <c r="Y48" s="825"/>
      <c r="Z48" s="825"/>
      <c r="AA48" s="825"/>
      <c r="AB48" s="825"/>
      <c r="AC48" s="825"/>
      <c r="AD48" s="825"/>
      <c r="AE48" s="825"/>
      <c r="AF48" s="825"/>
      <c r="AG48" s="825"/>
      <c r="AH48" s="825"/>
      <c r="AI48" s="825"/>
    </row>
    <row r="49" spans="1:35" x14ac:dyDescent="0.2">
      <c r="A49" s="825"/>
      <c r="B49" s="825"/>
      <c r="C49" s="825"/>
      <c r="D49" s="825"/>
      <c r="E49" s="825"/>
      <c r="F49" s="982"/>
      <c r="G49" s="982"/>
      <c r="H49" s="982"/>
      <c r="I49" s="982"/>
      <c r="J49" s="980"/>
      <c r="K49" s="980"/>
      <c r="L49" s="981"/>
      <c r="M49" s="981"/>
      <c r="N49" s="981"/>
      <c r="O49" s="981"/>
      <c r="P49" s="980"/>
      <c r="Q49" s="980"/>
      <c r="R49" s="980"/>
      <c r="S49" s="980"/>
      <c r="T49" s="980"/>
      <c r="U49" s="980"/>
      <c r="V49" s="980"/>
      <c r="W49" s="980"/>
      <c r="X49" s="825"/>
      <c r="Y49" s="825"/>
      <c r="Z49" s="825"/>
      <c r="AA49" s="825"/>
      <c r="AB49" s="825"/>
      <c r="AC49" s="825"/>
      <c r="AD49" s="825"/>
      <c r="AE49" s="825"/>
      <c r="AF49" s="825"/>
      <c r="AG49" s="825"/>
      <c r="AH49" s="825"/>
      <c r="AI49" s="825"/>
    </row>
    <row r="50" spans="1:35" x14ac:dyDescent="0.2">
      <c r="A50" s="825"/>
      <c r="B50" s="825"/>
      <c r="C50" s="825"/>
      <c r="D50" s="825"/>
      <c r="E50" s="825"/>
      <c r="F50" s="982"/>
      <c r="G50" s="982"/>
      <c r="H50" s="982"/>
      <c r="I50" s="982"/>
      <c r="J50" s="980"/>
      <c r="K50" s="980"/>
      <c r="L50" s="981"/>
      <c r="M50" s="981"/>
      <c r="N50" s="981"/>
      <c r="O50" s="981"/>
      <c r="P50" s="980"/>
      <c r="Q50" s="980"/>
      <c r="R50" s="980"/>
      <c r="S50" s="980"/>
      <c r="T50" s="980"/>
      <c r="U50" s="980"/>
      <c r="V50" s="980"/>
      <c r="W50" s="980"/>
      <c r="X50" s="825"/>
      <c r="Y50" s="825"/>
      <c r="Z50" s="825"/>
      <c r="AA50" s="825"/>
      <c r="AB50" s="825"/>
      <c r="AC50" s="825"/>
      <c r="AD50" s="825"/>
      <c r="AE50" s="825"/>
      <c r="AF50" s="825"/>
      <c r="AG50" s="825"/>
      <c r="AH50" s="825"/>
      <c r="AI50" s="825"/>
    </row>
    <row r="51" spans="1:35" x14ac:dyDescent="0.2">
      <c r="A51" s="825"/>
      <c r="B51" s="825"/>
      <c r="C51" s="825"/>
      <c r="D51" s="825"/>
      <c r="E51" s="825"/>
      <c r="F51" s="982"/>
      <c r="G51" s="982"/>
      <c r="H51" s="982"/>
      <c r="I51" s="982"/>
      <c r="J51" s="980"/>
      <c r="K51" s="980"/>
      <c r="L51" s="981"/>
      <c r="M51" s="981"/>
      <c r="N51" s="981"/>
      <c r="O51" s="981"/>
      <c r="P51" s="980"/>
      <c r="Q51" s="980"/>
      <c r="R51" s="980"/>
      <c r="S51" s="980"/>
      <c r="T51" s="980"/>
      <c r="U51" s="980"/>
      <c r="V51" s="980"/>
      <c r="W51" s="980"/>
      <c r="X51" s="825"/>
      <c r="Y51" s="825"/>
      <c r="Z51" s="825"/>
      <c r="AA51" s="825"/>
      <c r="AB51" s="825"/>
      <c r="AC51" s="825"/>
      <c r="AD51" s="825"/>
      <c r="AE51" s="825"/>
      <c r="AF51" s="825"/>
      <c r="AG51" s="825"/>
      <c r="AH51" s="825"/>
      <c r="AI51" s="825"/>
    </row>
    <row r="52" spans="1:35" x14ac:dyDescent="0.2">
      <c r="A52" s="825"/>
      <c r="B52" s="825"/>
      <c r="C52" s="825"/>
      <c r="D52" s="825"/>
      <c r="E52" s="825"/>
      <c r="F52" s="982"/>
      <c r="G52" s="982"/>
      <c r="H52" s="982"/>
      <c r="I52" s="982"/>
      <c r="J52" s="980"/>
      <c r="K52" s="980"/>
      <c r="L52" s="981"/>
      <c r="M52" s="981"/>
      <c r="N52" s="981"/>
      <c r="O52" s="981"/>
      <c r="P52" s="980"/>
      <c r="Q52" s="980"/>
      <c r="R52" s="980"/>
      <c r="S52" s="980"/>
      <c r="T52" s="980"/>
      <c r="U52" s="980"/>
      <c r="V52" s="980"/>
      <c r="W52" s="980"/>
      <c r="X52" s="825"/>
      <c r="Y52" s="825"/>
      <c r="Z52" s="825"/>
      <c r="AA52" s="825"/>
      <c r="AB52" s="825"/>
      <c r="AC52" s="825"/>
      <c r="AD52" s="825"/>
      <c r="AE52" s="825"/>
      <c r="AF52" s="825"/>
      <c r="AG52" s="825"/>
      <c r="AH52" s="825"/>
      <c r="AI52" s="825"/>
    </row>
    <row r="53" spans="1:35" x14ac:dyDescent="0.2">
      <c r="A53" s="825"/>
      <c r="B53" s="825"/>
      <c r="C53" s="825"/>
      <c r="D53" s="825"/>
      <c r="E53" s="825"/>
      <c r="F53" s="982"/>
      <c r="G53" s="982"/>
      <c r="H53" s="982"/>
      <c r="I53" s="982"/>
      <c r="J53" s="980"/>
      <c r="K53" s="980"/>
      <c r="L53" s="981"/>
      <c r="M53" s="981"/>
      <c r="N53" s="981"/>
      <c r="O53" s="981"/>
      <c r="P53" s="980"/>
      <c r="Q53" s="980"/>
      <c r="R53" s="980"/>
      <c r="S53" s="980"/>
      <c r="T53" s="980"/>
      <c r="U53" s="980"/>
      <c r="V53" s="980"/>
      <c r="W53" s="980"/>
      <c r="X53" s="825"/>
      <c r="Y53" s="825"/>
      <c r="Z53" s="825"/>
      <c r="AA53" s="825"/>
      <c r="AB53" s="825"/>
      <c r="AC53" s="825"/>
      <c r="AD53" s="825"/>
      <c r="AE53" s="825"/>
      <c r="AF53" s="825"/>
      <c r="AG53" s="825"/>
      <c r="AH53" s="825"/>
      <c r="AI53" s="825"/>
    </row>
    <row r="54" spans="1:35" x14ac:dyDescent="0.2">
      <c r="A54" s="825"/>
      <c r="B54" s="825"/>
      <c r="C54" s="825"/>
      <c r="D54" s="825"/>
      <c r="E54" s="825"/>
      <c r="F54" s="829"/>
      <c r="G54" s="826"/>
      <c r="H54" s="826"/>
      <c r="I54" s="826"/>
      <c r="J54" s="825"/>
      <c r="K54" s="825"/>
      <c r="L54" s="981"/>
      <c r="M54" s="981"/>
      <c r="N54" s="981"/>
      <c r="O54" s="981"/>
      <c r="P54" s="825"/>
      <c r="Q54" s="825"/>
      <c r="R54" s="825"/>
      <c r="S54" s="825"/>
      <c r="T54" s="825"/>
      <c r="U54" s="825"/>
      <c r="V54" s="980"/>
      <c r="W54" s="825"/>
      <c r="X54" s="825"/>
      <c r="Y54" s="825"/>
      <c r="Z54" s="825"/>
      <c r="AA54" s="825"/>
      <c r="AB54" s="825"/>
      <c r="AC54" s="825"/>
      <c r="AD54" s="825"/>
      <c r="AE54" s="825"/>
      <c r="AF54" s="825"/>
      <c r="AG54" s="825"/>
      <c r="AH54" s="825"/>
      <c r="AI54" s="825"/>
    </row>
    <row r="55" spans="1:35" x14ac:dyDescent="0.2">
      <c r="A55" s="825"/>
      <c r="B55" s="825"/>
      <c r="C55" s="825"/>
      <c r="D55" s="825"/>
      <c r="E55" s="825"/>
      <c r="F55" s="829"/>
      <c r="G55" s="826"/>
      <c r="H55" s="826"/>
      <c r="I55" s="826"/>
      <c r="J55" s="825"/>
      <c r="K55" s="825"/>
      <c r="L55" s="981"/>
      <c r="M55" s="981"/>
      <c r="N55" s="981"/>
      <c r="O55" s="981"/>
      <c r="P55" s="825"/>
      <c r="Q55" s="825"/>
      <c r="R55" s="825"/>
      <c r="S55" s="825"/>
      <c r="T55" s="825"/>
      <c r="U55" s="825"/>
      <c r="V55" s="980"/>
      <c r="W55" s="825"/>
      <c r="X55" s="825"/>
      <c r="Y55" s="825"/>
      <c r="Z55" s="825"/>
      <c r="AA55" s="825"/>
      <c r="AB55" s="825"/>
      <c r="AC55" s="825"/>
      <c r="AD55" s="825"/>
      <c r="AE55" s="825"/>
      <c r="AF55" s="825"/>
      <c r="AG55" s="825"/>
      <c r="AH55" s="825"/>
      <c r="AI55" s="825"/>
    </row>
    <row r="56" spans="1:35" x14ac:dyDescent="0.2">
      <c r="A56" s="825"/>
      <c r="B56" s="825"/>
      <c r="C56" s="825"/>
      <c r="D56" s="825"/>
      <c r="E56" s="825"/>
      <c r="F56" s="829"/>
      <c r="G56" s="826"/>
      <c r="H56" s="826"/>
      <c r="I56" s="826"/>
      <c r="J56" s="825"/>
      <c r="K56" s="825"/>
      <c r="L56" s="981"/>
      <c r="M56" s="981"/>
      <c r="N56" s="981"/>
      <c r="O56" s="981"/>
      <c r="P56" s="825"/>
      <c r="Q56" s="825"/>
      <c r="R56" s="825"/>
      <c r="S56" s="825"/>
      <c r="T56" s="825"/>
      <c r="U56" s="825"/>
      <c r="V56" s="980"/>
      <c r="W56" s="825"/>
      <c r="X56" s="825"/>
      <c r="Y56" s="825"/>
      <c r="Z56" s="825"/>
      <c r="AA56" s="825"/>
      <c r="AB56" s="825"/>
      <c r="AC56" s="825"/>
      <c r="AD56" s="825"/>
      <c r="AE56" s="825"/>
      <c r="AF56" s="825"/>
      <c r="AG56" s="825"/>
      <c r="AH56" s="825"/>
    </row>
    <row r="57" spans="1:35" x14ac:dyDescent="0.2">
      <c r="A57" s="825"/>
      <c r="B57" s="825"/>
      <c r="C57" s="825"/>
      <c r="D57" s="825"/>
      <c r="E57" s="825"/>
      <c r="F57" s="829"/>
      <c r="G57" s="826"/>
      <c r="H57" s="826"/>
      <c r="I57" s="826"/>
      <c r="J57" s="825"/>
      <c r="K57" s="825"/>
      <c r="L57" s="981"/>
      <c r="M57" s="981"/>
      <c r="N57" s="981"/>
      <c r="O57" s="981"/>
      <c r="P57" s="825"/>
      <c r="Q57" s="825"/>
      <c r="R57" s="825"/>
      <c r="S57" s="825"/>
      <c r="T57" s="825"/>
      <c r="U57" s="825"/>
      <c r="V57" s="980"/>
      <c r="W57" s="825"/>
      <c r="X57" s="825"/>
      <c r="Y57" s="825"/>
      <c r="Z57" s="825"/>
      <c r="AA57" s="825"/>
      <c r="AB57" s="825"/>
      <c r="AC57" s="825"/>
      <c r="AD57" s="825"/>
      <c r="AE57" s="825"/>
      <c r="AF57" s="825"/>
      <c r="AG57" s="825"/>
      <c r="AH57" s="825"/>
    </row>
    <row r="58" spans="1:35" x14ac:dyDescent="0.2">
      <c r="C58" s="825"/>
      <c r="D58" s="825"/>
      <c r="E58" s="825"/>
      <c r="F58" s="829"/>
    </row>
  </sheetData>
  <protectedRanges>
    <protectedRange sqref="D14:D20" name="Nomina_2_1_2"/>
  </protectedRanges>
  <mergeCells count="52">
    <mergeCell ref="C30:F30"/>
    <mergeCell ref="K30:Y30"/>
    <mergeCell ref="AC30:AE30"/>
    <mergeCell ref="AF7:AF9"/>
    <mergeCell ref="AG7:AG9"/>
    <mergeCell ref="G7:G9"/>
    <mergeCell ref="H7:H9"/>
    <mergeCell ref="J7:J9"/>
    <mergeCell ref="X7:X9"/>
    <mergeCell ref="T8:T9"/>
    <mergeCell ref="U8:U9"/>
    <mergeCell ref="V8:V9"/>
    <mergeCell ref="W8:W9"/>
    <mergeCell ref="AE7:AE9"/>
    <mergeCell ref="D10:F10"/>
    <mergeCell ref="AA7:AA9"/>
    <mergeCell ref="C29:F29"/>
    <mergeCell ref="AC7:AC9"/>
    <mergeCell ref="AD7:AD9"/>
    <mergeCell ref="K7:P7"/>
    <mergeCell ref="T7:W7"/>
    <mergeCell ref="R8:R9"/>
    <mergeCell ref="S8:S9"/>
    <mergeCell ref="Y7:Y9"/>
    <mergeCell ref="Z7:Z9"/>
    <mergeCell ref="K29:Y29"/>
    <mergeCell ref="AC29:AE29"/>
    <mergeCell ref="A17:F17"/>
    <mergeCell ref="A20:F20"/>
    <mergeCell ref="A21:F21"/>
    <mergeCell ref="AB7:AB9"/>
    <mergeCell ref="K8:K9"/>
    <mergeCell ref="A22:B22"/>
    <mergeCell ref="M8:M9"/>
    <mergeCell ref="N8:N9"/>
    <mergeCell ref="O8:O9"/>
    <mergeCell ref="I7:I9"/>
    <mergeCell ref="A2:AI2"/>
    <mergeCell ref="A3:AI3"/>
    <mergeCell ref="A4:AI4"/>
    <mergeCell ref="A5:AI5"/>
    <mergeCell ref="A7:A9"/>
    <mergeCell ref="B7:B9"/>
    <mergeCell ref="C7:C9"/>
    <mergeCell ref="D7:D9"/>
    <mergeCell ref="E7:E9"/>
    <mergeCell ref="F7:F9"/>
    <mergeCell ref="AH7:AH9"/>
    <mergeCell ref="AI7:AI9"/>
    <mergeCell ref="L8:L9"/>
    <mergeCell ref="P8:P9"/>
    <mergeCell ref="Q8:Q9"/>
  </mergeCells>
  <printOptions horizontalCentered="1" verticalCentered="1"/>
  <pageMargins left="0" right="0.11811023622047245" top="0" bottom="0.15748031496062992" header="0" footer="0.11811023622047245"/>
  <pageSetup paperSize="5" scale="28" orientation="landscape" r:id="rId1"/>
  <colBreaks count="1" manualBreakCount="1">
    <brk id="35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6591-8569-45C5-96FF-0C1F6C0125CE}">
  <dimension ref="A1"/>
  <sheetViews>
    <sheetView workbookViewId="0"/>
  </sheetViews>
  <sheetFormatPr baseColWidth="10" defaultRowHeight="10.199999999999999" x14ac:dyDescent="0.2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transitionEvaluation="1" codeName="Hoja3">
    <tabColor rgb="FFFFFF00"/>
  </sheetPr>
  <dimension ref="A2:BR78"/>
  <sheetViews>
    <sheetView showGridLines="0" zoomScale="86" zoomScaleNormal="86" workbookViewId="0">
      <pane xSplit="9" ySplit="10" topLeftCell="J25" activePane="bottomRight" state="frozen"/>
      <selection pane="topRight" activeCell="J1" sqref="J1"/>
      <selection pane="bottomLeft" activeCell="A11" sqref="A11"/>
      <selection pane="bottomRight" activeCell="C27" sqref="C27"/>
    </sheetView>
  </sheetViews>
  <sheetFormatPr baseColWidth="10" defaultColWidth="9.85546875" defaultRowHeight="13.8" x14ac:dyDescent="0.2"/>
  <cols>
    <col min="1" max="1" width="5.140625" style="818" customWidth="1"/>
    <col min="2" max="2" width="7.140625" style="818" bestFit="1" customWidth="1"/>
    <col min="3" max="3" width="4.85546875" style="818" customWidth="1"/>
    <col min="4" max="4" width="35.42578125" style="818" customWidth="1"/>
    <col min="5" max="5" width="8.28515625" style="818" customWidth="1"/>
    <col min="6" max="6" width="28" style="832" hidden="1" customWidth="1"/>
    <col min="7" max="7" width="23" style="830" hidden="1" customWidth="1"/>
    <col min="8" max="8" width="1.42578125" style="830" hidden="1" customWidth="1"/>
    <col min="9" max="9" width="27.7109375" style="818" hidden="1" customWidth="1"/>
    <col min="10" max="10" width="27.7109375" style="818" customWidth="1"/>
    <col min="11" max="11" width="22.42578125" style="822" customWidth="1"/>
    <col min="12" max="12" width="24.28515625" style="818" customWidth="1"/>
    <col min="13" max="14" width="21.42578125" style="818" customWidth="1"/>
    <col min="15" max="15" width="28.85546875" style="818" customWidth="1"/>
    <col min="16" max="16" width="26" style="818" customWidth="1"/>
    <col min="17" max="17" width="24.85546875" style="818" customWidth="1"/>
    <col min="18" max="18" width="19.85546875" style="831" hidden="1" customWidth="1"/>
    <col min="19" max="19" width="28.140625" style="818" customWidth="1"/>
    <col min="20" max="20" width="25.7109375" style="818" customWidth="1"/>
    <col min="21" max="21" width="18.42578125" style="818" hidden="1" customWidth="1"/>
    <col min="22" max="22" width="21.140625" style="818" customWidth="1"/>
    <col min="23" max="23" width="24.42578125" style="818" customWidth="1"/>
    <col min="24" max="24" width="47.140625" style="818" customWidth="1"/>
    <col min="25" max="25" width="24.140625" style="818" customWidth="1"/>
    <col min="26" max="26" width="22" style="818" customWidth="1"/>
    <col min="27" max="27" width="24.140625" style="818" customWidth="1"/>
    <col min="28" max="28" width="23.28515625" style="818" customWidth="1"/>
    <col min="29" max="29" width="26.42578125" style="818" customWidth="1"/>
    <col min="30" max="16384" width="9.85546875" style="818"/>
  </cols>
  <sheetData>
    <row r="2" spans="1:70" s="797" customFormat="1" ht="17.399999999999999" x14ac:dyDescent="0.2">
      <c r="A2" s="1177" t="s">
        <v>0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</row>
    <row r="3" spans="1:70" s="797" customFormat="1" ht="17.399999999999999" x14ac:dyDescent="0.2">
      <c r="A3" s="1177" t="s">
        <v>1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1177"/>
      <c r="AA3" s="1177"/>
      <c r="AB3" s="1177"/>
      <c r="AC3" s="1177"/>
    </row>
    <row r="4" spans="1:70" s="797" customFormat="1" ht="17.399999999999999" x14ac:dyDescent="0.2">
      <c r="A4" s="1177" t="s">
        <v>414</v>
      </c>
      <c r="B4" s="1177"/>
      <c r="C4" s="1177"/>
      <c r="D4" s="1177"/>
      <c r="E4" s="1177"/>
      <c r="F4" s="1177"/>
      <c r="G4" s="1177"/>
      <c r="H4" s="1177"/>
      <c r="I4" s="1177"/>
      <c r="J4" s="1177"/>
      <c r="K4" s="1177"/>
      <c r="L4" s="1177"/>
      <c r="M4" s="1177"/>
      <c r="N4" s="1177"/>
      <c r="O4" s="1177"/>
      <c r="P4" s="1177"/>
      <c r="Q4" s="1177"/>
      <c r="R4" s="1177"/>
      <c r="S4" s="1177"/>
      <c r="T4" s="1177"/>
      <c r="U4" s="1177"/>
      <c r="V4" s="1177"/>
      <c r="W4" s="1177"/>
      <c r="X4" s="1177"/>
      <c r="Y4" s="1177"/>
      <c r="Z4" s="1177"/>
      <c r="AA4" s="1177"/>
      <c r="AB4" s="1177"/>
      <c r="AC4" s="1177"/>
    </row>
    <row r="5" spans="1:70" s="901" customFormat="1" ht="21.15" customHeight="1" x14ac:dyDescent="0.3">
      <c r="A5" s="899" t="str">
        <f>+ADMON!A5</f>
        <v>QUINCENA DEL 16  AL 30  DE ABRIL - 2026</v>
      </c>
      <c r="B5" s="899"/>
      <c r="C5" s="899"/>
      <c r="D5" s="899"/>
      <c r="E5" s="899"/>
      <c r="F5" s="899"/>
      <c r="G5" s="899"/>
      <c r="H5" s="899"/>
      <c r="I5" s="899"/>
      <c r="J5" s="899"/>
      <c r="K5" s="899"/>
      <c r="L5" s="899"/>
      <c r="M5" s="899"/>
      <c r="N5" s="900"/>
      <c r="O5" s="899"/>
      <c r="P5" s="899"/>
      <c r="Q5" s="899"/>
      <c r="R5" s="899"/>
      <c r="S5" s="899"/>
      <c r="T5" s="899"/>
      <c r="U5" s="899"/>
      <c r="V5" s="899"/>
      <c r="W5" s="899"/>
      <c r="X5" s="899"/>
      <c r="Y5" s="899"/>
      <c r="Z5" s="899"/>
      <c r="AA5" s="899"/>
      <c r="AB5" s="899"/>
      <c r="AC5" s="899"/>
    </row>
    <row r="6" spans="1:70" s="797" customFormat="1" ht="14.25" customHeight="1" thickBot="1" x14ac:dyDescent="0.35">
      <c r="A6" s="769">
        <v>15</v>
      </c>
      <c r="B6" s="769"/>
      <c r="C6" s="769"/>
      <c r="D6" s="769"/>
      <c r="E6" s="769"/>
      <c r="F6" s="769"/>
      <c r="G6" s="770"/>
      <c r="H6" s="770"/>
      <c r="I6" s="769"/>
      <c r="J6" s="769"/>
      <c r="K6" s="769"/>
      <c r="L6" s="771" t="s">
        <v>226</v>
      </c>
      <c r="M6" s="771"/>
      <c r="N6" s="771"/>
      <c r="O6" s="771"/>
      <c r="P6" s="769"/>
      <c r="Q6" s="769"/>
      <c r="R6" s="770"/>
      <c r="S6" s="769"/>
      <c r="T6" s="769"/>
      <c r="U6" s="769"/>
      <c r="V6" s="769"/>
      <c r="W6" s="769"/>
      <c r="X6" s="769"/>
      <c r="Y6" s="769"/>
      <c r="Z6" s="769"/>
      <c r="AA6" s="769"/>
      <c r="AB6" s="769"/>
      <c r="AC6" s="769"/>
    </row>
    <row r="7" spans="1:70" s="768" customFormat="1" ht="30.75" customHeight="1" thickTop="1" thickBot="1" x14ac:dyDescent="0.25">
      <c r="A7" s="1265" t="s">
        <v>2</v>
      </c>
      <c r="B7" s="1265" t="s">
        <v>3</v>
      </c>
      <c r="C7" s="1267" t="s">
        <v>294</v>
      </c>
      <c r="D7" s="1265" t="s">
        <v>6</v>
      </c>
      <c r="E7" s="1315" t="s">
        <v>187</v>
      </c>
      <c r="F7" s="1265" t="s">
        <v>7</v>
      </c>
      <c r="G7" s="1294" t="s">
        <v>126</v>
      </c>
      <c r="H7" s="1174" t="s">
        <v>125</v>
      </c>
      <c r="I7" s="1265" t="s">
        <v>8</v>
      </c>
      <c r="J7" s="1279" t="s">
        <v>9</v>
      </c>
      <c r="K7" s="1279"/>
      <c r="L7" s="1279"/>
      <c r="M7" s="772"/>
      <c r="N7" s="772"/>
      <c r="O7" s="772"/>
      <c r="P7" s="1265" t="s">
        <v>10</v>
      </c>
      <c r="Q7" s="1265"/>
      <c r="R7" s="1265"/>
      <c r="S7" s="1265"/>
      <c r="T7" s="1278" t="s">
        <v>268</v>
      </c>
      <c r="U7" s="1265" t="s">
        <v>31</v>
      </c>
      <c r="V7" s="1280" t="s">
        <v>224</v>
      </c>
      <c r="W7" s="1278" t="s">
        <v>193</v>
      </c>
      <c r="X7" s="1265" t="s">
        <v>12</v>
      </c>
      <c r="Y7" s="1265" t="s">
        <v>50</v>
      </c>
      <c r="Z7" s="1265" t="s">
        <v>14</v>
      </c>
      <c r="AA7" s="1265" t="s">
        <v>199</v>
      </c>
      <c r="AB7" s="1265" t="s">
        <v>252</v>
      </c>
      <c r="AC7" s="1265" t="s">
        <v>15</v>
      </c>
    </row>
    <row r="8" spans="1:70" s="773" customFormat="1" ht="28.5" customHeight="1" thickTop="1" thickBot="1" x14ac:dyDescent="0.25">
      <c r="A8" s="1265"/>
      <c r="B8" s="1265"/>
      <c r="C8" s="1267"/>
      <c r="D8" s="1265"/>
      <c r="E8" s="1316"/>
      <c r="F8" s="1265"/>
      <c r="G8" s="1294"/>
      <c r="H8" s="1175"/>
      <c r="I8" s="1265"/>
      <c r="J8" s="1265" t="s">
        <v>177</v>
      </c>
      <c r="K8" s="1272" t="s">
        <v>16</v>
      </c>
      <c r="L8" s="1273" t="s">
        <v>200</v>
      </c>
      <c r="M8" s="1273" t="s">
        <v>199</v>
      </c>
      <c r="N8" s="1273" t="s">
        <v>290</v>
      </c>
      <c r="O8" s="1273" t="s">
        <v>291</v>
      </c>
      <c r="P8" s="1265" t="s">
        <v>18</v>
      </c>
      <c r="Q8" s="1265" t="s">
        <v>19</v>
      </c>
      <c r="R8" s="1280" t="s">
        <v>75</v>
      </c>
      <c r="S8" s="1296" t="s">
        <v>20</v>
      </c>
      <c r="T8" s="1278"/>
      <c r="U8" s="1265"/>
      <c r="V8" s="1280"/>
      <c r="W8" s="1278"/>
      <c r="X8" s="1265"/>
      <c r="Y8" s="1265"/>
      <c r="Z8" s="1265"/>
      <c r="AA8" s="1265"/>
      <c r="AB8" s="1265"/>
      <c r="AC8" s="1265"/>
    </row>
    <row r="9" spans="1:70" s="773" customFormat="1" ht="31.5" customHeight="1" thickTop="1" thickBot="1" x14ac:dyDescent="0.25">
      <c r="A9" s="1265"/>
      <c r="B9" s="1265"/>
      <c r="C9" s="1267"/>
      <c r="D9" s="1265"/>
      <c r="E9" s="1317"/>
      <c r="F9" s="1265"/>
      <c r="G9" s="1294"/>
      <c r="H9" s="1176"/>
      <c r="I9" s="1265"/>
      <c r="J9" s="1265"/>
      <c r="K9" s="1272"/>
      <c r="L9" s="1273"/>
      <c r="M9" s="1273"/>
      <c r="N9" s="1273"/>
      <c r="O9" s="1273"/>
      <c r="P9" s="1265"/>
      <c r="Q9" s="1265"/>
      <c r="R9" s="1280"/>
      <c r="S9" s="1296"/>
      <c r="T9" s="1278"/>
      <c r="U9" s="1265"/>
      <c r="V9" s="1280"/>
      <c r="W9" s="1278"/>
      <c r="X9" s="1265"/>
      <c r="Y9" s="1265"/>
      <c r="Z9" s="1265"/>
      <c r="AA9" s="1265"/>
      <c r="AB9" s="1265"/>
      <c r="AC9" s="1265"/>
    </row>
    <row r="10" spans="1:70" s="833" customFormat="1" ht="29.4" customHeight="1" thickTop="1" thickBot="1" x14ac:dyDescent="0.25">
      <c r="A10" s="1312" t="s">
        <v>422</v>
      </c>
      <c r="B10" s="1313"/>
      <c r="C10" s="1313"/>
      <c r="D10" s="1313"/>
      <c r="E10" s="1313"/>
      <c r="F10" s="1314"/>
      <c r="G10" s="880"/>
      <c r="H10" s="881"/>
      <c r="I10" s="882"/>
      <c r="J10" s="882"/>
      <c r="K10" s="882"/>
      <c r="L10" s="882"/>
      <c r="M10" s="882"/>
      <c r="N10" s="882"/>
      <c r="O10" s="882"/>
      <c r="P10" s="882"/>
      <c r="Q10" s="882"/>
      <c r="R10" s="882"/>
      <c r="S10" s="882"/>
      <c r="T10" s="882"/>
      <c r="U10" s="882"/>
      <c r="V10" s="882"/>
      <c r="W10" s="882"/>
      <c r="X10" s="883"/>
      <c r="Y10" s="882"/>
      <c r="Z10" s="882"/>
      <c r="AA10" s="882"/>
      <c r="AB10" s="882"/>
      <c r="AC10" s="882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</row>
    <row r="11" spans="1:70" s="776" customFormat="1" ht="81" customHeight="1" thickTop="1" thickBot="1" x14ac:dyDescent="0.25">
      <c r="A11" s="840">
        <v>1</v>
      </c>
      <c r="B11" s="841">
        <v>8069333</v>
      </c>
      <c r="C11" s="644" t="s">
        <v>243</v>
      </c>
      <c r="D11" s="632" t="s">
        <v>407</v>
      </c>
      <c r="E11" s="777" t="s">
        <v>32</v>
      </c>
      <c r="F11" s="777" t="s">
        <v>408</v>
      </c>
      <c r="G11" s="778">
        <v>700</v>
      </c>
      <c r="H11" s="779">
        <f>LOOKUP(A6,'Cambio del dia'!F1:G38)</f>
        <v>36.624299999999998</v>
      </c>
      <c r="I11" s="780">
        <f t="shared" ref="I11" si="0">+H11*G11</f>
        <v>25637.01</v>
      </c>
      <c r="J11" s="780">
        <f t="shared" ref="J11" si="1">(I11/30)*K11</f>
        <v>12818.504999999999</v>
      </c>
      <c r="K11" s="1079">
        <v>15</v>
      </c>
      <c r="L11" s="781">
        <f t="shared" ref="L11" si="2">+J11</f>
        <v>12818.504999999999</v>
      </c>
      <c r="M11" s="781"/>
      <c r="N11" s="781"/>
      <c r="O11" s="781">
        <f>+L11</f>
        <v>12818.504999999999</v>
      </c>
      <c r="P11" s="780">
        <f t="shared" ref="P11" si="3">IF(B11="",0,(L11*7%))</f>
        <v>897.29534999999998</v>
      </c>
      <c r="Q11" s="780">
        <f t="shared" ref="Q11:Q24" si="4">+((((L11-P11)*24)-100000)*15%/24)</f>
        <v>1163.1814474999999</v>
      </c>
      <c r="R11" s="782">
        <v>0</v>
      </c>
      <c r="S11" s="783">
        <f t="shared" ref="S11" si="5">+P11+Q11+R11</f>
        <v>2060.4767975</v>
      </c>
      <c r="T11" s="783">
        <f>L11-P11-Q11</f>
        <v>10758.0282025</v>
      </c>
      <c r="U11" s="787"/>
      <c r="V11" s="783">
        <v>0</v>
      </c>
      <c r="W11" s="785">
        <f>+U11+T11-V11</f>
        <v>10758.0282025</v>
      </c>
      <c r="X11" s="786">
        <f>+A11</f>
        <v>1</v>
      </c>
      <c r="Y11" s="787">
        <f>+L11*21.5%</f>
        <v>2755.9785749999996</v>
      </c>
      <c r="Z11" s="780">
        <f>IF(P11&gt;0,L11*2%,0)</f>
        <v>256.37009999999998</v>
      </c>
      <c r="AA11" s="780">
        <f>+J11/12</f>
        <v>1068.20875</v>
      </c>
      <c r="AB11" s="780">
        <f t="shared" ref="AB11" si="6">+AA11</f>
        <v>1068.20875</v>
      </c>
      <c r="AC11" s="780">
        <f>SUM(L11,Y11:Z11)+AA11+AB11</f>
        <v>17967.271175000002</v>
      </c>
    </row>
    <row r="12" spans="1:70" s="776" customFormat="1" ht="94.2" customHeight="1" thickTop="1" thickBot="1" x14ac:dyDescent="0.4">
      <c r="A12" s="840">
        <v>2</v>
      </c>
      <c r="B12" s="842">
        <v>25093885</v>
      </c>
      <c r="C12" s="645" t="s">
        <v>90</v>
      </c>
      <c r="D12" s="632" t="s">
        <v>281</v>
      </c>
      <c r="E12" s="777" t="s">
        <v>32</v>
      </c>
      <c r="F12" s="777" t="s">
        <v>403</v>
      </c>
      <c r="G12" s="778">
        <v>350</v>
      </c>
      <c r="H12" s="779">
        <v>36.624299999999998</v>
      </c>
      <c r="I12" s="780">
        <f>+H12*G12</f>
        <v>12818.504999999999</v>
      </c>
      <c r="J12" s="780">
        <f>(I12/30)*K12</f>
        <v>6409.2524999999996</v>
      </c>
      <c r="K12" s="1079">
        <v>15</v>
      </c>
      <c r="L12" s="781">
        <f>+J12</f>
        <v>6409.2524999999996</v>
      </c>
      <c r="M12" s="781"/>
      <c r="N12" s="781"/>
      <c r="O12" s="781">
        <f>+L12</f>
        <v>6409.2524999999996</v>
      </c>
      <c r="P12" s="780">
        <f>IF(B12="",0,(L12*7%))</f>
        <v>448.64767499999999</v>
      </c>
      <c r="Q12" s="780">
        <f>+((((L12-P12)*24)-100000)*15%/24)</f>
        <v>269.09072374999994</v>
      </c>
      <c r="R12" s="782">
        <v>0</v>
      </c>
      <c r="S12" s="783">
        <f>+P12+Q12+R12</f>
        <v>717.73839874999999</v>
      </c>
      <c r="T12" s="783">
        <f>+L12-S12</f>
        <v>5691.5141012499998</v>
      </c>
      <c r="U12" s="784"/>
      <c r="V12" s="783">
        <v>0</v>
      </c>
      <c r="W12" s="785">
        <f>+U12+T12-V12</f>
        <v>5691.5141012499998</v>
      </c>
      <c r="X12" s="786">
        <f>+A12</f>
        <v>2</v>
      </c>
      <c r="Y12" s="787">
        <f>+L12*21.5%</f>
        <v>1377.9892874999998</v>
      </c>
      <c r="Z12" s="780">
        <f>IF(P12&gt;0,L12*2%,0)</f>
        <v>128.18504999999999</v>
      </c>
      <c r="AA12" s="780">
        <f>+J12/12</f>
        <v>534.104375</v>
      </c>
      <c r="AB12" s="780">
        <f>+AA12</f>
        <v>534.104375</v>
      </c>
      <c r="AC12" s="780">
        <f>SUM(L12,Y12:Z12)+AA12+AB12</f>
        <v>8983.6355875000008</v>
      </c>
    </row>
    <row r="13" spans="1:70" s="776" customFormat="1" ht="94.2" hidden="1" customHeight="1" thickTop="1" thickBot="1" x14ac:dyDescent="0.4">
      <c r="A13" s="840">
        <v>3</v>
      </c>
      <c r="B13" s="841">
        <v>5357574</v>
      </c>
      <c r="C13" s="644" t="s">
        <v>111</v>
      </c>
      <c r="D13" s="632" t="s">
        <v>96</v>
      </c>
      <c r="E13" s="777" t="s">
        <v>32</v>
      </c>
      <c r="F13" s="777" t="s">
        <v>403</v>
      </c>
      <c r="G13" s="778">
        <v>350</v>
      </c>
      <c r="H13" s="779">
        <v>36.624299999999998</v>
      </c>
      <c r="I13" s="780">
        <f>+H13*G13</f>
        <v>12818.504999999999</v>
      </c>
      <c r="J13" s="780">
        <f>(I13/30)*K13</f>
        <v>0</v>
      </c>
      <c r="K13" s="1079">
        <v>0</v>
      </c>
      <c r="L13" s="781">
        <f>+J13</f>
        <v>0</v>
      </c>
      <c r="M13" s="781"/>
      <c r="N13" s="781"/>
      <c r="O13" s="781">
        <f>+L13</f>
        <v>0</v>
      </c>
      <c r="P13" s="780">
        <f>IF(B13="",0,(L13*7%))</f>
        <v>0</v>
      </c>
      <c r="Q13" s="780">
        <f>+((((L13-P13)*24)-100000)*15%/24)</f>
        <v>-625</v>
      </c>
      <c r="R13" s="782">
        <v>0</v>
      </c>
      <c r="S13" s="783">
        <f>+P13+Q13+R13</f>
        <v>-625</v>
      </c>
      <c r="T13" s="783">
        <v>0</v>
      </c>
      <c r="U13" s="784"/>
      <c r="V13" s="783">
        <v>0</v>
      </c>
      <c r="W13" s="785">
        <f>+U13+T13-V13</f>
        <v>0</v>
      </c>
      <c r="X13" s="786">
        <f>+A13</f>
        <v>3</v>
      </c>
      <c r="Y13" s="787">
        <f>+L13*21.5%</f>
        <v>0</v>
      </c>
      <c r="Z13" s="780">
        <f>IF(P13&gt;0,L13*2%,0)</f>
        <v>0</v>
      </c>
      <c r="AA13" s="780">
        <f>+J13/12</f>
        <v>0</v>
      </c>
      <c r="AB13" s="780">
        <f>+AA13</f>
        <v>0</v>
      </c>
      <c r="AC13" s="780">
        <f>SUM(L13,Y13:Z13)+AA13+AB13</f>
        <v>0</v>
      </c>
    </row>
    <row r="14" spans="1:70" s="776" customFormat="1" ht="84" customHeight="1" thickTop="1" thickBot="1" x14ac:dyDescent="0.4">
      <c r="A14" s="840">
        <v>4</v>
      </c>
      <c r="B14" s="841">
        <v>21371240</v>
      </c>
      <c r="C14" s="644" t="s">
        <v>223</v>
      </c>
      <c r="D14" s="632" t="s">
        <v>280</v>
      </c>
      <c r="E14" s="777" t="s">
        <v>32</v>
      </c>
      <c r="F14" s="777" t="s">
        <v>403</v>
      </c>
      <c r="G14" s="777">
        <v>350</v>
      </c>
      <c r="H14" s="940">
        <v>36.624299999999998</v>
      </c>
      <c r="I14" s="780">
        <f>+H14*G14</f>
        <v>12818.504999999999</v>
      </c>
      <c r="J14" s="780">
        <f>(I14/30)*K14</f>
        <v>6409.2524999999996</v>
      </c>
      <c r="K14" s="1079">
        <v>15</v>
      </c>
      <c r="L14" s="783">
        <f>+J14</f>
        <v>6409.2524999999996</v>
      </c>
      <c r="M14" s="783"/>
      <c r="N14" s="783"/>
      <c r="O14" s="783">
        <f>+L14</f>
        <v>6409.2524999999996</v>
      </c>
      <c r="P14" s="780">
        <f>IF(B14="",0,(L14*7%))</f>
        <v>448.64767499999999</v>
      </c>
      <c r="Q14" s="780">
        <f>+((((L14-P14)*24)-100000)*15%/24)</f>
        <v>269.09072374999994</v>
      </c>
      <c r="R14" s="780">
        <v>0</v>
      </c>
      <c r="S14" s="783">
        <f>+P14+Q14+R14</f>
        <v>717.73839874999999</v>
      </c>
      <c r="T14" s="783">
        <f>+L14-S14</f>
        <v>5691.5141012499998</v>
      </c>
      <c r="U14" s="784"/>
      <c r="V14" s="783">
        <v>0</v>
      </c>
      <c r="W14" s="785">
        <f>+U14+T14-V14</f>
        <v>5691.5141012499998</v>
      </c>
      <c r="X14" s="786">
        <f>+A14</f>
        <v>4</v>
      </c>
      <c r="Y14" s="787">
        <f>+L14*21.5%</f>
        <v>1377.9892874999998</v>
      </c>
      <c r="Z14" s="780">
        <f>IF(P14&gt;0,L14*2%,0)</f>
        <v>128.18504999999999</v>
      </c>
      <c r="AA14" s="780">
        <f>+J14/12</f>
        <v>534.104375</v>
      </c>
      <c r="AB14" s="780">
        <f>+AA14</f>
        <v>534.104375</v>
      </c>
      <c r="AC14" s="780">
        <f>SUM(L14,Y14:Z14)+AA14+AB14</f>
        <v>8983.6355875000008</v>
      </c>
    </row>
    <row r="15" spans="1:70" s="776" customFormat="1" ht="95.25" customHeight="1" thickTop="1" thickBot="1" x14ac:dyDescent="0.4">
      <c r="A15" s="840">
        <v>5</v>
      </c>
      <c r="B15" s="841">
        <v>19144283</v>
      </c>
      <c r="C15" s="644" t="s">
        <v>228</v>
      </c>
      <c r="D15" s="632" t="s">
        <v>227</v>
      </c>
      <c r="E15" s="777" t="s">
        <v>32</v>
      </c>
      <c r="F15" s="777" t="s">
        <v>403</v>
      </c>
      <c r="G15" s="777">
        <v>350</v>
      </c>
      <c r="H15" s="940">
        <v>36.624299999999998</v>
      </c>
      <c r="I15" s="780">
        <f>+H15*G15</f>
        <v>12818.504999999999</v>
      </c>
      <c r="J15" s="780">
        <f>(I15/30)*K15</f>
        <v>6409.2524999999996</v>
      </c>
      <c r="K15" s="1079">
        <v>15</v>
      </c>
      <c r="L15" s="783">
        <f>+J15</f>
        <v>6409.2524999999996</v>
      </c>
      <c r="M15" s="783"/>
      <c r="N15" s="783"/>
      <c r="O15" s="783">
        <f>+L15</f>
        <v>6409.2524999999996</v>
      </c>
      <c r="P15" s="780">
        <f>IF(B15="",0,(L15*7%))</f>
        <v>448.64767499999999</v>
      </c>
      <c r="Q15" s="780">
        <f>+((((L15-P15)*24)-100000)*15%/24)</f>
        <v>269.09072374999994</v>
      </c>
      <c r="R15" s="780">
        <v>0</v>
      </c>
      <c r="S15" s="783">
        <f>+P15+Q15+R15</f>
        <v>717.73839874999999</v>
      </c>
      <c r="T15" s="783">
        <f>+L15-S15</f>
        <v>5691.5141012499998</v>
      </c>
      <c r="U15" s="784"/>
      <c r="V15" s="783">
        <v>0</v>
      </c>
      <c r="W15" s="785">
        <f>+U15+T15-V15</f>
        <v>5691.5141012499998</v>
      </c>
      <c r="X15" s="786">
        <f>+A15</f>
        <v>5</v>
      </c>
      <c r="Y15" s="787">
        <f>+L15*21.5%</f>
        <v>1377.9892874999998</v>
      </c>
      <c r="Z15" s="780">
        <f>IF(P15&gt;0,L15*2%,0)</f>
        <v>128.18504999999999</v>
      </c>
      <c r="AA15" s="780">
        <f>+J15/12</f>
        <v>534.104375</v>
      </c>
      <c r="AB15" s="780">
        <f>+AA15</f>
        <v>534.104375</v>
      </c>
      <c r="AC15" s="780">
        <f>SUM(L15,Y15:Z15)+AA15+AB15</f>
        <v>8983.6355875000008</v>
      </c>
    </row>
    <row r="16" spans="1:70" s="776" customFormat="1" ht="49.2" customHeight="1" thickTop="1" thickBot="1" x14ac:dyDescent="0.25">
      <c r="A16" s="1306" t="s">
        <v>365</v>
      </c>
      <c r="B16" s="1307"/>
      <c r="C16" s="1307"/>
      <c r="D16" s="1307"/>
      <c r="E16" s="1307"/>
      <c r="F16" s="1308"/>
      <c r="G16" s="843"/>
      <c r="H16" s="794"/>
      <c r="I16" s="795">
        <f>SUM(I11:I15)</f>
        <v>76911.03</v>
      </c>
      <c r="J16" s="795">
        <f t="shared" ref="J16:Y16" si="7">SUM(J11:J15)</f>
        <v>32046.262499999997</v>
      </c>
      <c r="K16" s="795">
        <f t="shared" si="7"/>
        <v>60</v>
      </c>
      <c r="L16" s="795">
        <f t="shared" si="7"/>
        <v>32046.262499999997</v>
      </c>
      <c r="M16" s="795">
        <f t="shared" si="7"/>
        <v>0</v>
      </c>
      <c r="N16" s="795">
        <f t="shared" si="7"/>
        <v>0</v>
      </c>
      <c r="O16" s="795">
        <f t="shared" si="7"/>
        <v>32046.262499999997</v>
      </c>
      <c r="P16" s="795">
        <f t="shared" si="7"/>
        <v>2243.2383749999999</v>
      </c>
      <c r="Q16" s="795">
        <f t="shared" si="7"/>
        <v>1345.4536187499998</v>
      </c>
      <c r="R16" s="795">
        <f t="shared" si="7"/>
        <v>0</v>
      </c>
      <c r="S16" s="795">
        <f t="shared" si="7"/>
        <v>3588.6919937499997</v>
      </c>
      <c r="T16" s="795">
        <f t="shared" si="7"/>
        <v>27832.570506249998</v>
      </c>
      <c r="U16" s="795">
        <f t="shared" si="7"/>
        <v>0</v>
      </c>
      <c r="V16" s="795">
        <f t="shared" si="7"/>
        <v>0</v>
      </c>
      <c r="W16" s="795">
        <f t="shared" si="7"/>
        <v>27832.570506249998</v>
      </c>
      <c r="X16" s="790"/>
      <c r="Y16" s="795">
        <f t="shared" si="7"/>
        <v>6889.9464374999989</v>
      </c>
      <c r="Z16" s="795">
        <f t="shared" ref="Z16" si="8">SUM(Z11:Z15)</f>
        <v>640.92525000000001</v>
      </c>
      <c r="AA16" s="795">
        <f t="shared" ref="AA16" si="9">SUM(AA11:AA15)</f>
        <v>2670.5218749999999</v>
      </c>
      <c r="AB16" s="795">
        <f t="shared" ref="AB16" si="10">SUM(AB11:AB15)</f>
        <v>2670.5218749999999</v>
      </c>
      <c r="AC16" s="795">
        <f t="shared" ref="AC16" si="11">SUM(AC11:AC15)</f>
        <v>44918.177937500004</v>
      </c>
    </row>
    <row r="17" spans="1:29" s="776" customFormat="1" ht="34.950000000000003" customHeight="1" thickTop="1" thickBot="1" x14ac:dyDescent="0.25">
      <c r="A17" s="1303" t="s">
        <v>232</v>
      </c>
      <c r="B17" s="1304"/>
      <c r="C17" s="1304"/>
      <c r="D17" s="1304"/>
      <c r="E17" s="1304"/>
      <c r="F17" s="1305"/>
      <c r="G17" s="884"/>
      <c r="H17" s="885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6"/>
      <c r="W17" s="886"/>
      <c r="X17" s="878"/>
      <c r="Y17" s="886"/>
      <c r="Z17" s="886"/>
      <c r="AA17" s="886"/>
      <c r="AB17" s="886"/>
      <c r="AC17" s="886"/>
    </row>
    <row r="18" spans="1:29" s="776" customFormat="1" ht="80.25" customHeight="1" thickTop="1" thickBot="1" x14ac:dyDescent="0.25">
      <c r="A18" s="844">
        <v>6</v>
      </c>
      <c r="B18" s="845">
        <v>16167647</v>
      </c>
      <c r="C18" s="836" t="s">
        <v>110</v>
      </c>
      <c r="D18" s="766" t="s">
        <v>109</v>
      </c>
      <c r="E18" s="846" t="s">
        <v>32</v>
      </c>
      <c r="F18" s="846" t="s">
        <v>409</v>
      </c>
      <c r="G18" s="778">
        <v>500</v>
      </c>
      <c r="H18" s="779">
        <f>LOOKUP(A6,'Cambio del dia'!F2:G38)</f>
        <v>36.624299999999998</v>
      </c>
      <c r="I18" s="780">
        <f t="shared" ref="I18:I27" si="12">+H18*G18</f>
        <v>18312.149999999998</v>
      </c>
      <c r="J18" s="780">
        <f t="shared" ref="J18" si="13">(I18/30)*K18</f>
        <v>9156.0749999999989</v>
      </c>
      <c r="K18" s="1079">
        <v>15</v>
      </c>
      <c r="L18" s="781">
        <f t="shared" ref="L18:L19" si="14">+J18</f>
        <v>9156.0749999999989</v>
      </c>
      <c r="M18" s="781"/>
      <c r="N18" s="781"/>
      <c r="O18" s="781">
        <f>+L18</f>
        <v>9156.0749999999989</v>
      </c>
      <c r="P18" s="780">
        <f t="shared" ref="P18:P19" si="15">IF(B18="",0,(L18*7%))</f>
        <v>640.92525000000001</v>
      </c>
      <c r="Q18" s="780">
        <f t="shared" si="4"/>
        <v>652.27246249999985</v>
      </c>
      <c r="R18" s="782">
        <v>0</v>
      </c>
      <c r="S18" s="783">
        <f t="shared" ref="S18" si="16">+P18+Q18+R18</f>
        <v>1293.1977124999999</v>
      </c>
      <c r="T18" s="783">
        <f>L18-P18-Q18</f>
        <v>7862.8772874999986</v>
      </c>
      <c r="U18" s="787"/>
      <c r="V18" s="783">
        <v>0</v>
      </c>
      <c r="W18" s="785">
        <f>+U18+T18-V18</f>
        <v>7862.8772874999986</v>
      </c>
      <c r="X18" s="786">
        <f>+A18</f>
        <v>6</v>
      </c>
      <c r="Y18" s="787">
        <f>+L18*21.5%</f>
        <v>1968.5561249999998</v>
      </c>
      <c r="Z18" s="780">
        <f>IF(P18&gt;0,L18*2%,0)</f>
        <v>183.12149999999997</v>
      </c>
      <c r="AA18" s="780">
        <f>+J18/12</f>
        <v>763.00624999999991</v>
      </c>
      <c r="AB18" s="780">
        <f t="shared" ref="AB18:AB27" si="17">+AA18</f>
        <v>763.00624999999991</v>
      </c>
      <c r="AC18" s="780">
        <f>SUM(L18,Y18:Z18)+AA18+AB18</f>
        <v>12833.765124999998</v>
      </c>
    </row>
    <row r="19" spans="1:29" s="776" customFormat="1" ht="87" customHeight="1" thickTop="1" thickBot="1" x14ac:dyDescent="0.25">
      <c r="A19" s="840">
        <v>7</v>
      </c>
      <c r="B19" s="847">
        <v>14049864</v>
      </c>
      <c r="C19" s="644" t="s">
        <v>173</v>
      </c>
      <c r="D19" s="632" t="s">
        <v>174</v>
      </c>
      <c r="E19" s="777" t="s">
        <v>32</v>
      </c>
      <c r="F19" s="777" t="s">
        <v>410</v>
      </c>
      <c r="G19" s="778">
        <v>500</v>
      </c>
      <c r="H19" s="779">
        <v>36.624299999999998</v>
      </c>
      <c r="I19" s="780">
        <f t="shared" si="12"/>
        <v>18312.149999999998</v>
      </c>
      <c r="J19" s="780">
        <f>(I19/30)*K19</f>
        <v>9156.0749999999989</v>
      </c>
      <c r="K19" s="1079">
        <v>15</v>
      </c>
      <c r="L19" s="781">
        <f t="shared" si="14"/>
        <v>9156.0749999999989</v>
      </c>
      <c r="M19" s="781"/>
      <c r="N19" s="781"/>
      <c r="O19" s="781">
        <f t="shared" ref="O19" si="18">+L19</f>
        <v>9156.0749999999989</v>
      </c>
      <c r="P19" s="780">
        <f t="shared" si="15"/>
        <v>640.92525000000001</v>
      </c>
      <c r="Q19" s="780">
        <f t="shared" si="4"/>
        <v>652.27246249999985</v>
      </c>
      <c r="R19" s="782">
        <v>0</v>
      </c>
      <c r="S19" s="783">
        <f>+P19+Q19+R19</f>
        <v>1293.1977124999999</v>
      </c>
      <c r="T19" s="783">
        <f>L19-P19-Q19</f>
        <v>7862.8772874999986</v>
      </c>
      <c r="U19" s="787"/>
      <c r="V19" s="783">
        <v>0</v>
      </c>
      <c r="W19" s="785">
        <f>+U19+T19-V19</f>
        <v>7862.8772874999986</v>
      </c>
      <c r="X19" s="786">
        <f>+A19</f>
        <v>7</v>
      </c>
      <c r="Y19" s="787">
        <f>+L19*21.5%</f>
        <v>1968.5561249999998</v>
      </c>
      <c r="Z19" s="780">
        <f>IF(P19&gt;0,L19*2%,0)</f>
        <v>183.12149999999997</v>
      </c>
      <c r="AA19" s="780">
        <f>+J19/12</f>
        <v>763.00624999999991</v>
      </c>
      <c r="AB19" s="780">
        <f t="shared" si="17"/>
        <v>763.00624999999991</v>
      </c>
      <c r="AC19" s="780">
        <f>SUM(L19,Y19:Z19)+AA19+AB19</f>
        <v>12833.765124999998</v>
      </c>
    </row>
    <row r="20" spans="1:29" s="776" customFormat="1" ht="94.2" hidden="1" customHeight="1" thickTop="1" thickBot="1" x14ac:dyDescent="0.4">
      <c r="A20" s="840">
        <v>8</v>
      </c>
      <c r="B20" s="939">
        <v>9034666</v>
      </c>
      <c r="C20" s="644" t="s">
        <v>21</v>
      </c>
      <c r="D20" s="632" t="s">
        <v>49</v>
      </c>
      <c r="E20" s="777" t="s">
        <v>188</v>
      </c>
      <c r="F20" s="777" t="s">
        <v>217</v>
      </c>
      <c r="G20" s="777">
        <v>298.98180000000002</v>
      </c>
      <c r="H20" s="940">
        <v>36.624299999999998</v>
      </c>
      <c r="I20" s="780">
        <f t="shared" ref="I20:I24" si="19">+H20*G20</f>
        <v>10949.99913774</v>
      </c>
      <c r="J20" s="780">
        <f t="shared" ref="J20:J24" si="20">(I20/30)*K20</f>
        <v>0</v>
      </c>
      <c r="K20" s="1079">
        <v>0</v>
      </c>
      <c r="L20" s="783">
        <f t="shared" ref="L20:L24" si="21">+J20</f>
        <v>0</v>
      </c>
      <c r="M20" s="783"/>
      <c r="N20" s="783"/>
      <c r="O20" s="783">
        <f t="shared" ref="O20:O24" si="22">+L20</f>
        <v>0</v>
      </c>
      <c r="P20" s="780">
        <f t="shared" ref="P20:P24" si="23">IF(B20="",0,(L20*7%))</f>
        <v>0</v>
      </c>
      <c r="Q20" s="780">
        <v>0</v>
      </c>
      <c r="R20" s="780">
        <v>0</v>
      </c>
      <c r="S20" s="783">
        <f t="shared" ref="S20:S24" si="24">+P20+Q20+R20</f>
        <v>0</v>
      </c>
      <c r="T20" s="783">
        <f t="shared" ref="T20:T24" si="25">+L20-S20</f>
        <v>0</v>
      </c>
      <c r="U20" s="784"/>
      <c r="V20" s="783">
        <v>0</v>
      </c>
      <c r="W20" s="785">
        <f>+U20+T20-V20</f>
        <v>0</v>
      </c>
      <c r="X20" s="786">
        <f>+A20</f>
        <v>8</v>
      </c>
      <c r="Y20" s="787">
        <f>+L20*21.5%</f>
        <v>0</v>
      </c>
      <c r="Z20" s="780">
        <f>IF(P20&gt;0,L20*2%,0)</f>
        <v>0</v>
      </c>
      <c r="AA20" s="780">
        <f>+J20/12</f>
        <v>0</v>
      </c>
      <c r="AB20" s="780">
        <f t="shared" ref="AB20:AB24" si="26">+AA20</f>
        <v>0</v>
      </c>
      <c r="AC20" s="780">
        <f>SUM(L20,Y20:Z20)+AA20+AB20</f>
        <v>0</v>
      </c>
    </row>
    <row r="21" spans="1:29" s="776" customFormat="1" ht="82.5" customHeight="1" thickTop="1" thickBot="1" x14ac:dyDescent="0.4">
      <c r="A21" s="848">
        <v>9</v>
      </c>
      <c r="B21" s="1091">
        <v>26875888</v>
      </c>
      <c r="C21" s="891" t="s">
        <v>416</v>
      </c>
      <c r="D21" s="760" t="s">
        <v>411</v>
      </c>
      <c r="E21" s="788" t="s">
        <v>32</v>
      </c>
      <c r="F21" s="788" t="s">
        <v>412</v>
      </c>
      <c r="G21" s="777">
        <v>298.98180000000002</v>
      </c>
      <c r="H21" s="940">
        <v>36.624299999999998</v>
      </c>
      <c r="I21" s="780">
        <f t="shared" si="19"/>
        <v>10949.99913774</v>
      </c>
      <c r="J21" s="780">
        <f t="shared" si="20"/>
        <v>5474.9995688700001</v>
      </c>
      <c r="K21" s="1079">
        <v>15</v>
      </c>
      <c r="L21" s="783">
        <f t="shared" si="21"/>
        <v>5474.9995688700001</v>
      </c>
      <c r="M21" s="783"/>
      <c r="N21" s="783"/>
      <c r="O21" s="783">
        <f t="shared" si="22"/>
        <v>5474.9995688700001</v>
      </c>
      <c r="P21" s="780">
        <f t="shared" si="23"/>
        <v>383.24996982090005</v>
      </c>
      <c r="Q21" s="780">
        <f t="shared" si="4"/>
        <v>138.76243985736491</v>
      </c>
      <c r="R21" s="780">
        <v>0</v>
      </c>
      <c r="S21" s="783">
        <f t="shared" si="24"/>
        <v>522.01240967826493</v>
      </c>
      <c r="T21" s="783">
        <f t="shared" si="25"/>
        <v>4952.9871591917354</v>
      </c>
      <c r="U21" s="784"/>
      <c r="V21" s="783">
        <v>500</v>
      </c>
      <c r="W21" s="785">
        <f>+U21+T21-V21</f>
        <v>4452.9871591917354</v>
      </c>
      <c r="X21" s="786">
        <f>+A21</f>
        <v>9</v>
      </c>
      <c r="Y21" s="787">
        <f>+L21*21.5%</f>
        <v>1177.1249073070501</v>
      </c>
      <c r="Z21" s="780">
        <f>IF(P21&gt;0,L21*2%,0)</f>
        <v>109.49999137740001</v>
      </c>
      <c r="AA21" s="780">
        <f>+J21/12</f>
        <v>456.24996407250001</v>
      </c>
      <c r="AB21" s="780">
        <f t="shared" si="26"/>
        <v>456.24996407250001</v>
      </c>
      <c r="AC21" s="780">
        <f>SUM(L21,Y21:Z21)+AA21+AB21</f>
        <v>7674.1243956994504</v>
      </c>
    </row>
    <row r="22" spans="1:29" s="776" customFormat="1" ht="54.6" customHeight="1" thickTop="1" thickBot="1" x14ac:dyDescent="0.25">
      <c r="A22" s="1300" t="s">
        <v>365</v>
      </c>
      <c r="B22" s="1301"/>
      <c r="C22" s="1301"/>
      <c r="D22" s="1301"/>
      <c r="E22" s="1301"/>
      <c r="F22" s="1302"/>
      <c r="G22" s="789"/>
      <c r="H22" s="794"/>
      <c r="I22" s="795">
        <f>SUM(I18:I21)</f>
        <v>58524.298275479996</v>
      </c>
      <c r="J22" s="795">
        <f t="shared" ref="J22:Y22" si="27">SUM(J18:J21)</f>
        <v>23787.149568869998</v>
      </c>
      <c r="K22" s="795">
        <f t="shared" si="27"/>
        <v>45</v>
      </c>
      <c r="L22" s="795">
        <f t="shared" si="27"/>
        <v>23787.149568869998</v>
      </c>
      <c r="M22" s="795">
        <f t="shared" si="27"/>
        <v>0</v>
      </c>
      <c r="N22" s="795">
        <f t="shared" si="27"/>
        <v>0</v>
      </c>
      <c r="O22" s="795">
        <f t="shared" si="27"/>
        <v>23787.149568869998</v>
      </c>
      <c r="P22" s="795">
        <f t="shared" si="27"/>
        <v>1665.1004698209001</v>
      </c>
      <c r="Q22" s="795">
        <f t="shared" si="27"/>
        <v>1443.3073648573645</v>
      </c>
      <c r="R22" s="795">
        <f t="shared" si="27"/>
        <v>0</v>
      </c>
      <c r="S22" s="795">
        <f t="shared" si="27"/>
        <v>3108.4078346782644</v>
      </c>
      <c r="T22" s="795">
        <f t="shared" si="27"/>
        <v>20678.741734191732</v>
      </c>
      <c r="U22" s="795">
        <f t="shared" si="27"/>
        <v>0</v>
      </c>
      <c r="V22" s="795">
        <f t="shared" si="27"/>
        <v>500</v>
      </c>
      <c r="W22" s="795">
        <f t="shared" si="27"/>
        <v>20178.741734191732</v>
      </c>
      <c r="X22" s="790"/>
      <c r="Y22" s="795">
        <f t="shared" si="27"/>
        <v>5114.2371573070495</v>
      </c>
      <c r="Z22" s="795">
        <f t="shared" ref="Z22" si="28">SUM(Z18:Z21)</f>
        <v>475.74299137739996</v>
      </c>
      <c r="AA22" s="795">
        <f t="shared" ref="AA22" si="29">SUM(AA18:AA21)</f>
        <v>1982.2624640724998</v>
      </c>
      <c r="AB22" s="795">
        <f t="shared" ref="AB22" si="30">SUM(AB18:AB21)</f>
        <v>1982.2624640724998</v>
      </c>
      <c r="AC22" s="795">
        <f t="shared" ref="AC22" si="31">SUM(AC18:AC21)</f>
        <v>33341.654645699447</v>
      </c>
    </row>
    <row r="23" spans="1:29" s="776" customFormat="1" ht="37.200000000000003" customHeight="1" thickTop="1" thickBot="1" x14ac:dyDescent="0.25">
      <c r="A23" s="1303" t="s">
        <v>423</v>
      </c>
      <c r="B23" s="1304"/>
      <c r="C23" s="1304"/>
      <c r="D23" s="1304" t="s">
        <v>423</v>
      </c>
      <c r="E23" s="1304"/>
      <c r="F23" s="1305"/>
      <c r="G23" s="877"/>
      <c r="H23" s="885"/>
      <c r="I23" s="886"/>
      <c r="J23" s="886"/>
      <c r="K23" s="886"/>
      <c r="L23" s="886"/>
      <c r="M23" s="886"/>
      <c r="N23" s="886"/>
      <c r="O23" s="886"/>
      <c r="P23" s="886"/>
      <c r="Q23" s="886"/>
      <c r="R23" s="886"/>
      <c r="S23" s="886"/>
      <c r="T23" s="886"/>
      <c r="U23" s="886"/>
      <c r="V23" s="886"/>
      <c r="W23" s="886"/>
      <c r="X23" s="878"/>
      <c r="Y23" s="886"/>
      <c r="Z23" s="886"/>
      <c r="AA23" s="886"/>
      <c r="AB23" s="886"/>
      <c r="AC23" s="886"/>
    </row>
    <row r="24" spans="1:29" s="776" customFormat="1" ht="62.25" customHeight="1" thickTop="1" thickBot="1" x14ac:dyDescent="0.4">
      <c r="A24" s="792">
        <v>10</v>
      </c>
      <c r="B24" s="984">
        <v>7305067</v>
      </c>
      <c r="C24" s="889" t="s">
        <v>415</v>
      </c>
      <c r="D24" s="761" t="s">
        <v>460</v>
      </c>
      <c r="E24" s="793" t="s">
        <v>188</v>
      </c>
      <c r="F24" s="793" t="s">
        <v>413</v>
      </c>
      <c r="G24" s="778">
        <v>298.98180000000002</v>
      </c>
      <c r="H24" s="779">
        <v>36.624299999999998</v>
      </c>
      <c r="I24" s="780">
        <f t="shared" si="19"/>
        <v>10949.99913774</v>
      </c>
      <c r="J24" s="780">
        <f t="shared" si="20"/>
        <v>5474.9995688700001</v>
      </c>
      <c r="K24" s="1063">
        <v>15</v>
      </c>
      <c r="L24" s="781">
        <f t="shared" si="21"/>
        <v>5474.9995688700001</v>
      </c>
      <c r="M24" s="781"/>
      <c r="N24" s="781"/>
      <c r="O24" s="781">
        <f t="shared" si="22"/>
        <v>5474.9995688700001</v>
      </c>
      <c r="P24" s="780">
        <f t="shared" si="23"/>
        <v>383.24996982090005</v>
      </c>
      <c r="Q24" s="780">
        <f t="shared" si="4"/>
        <v>138.76243985736491</v>
      </c>
      <c r="R24" s="782">
        <v>0</v>
      </c>
      <c r="S24" s="783">
        <f t="shared" si="24"/>
        <v>522.01240967826493</v>
      </c>
      <c r="T24" s="783">
        <f t="shared" si="25"/>
        <v>4952.9871591917354</v>
      </c>
      <c r="U24" s="784"/>
      <c r="V24" s="783">
        <v>0</v>
      </c>
      <c r="W24" s="785">
        <f>+U24+T24-V24</f>
        <v>4952.9871591917354</v>
      </c>
      <c r="X24" s="786">
        <f>+A24</f>
        <v>10</v>
      </c>
      <c r="Y24" s="787">
        <f>+L24*21.5%</f>
        <v>1177.1249073070501</v>
      </c>
      <c r="Z24" s="780">
        <f>IF(P24&gt;0,L24*2%,0)</f>
        <v>109.49999137740001</v>
      </c>
      <c r="AA24" s="780">
        <f>+J24/12</f>
        <v>456.24996407250001</v>
      </c>
      <c r="AB24" s="780">
        <f t="shared" si="26"/>
        <v>456.24996407250001</v>
      </c>
      <c r="AC24" s="780">
        <f>SUM(L24,Y24:Z24)+AA24+AB24</f>
        <v>7674.1243956994504</v>
      </c>
    </row>
    <row r="25" spans="1:29" s="776" customFormat="1" ht="51.6" customHeight="1" thickTop="1" thickBot="1" x14ac:dyDescent="0.25">
      <c r="A25" s="1309" t="s">
        <v>365</v>
      </c>
      <c r="B25" s="1310"/>
      <c r="C25" s="1310"/>
      <c r="D25" s="1310"/>
      <c r="E25" s="1310"/>
      <c r="F25" s="1311"/>
      <c r="G25" s="849"/>
      <c r="H25" s="779"/>
      <c r="I25" s="795">
        <f>SUM(I24)</f>
        <v>10949.99913774</v>
      </c>
      <c r="J25" s="795">
        <f t="shared" ref="J25:Y25" si="32">SUM(J24)</f>
        <v>5474.9995688700001</v>
      </c>
      <c r="K25" s="795">
        <f t="shared" si="32"/>
        <v>15</v>
      </c>
      <c r="L25" s="795">
        <f t="shared" si="32"/>
        <v>5474.9995688700001</v>
      </c>
      <c r="M25" s="795">
        <f t="shared" si="32"/>
        <v>0</v>
      </c>
      <c r="N25" s="795">
        <f t="shared" si="32"/>
        <v>0</v>
      </c>
      <c r="O25" s="795">
        <f t="shared" si="32"/>
        <v>5474.9995688700001</v>
      </c>
      <c r="P25" s="795">
        <f t="shared" si="32"/>
        <v>383.24996982090005</v>
      </c>
      <c r="Q25" s="795">
        <f t="shared" si="32"/>
        <v>138.76243985736491</v>
      </c>
      <c r="R25" s="795">
        <f t="shared" si="32"/>
        <v>0</v>
      </c>
      <c r="S25" s="795">
        <f t="shared" si="32"/>
        <v>522.01240967826493</v>
      </c>
      <c r="T25" s="795">
        <f t="shared" si="32"/>
        <v>4952.9871591917354</v>
      </c>
      <c r="U25" s="795">
        <f t="shared" si="32"/>
        <v>0</v>
      </c>
      <c r="V25" s="795">
        <f t="shared" si="32"/>
        <v>0</v>
      </c>
      <c r="W25" s="795">
        <f t="shared" si="32"/>
        <v>4952.9871591917354</v>
      </c>
      <c r="X25" s="790"/>
      <c r="Y25" s="795">
        <f t="shared" si="32"/>
        <v>1177.1249073070501</v>
      </c>
      <c r="Z25" s="795">
        <f t="shared" ref="Z25" si="33">SUM(Z24)</f>
        <v>109.49999137740001</v>
      </c>
      <c r="AA25" s="795">
        <f t="shared" ref="AA25" si="34">SUM(AA24)</f>
        <v>456.24996407250001</v>
      </c>
      <c r="AB25" s="795">
        <f t="shared" ref="AB25" si="35">SUM(AB24)</f>
        <v>456.24996407250001</v>
      </c>
      <c r="AC25" s="795">
        <f t="shared" ref="AC25" si="36">SUM(AC24)</f>
        <v>7674.1243956994504</v>
      </c>
    </row>
    <row r="26" spans="1:29" s="776" customFormat="1" ht="36.6" customHeight="1" thickTop="1" thickBot="1" x14ac:dyDescent="0.25">
      <c r="A26" s="1303" t="s">
        <v>424</v>
      </c>
      <c r="B26" s="1304"/>
      <c r="C26" s="1304"/>
      <c r="D26" s="1304"/>
      <c r="E26" s="1304"/>
      <c r="F26" s="1305"/>
      <c r="G26" s="887"/>
      <c r="H26" s="888"/>
      <c r="I26" s="886"/>
      <c r="J26" s="886"/>
      <c r="K26" s="886"/>
      <c r="L26" s="886"/>
      <c r="M26" s="886"/>
      <c r="N26" s="886"/>
      <c r="O26" s="886"/>
      <c r="P26" s="886"/>
      <c r="Q26" s="886"/>
      <c r="R26" s="886"/>
      <c r="S26" s="886"/>
      <c r="T26" s="886"/>
      <c r="U26" s="886"/>
      <c r="V26" s="886"/>
      <c r="W26" s="886"/>
      <c r="X26" s="878"/>
      <c r="Y26" s="886"/>
      <c r="Z26" s="886"/>
      <c r="AA26" s="886"/>
      <c r="AB26" s="886"/>
      <c r="AC26" s="886"/>
    </row>
    <row r="27" spans="1:29" s="776" customFormat="1" ht="63" customHeight="1" thickTop="1" thickBot="1" x14ac:dyDescent="0.4">
      <c r="A27" s="850">
        <v>11</v>
      </c>
      <c r="B27" s="985">
        <v>21389447</v>
      </c>
      <c r="C27" s="890" t="s">
        <v>417</v>
      </c>
      <c r="D27" s="761" t="s">
        <v>461</v>
      </c>
      <c r="E27" s="793" t="s">
        <v>32</v>
      </c>
      <c r="F27" s="892" t="s">
        <v>466</v>
      </c>
      <c r="G27" s="778">
        <v>298.98180000000002</v>
      </c>
      <c r="H27" s="779">
        <v>36.624299999999998</v>
      </c>
      <c r="I27" s="780">
        <f t="shared" si="12"/>
        <v>10949.99913774</v>
      </c>
      <c r="J27" s="780">
        <v>5475</v>
      </c>
      <c r="K27" s="1079">
        <v>15</v>
      </c>
      <c r="L27" s="781">
        <v>4692.8549999999996</v>
      </c>
      <c r="M27" s="781">
        <f>L27/12</f>
        <v>391.07124999999996</v>
      </c>
      <c r="N27" s="781">
        <f>+L27/12</f>
        <v>391.07124999999996</v>
      </c>
      <c r="O27" s="781">
        <f>+L27++M27+N27</f>
        <v>5474.9974999999995</v>
      </c>
      <c r="P27" s="780">
        <f t="shared" ref="P27" si="37">IF(B27="",0,(L27*7%))</f>
        <v>328.49984999999998</v>
      </c>
      <c r="Q27" s="780">
        <f t="shared" ref="Q27" si="38">+((((L27-P27)*24)-100000)*15%/24)</f>
        <v>29.653272499999911</v>
      </c>
      <c r="R27" s="782">
        <v>0</v>
      </c>
      <c r="S27" s="783">
        <f t="shared" ref="S27" si="39">+P27+Q27+R27</f>
        <v>358.15312249999988</v>
      </c>
      <c r="T27" s="783">
        <f t="shared" ref="T27" si="40">+L27-S27</f>
        <v>4334.7018774999997</v>
      </c>
      <c r="U27" s="784"/>
      <c r="V27" s="783">
        <v>0</v>
      </c>
      <c r="W27" s="785">
        <f>+U27+T27-V27</f>
        <v>4334.7018774999997</v>
      </c>
      <c r="X27" s="786">
        <f>+A27</f>
        <v>11</v>
      </c>
      <c r="Y27" s="787">
        <f>+L27*21.5%</f>
        <v>1008.9638249999999</v>
      </c>
      <c r="Z27" s="780">
        <f>IF(P27&gt;0,L27*2%,0)</f>
        <v>93.857099999999988</v>
      </c>
      <c r="AA27" s="780">
        <f>+J27/12</f>
        <v>456.25</v>
      </c>
      <c r="AB27" s="780">
        <f t="shared" si="17"/>
        <v>456.25</v>
      </c>
      <c r="AC27" s="780">
        <f>SUM(L27,Y27:Z27)+AA27+AB27</f>
        <v>6708.1759249999996</v>
      </c>
    </row>
    <row r="28" spans="1:29" s="776" customFormat="1" ht="48" customHeight="1" thickTop="1" thickBot="1" x14ac:dyDescent="0.25">
      <c r="A28" s="1300" t="s">
        <v>365</v>
      </c>
      <c r="B28" s="1301"/>
      <c r="C28" s="1301"/>
      <c r="D28" s="1301"/>
      <c r="E28" s="1301"/>
      <c r="F28" s="1302"/>
      <c r="G28" s="851"/>
      <c r="H28" s="852"/>
      <c r="I28" s="795">
        <f>SUM(I27)</f>
        <v>10949.99913774</v>
      </c>
      <c r="J28" s="795">
        <f t="shared" ref="J28:Y28" si="41">SUM(J27)</f>
        <v>5475</v>
      </c>
      <c r="K28" s="795">
        <f t="shared" si="41"/>
        <v>15</v>
      </c>
      <c r="L28" s="795">
        <f t="shared" si="41"/>
        <v>4692.8549999999996</v>
      </c>
      <c r="M28" s="795">
        <f t="shared" si="41"/>
        <v>391.07124999999996</v>
      </c>
      <c r="N28" s="795">
        <f t="shared" si="41"/>
        <v>391.07124999999996</v>
      </c>
      <c r="O28" s="795">
        <f t="shared" si="41"/>
        <v>5474.9974999999995</v>
      </c>
      <c r="P28" s="795">
        <f t="shared" si="41"/>
        <v>328.49984999999998</v>
      </c>
      <c r="Q28" s="795">
        <f t="shared" si="41"/>
        <v>29.653272499999911</v>
      </c>
      <c r="R28" s="795">
        <f t="shared" si="41"/>
        <v>0</v>
      </c>
      <c r="S28" s="795">
        <f t="shared" si="41"/>
        <v>358.15312249999988</v>
      </c>
      <c r="T28" s="795">
        <f t="shared" si="41"/>
        <v>4334.7018774999997</v>
      </c>
      <c r="U28" s="795">
        <f t="shared" si="41"/>
        <v>0</v>
      </c>
      <c r="V28" s="795">
        <f t="shared" si="41"/>
        <v>0</v>
      </c>
      <c r="W28" s="795">
        <f t="shared" si="41"/>
        <v>4334.7018774999997</v>
      </c>
      <c r="X28" s="790"/>
      <c r="Y28" s="795">
        <f t="shared" si="41"/>
        <v>1008.9638249999999</v>
      </c>
      <c r="Z28" s="795">
        <f t="shared" ref="Z28" si="42">SUM(Z27)</f>
        <v>93.857099999999988</v>
      </c>
      <c r="AA28" s="795">
        <f t="shared" ref="AA28" si="43">SUM(AA27)</f>
        <v>456.25</v>
      </c>
      <c r="AB28" s="795">
        <f t="shared" ref="AB28" si="44">SUM(AB27)</f>
        <v>456.25</v>
      </c>
      <c r="AC28" s="795">
        <f t="shared" ref="AC28" si="45">SUM(AC27)</f>
        <v>6708.1759249999996</v>
      </c>
    </row>
    <row r="29" spans="1:29" s="14" customFormat="1" ht="67.5" hidden="1" customHeight="1" thickTop="1" thickBot="1" x14ac:dyDescent="0.3">
      <c r="A29" s="834">
        <v>15</v>
      </c>
      <c r="B29" s="835">
        <v>38675494</v>
      </c>
      <c r="C29" s="836" t="s">
        <v>248</v>
      </c>
      <c r="D29" s="838" t="s">
        <v>295</v>
      </c>
      <c r="E29" s="837" t="s">
        <v>32</v>
      </c>
      <c r="F29" s="837" t="s">
        <v>245</v>
      </c>
      <c r="G29" s="798">
        <v>167</v>
      </c>
      <c r="H29" s="799">
        <v>36.624299999999998</v>
      </c>
      <c r="I29" s="800">
        <v>6116.26</v>
      </c>
      <c r="J29" s="800">
        <f>(I29/30)*K29</f>
        <v>3058.13</v>
      </c>
      <c r="K29" s="801">
        <v>15</v>
      </c>
      <c r="L29" s="802">
        <f>+J29-M29-N29</f>
        <v>2548.4416666666666</v>
      </c>
      <c r="M29" s="802">
        <f>+J29/12</f>
        <v>254.84416666666667</v>
      </c>
      <c r="N29" s="802">
        <f>+J29/12</f>
        <v>254.84416666666667</v>
      </c>
      <c r="O29" s="802">
        <f>L29+M29+N29</f>
        <v>3058.13</v>
      </c>
      <c r="P29" s="800">
        <f>+(L29+M29)*7%</f>
        <v>196.23000833333336</v>
      </c>
      <c r="Q29" s="800"/>
      <c r="R29" s="803"/>
      <c r="S29" s="804">
        <f t="shared" ref="S29" si="46">+P29+Q29+R29</f>
        <v>196.23000833333336</v>
      </c>
      <c r="T29" s="804">
        <f>O29-P29</f>
        <v>2861.8999916666667</v>
      </c>
      <c r="U29" s="805"/>
      <c r="V29" s="804">
        <v>0</v>
      </c>
      <c r="W29" s="806">
        <f>O29-P29</f>
        <v>2861.8999916666667</v>
      </c>
      <c r="X29" s="807">
        <f>+A29</f>
        <v>15</v>
      </c>
      <c r="Y29" s="808">
        <f>+L29*21.5%</f>
        <v>547.91495833333329</v>
      </c>
      <c r="Z29" s="800">
        <f>IF(P29&gt;0,L29*2%,0)</f>
        <v>50.968833333333336</v>
      </c>
      <c r="AA29" s="800">
        <v>0</v>
      </c>
      <c r="AB29" s="800">
        <v>0</v>
      </c>
      <c r="AC29" s="800">
        <f>SUM(L29,Y29:Z29)+AA29+AB29</f>
        <v>3147.3254583333332</v>
      </c>
    </row>
    <row r="30" spans="1:29" s="839" customFormat="1" ht="75.75" customHeight="1" thickTop="1" thickBot="1" x14ac:dyDescent="0.25">
      <c r="A30" s="1318" t="s">
        <v>95</v>
      </c>
      <c r="B30" s="1319"/>
      <c r="C30" s="1319"/>
      <c r="D30" s="1319"/>
      <c r="E30" s="1319"/>
      <c r="F30" s="1320"/>
      <c r="G30" s="759"/>
      <c r="H30" s="759"/>
      <c r="I30" s="723">
        <f>+I16+I22+I25+I28</f>
        <v>157335.32655095999</v>
      </c>
      <c r="J30" s="723">
        <f t="shared" ref="J30:AC30" si="47">+J16+J22+J25+J28</f>
        <v>66783.411637739991</v>
      </c>
      <c r="K30" s="723">
        <f t="shared" si="47"/>
        <v>135</v>
      </c>
      <c r="L30" s="723">
        <f t="shared" si="47"/>
        <v>66001.266637739987</v>
      </c>
      <c r="M30" s="723">
        <f t="shared" si="47"/>
        <v>391.07124999999996</v>
      </c>
      <c r="N30" s="723">
        <f t="shared" si="47"/>
        <v>391.07124999999996</v>
      </c>
      <c r="O30" s="723">
        <f t="shared" si="47"/>
        <v>66783.409137739989</v>
      </c>
      <c r="P30" s="723">
        <f t="shared" si="47"/>
        <v>4620.0886646418003</v>
      </c>
      <c r="Q30" s="723">
        <f t="shared" si="47"/>
        <v>2957.1766959647289</v>
      </c>
      <c r="R30" s="723">
        <f t="shared" si="47"/>
        <v>0</v>
      </c>
      <c r="S30" s="723">
        <f t="shared" si="47"/>
        <v>7577.2653606065287</v>
      </c>
      <c r="T30" s="1076">
        <f>+T16+T22+T25+T28</f>
        <v>57799.001277133459</v>
      </c>
      <c r="U30" s="723">
        <f t="shared" si="47"/>
        <v>0</v>
      </c>
      <c r="V30" s="1076">
        <f t="shared" si="47"/>
        <v>500</v>
      </c>
      <c r="W30" s="1076">
        <f>+W16+W22+W25+W28</f>
        <v>57299.001277133459</v>
      </c>
      <c r="X30" s="853" t="str">
        <f>+TECNICOS!Z15</f>
        <v>"EL SEÑOR ES MI PASTOR, NADA ME FALTARA"</v>
      </c>
      <c r="Y30" s="723">
        <f t="shared" si="47"/>
        <v>14190.272327114099</v>
      </c>
      <c r="Z30" s="723">
        <f t="shared" si="47"/>
        <v>1320.0253327547998</v>
      </c>
      <c r="AA30" s="723">
        <f t="shared" si="47"/>
        <v>5565.2843031449993</v>
      </c>
      <c r="AB30" s="723">
        <f t="shared" si="47"/>
        <v>5565.2843031449993</v>
      </c>
      <c r="AC30" s="723">
        <f t="shared" si="47"/>
        <v>92642.132903898906</v>
      </c>
    </row>
    <row r="31" spans="1:29" s="14" customFormat="1" ht="15.75" customHeight="1" thickTop="1" x14ac:dyDescent="0.2">
      <c r="A31" s="1274"/>
      <c r="B31" s="1274"/>
      <c r="C31" s="809"/>
      <c r="D31" s="809"/>
      <c r="E31" s="809"/>
      <c r="F31" s="810" t="s">
        <v>5</v>
      </c>
      <c r="G31" s="811"/>
      <c r="H31" s="811"/>
      <c r="I31" s="809"/>
      <c r="J31" s="809"/>
      <c r="K31" s="812"/>
      <c r="L31" s="813" t="s">
        <v>5</v>
      </c>
      <c r="M31" s="813"/>
      <c r="N31" s="813"/>
      <c r="O31" s="813"/>
      <c r="P31" s="809"/>
      <c r="Q31" s="809"/>
      <c r="R31" s="814"/>
      <c r="S31" s="809"/>
      <c r="T31" s="809"/>
      <c r="U31" s="809"/>
      <c r="V31" s="809"/>
      <c r="W31" s="809"/>
      <c r="X31" s="809"/>
      <c r="Y31" s="809"/>
      <c r="Z31" s="809"/>
      <c r="AA31" s="809"/>
      <c r="AB31" s="809"/>
      <c r="AC31" s="809"/>
    </row>
    <row r="32" spans="1:29" s="797" customFormat="1" ht="14.25" hidden="1" customHeight="1" x14ac:dyDescent="0.2">
      <c r="A32" s="809"/>
      <c r="B32" s="809"/>
      <c r="C32" s="809"/>
      <c r="D32" s="809"/>
      <c r="E32" s="809"/>
      <c r="F32" s="810"/>
      <c r="G32" s="811"/>
      <c r="H32" s="811">
        <f>500*35.6348</f>
        <v>17817.399999999998</v>
      </c>
      <c r="I32" s="809"/>
      <c r="J32" s="809"/>
      <c r="K32" s="812"/>
      <c r="L32" s="813"/>
      <c r="M32" s="813"/>
      <c r="N32" s="813"/>
      <c r="O32" s="813"/>
      <c r="P32" s="809"/>
      <c r="Q32" s="809"/>
      <c r="R32" s="814"/>
      <c r="S32" s="809"/>
      <c r="T32" s="809"/>
      <c r="U32" s="809"/>
      <c r="V32" s="809"/>
      <c r="W32" s="809"/>
      <c r="X32" s="809"/>
      <c r="Y32" s="809"/>
      <c r="Z32" s="809"/>
      <c r="AA32" s="809"/>
      <c r="AB32" s="809"/>
      <c r="AC32" s="809"/>
    </row>
    <row r="33" spans="1:29" s="797" customFormat="1" hidden="1" x14ac:dyDescent="0.2">
      <c r="A33" s="809"/>
      <c r="B33" s="809"/>
      <c r="C33" s="809"/>
      <c r="D33" s="809"/>
      <c r="E33" s="809"/>
      <c r="F33" s="810"/>
      <c r="G33" s="811"/>
      <c r="H33" s="811"/>
      <c r="I33" s="809"/>
      <c r="J33" s="809"/>
      <c r="K33" s="812"/>
      <c r="L33" s="813"/>
      <c r="M33" s="813"/>
      <c r="N33" s="813"/>
      <c r="O33" s="813"/>
      <c r="P33" s="809"/>
      <c r="Q33" s="809"/>
      <c r="R33" s="814"/>
      <c r="S33" s="809"/>
      <c r="T33" s="809"/>
      <c r="U33" s="809"/>
      <c r="V33" s="809"/>
      <c r="W33" s="809"/>
      <c r="X33" s="809"/>
      <c r="Y33" s="809"/>
      <c r="Z33" s="809"/>
      <c r="AA33" s="809"/>
      <c r="AB33" s="809"/>
      <c r="AC33" s="809"/>
    </row>
    <row r="34" spans="1:29" s="797" customFormat="1" hidden="1" x14ac:dyDescent="0.2">
      <c r="A34" s="809"/>
      <c r="B34" s="809"/>
      <c r="C34" s="809"/>
      <c r="D34" s="809"/>
      <c r="E34" s="809"/>
      <c r="F34" s="810"/>
      <c r="G34" s="811"/>
      <c r="H34" s="811"/>
      <c r="I34" s="809"/>
      <c r="J34" s="809"/>
      <c r="K34" s="812"/>
      <c r="L34" s="813"/>
      <c r="M34" s="813"/>
      <c r="N34" s="813"/>
      <c r="O34" s="813"/>
      <c r="P34" s="809"/>
      <c r="Q34" s="809"/>
      <c r="R34" s="814"/>
      <c r="S34" s="809"/>
      <c r="T34" s="809"/>
      <c r="U34" s="809"/>
      <c r="V34" s="809"/>
      <c r="W34" s="809"/>
      <c r="X34" s="815"/>
      <c r="Y34" s="809"/>
      <c r="Z34" s="809"/>
      <c r="AA34" s="809"/>
      <c r="AB34" s="809"/>
      <c r="AC34" s="809"/>
    </row>
    <row r="35" spans="1:29" s="797" customFormat="1" hidden="1" x14ac:dyDescent="0.2">
      <c r="A35" s="809"/>
      <c r="B35" s="809"/>
      <c r="C35" s="809"/>
      <c r="D35" s="809"/>
      <c r="E35" s="809"/>
      <c r="F35" s="810"/>
      <c r="G35" s="811"/>
      <c r="H35" s="811"/>
      <c r="I35" s="809"/>
      <c r="J35" s="809"/>
      <c r="K35" s="812"/>
      <c r="L35" s="813"/>
      <c r="M35" s="813"/>
      <c r="N35" s="813"/>
      <c r="O35" s="813"/>
      <c r="P35" s="809"/>
      <c r="Q35" s="809"/>
      <c r="R35" s="814"/>
      <c r="S35" s="809"/>
      <c r="T35" s="809"/>
      <c r="U35" s="809"/>
      <c r="V35" s="809"/>
      <c r="W35" s="809"/>
      <c r="X35" s="815"/>
      <c r="Y35" s="809"/>
      <c r="Z35" s="809"/>
      <c r="AA35" s="809"/>
      <c r="AB35" s="809"/>
      <c r="AC35" s="809"/>
    </row>
    <row r="36" spans="1:29" s="797" customFormat="1" hidden="1" x14ac:dyDescent="0.2">
      <c r="A36" s="809"/>
      <c r="B36" s="809"/>
      <c r="C36" s="809"/>
      <c r="D36" s="809"/>
      <c r="E36" s="809"/>
      <c r="F36" s="810"/>
      <c r="G36" s="811"/>
      <c r="H36" s="811"/>
      <c r="I36" s="809"/>
      <c r="J36" s="809"/>
      <c r="K36" s="812"/>
      <c r="L36" s="813"/>
      <c r="M36" s="813"/>
      <c r="N36" s="813"/>
      <c r="O36" s="813"/>
      <c r="P36" s="809"/>
      <c r="Q36" s="809"/>
      <c r="R36" s="814"/>
      <c r="S36" s="809"/>
      <c r="T36" s="809"/>
      <c r="U36" s="809"/>
      <c r="V36" s="809"/>
      <c r="W36" s="809"/>
      <c r="X36" s="815"/>
      <c r="Y36" s="809"/>
      <c r="Z36" s="809"/>
      <c r="AA36" s="809"/>
      <c r="AB36" s="809"/>
      <c r="AC36" s="809"/>
    </row>
    <row r="37" spans="1:29" s="797" customFormat="1" hidden="1" x14ac:dyDescent="0.2">
      <c r="A37" s="809"/>
      <c r="B37" s="809"/>
      <c r="C37" s="809"/>
      <c r="D37" s="809"/>
      <c r="E37" s="809"/>
      <c r="F37" s="810"/>
      <c r="G37" s="811"/>
      <c r="H37" s="811"/>
      <c r="I37" s="809"/>
      <c r="J37" s="809"/>
      <c r="K37" s="812"/>
      <c r="L37" s="813"/>
      <c r="M37" s="813"/>
      <c r="N37" s="813"/>
      <c r="O37" s="813"/>
      <c r="P37" s="809"/>
      <c r="Q37" s="809"/>
      <c r="R37" s="814"/>
      <c r="S37" s="809"/>
      <c r="T37" s="809"/>
      <c r="U37" s="809"/>
      <c r="V37" s="809"/>
      <c r="W37" s="809"/>
      <c r="X37" s="815"/>
      <c r="Y37" s="809"/>
      <c r="Z37" s="809"/>
      <c r="AA37" s="809"/>
      <c r="AB37" s="809"/>
      <c r="AC37" s="809"/>
    </row>
    <row r="38" spans="1:29" s="797" customFormat="1" hidden="1" x14ac:dyDescent="0.2">
      <c r="A38" s="809"/>
      <c r="B38" s="809"/>
      <c r="C38" s="809"/>
      <c r="D38" s="809"/>
      <c r="E38" s="809"/>
      <c r="F38" s="810"/>
      <c r="G38" s="811"/>
      <c r="H38" s="811"/>
      <c r="I38" s="809"/>
      <c r="J38" s="809"/>
      <c r="K38" s="812"/>
      <c r="L38" s="813"/>
      <c r="M38" s="813"/>
      <c r="N38" s="813"/>
      <c r="O38" s="813"/>
      <c r="P38" s="809"/>
      <c r="Q38" s="809"/>
      <c r="R38" s="814"/>
      <c r="S38" s="809"/>
      <c r="T38" s="809"/>
      <c r="U38" s="809"/>
      <c r="V38" s="809"/>
      <c r="W38" s="809"/>
      <c r="X38" s="815"/>
      <c r="Y38" s="809"/>
      <c r="Z38" s="809"/>
      <c r="AA38" s="809"/>
      <c r="AB38" s="809"/>
      <c r="AC38" s="809"/>
    </row>
    <row r="39" spans="1:29" s="797" customFormat="1" hidden="1" x14ac:dyDescent="0.2">
      <c r="A39" s="809"/>
      <c r="B39" s="809"/>
      <c r="C39" s="809"/>
      <c r="D39" s="809"/>
      <c r="E39" s="809"/>
      <c r="F39" s="810"/>
      <c r="G39" s="811"/>
      <c r="H39" s="811"/>
      <c r="I39" s="809"/>
      <c r="J39" s="809"/>
      <c r="K39" s="812"/>
      <c r="L39" s="813"/>
      <c r="M39" s="813"/>
      <c r="N39" s="813"/>
      <c r="O39" s="813"/>
      <c r="P39" s="809"/>
      <c r="Q39" s="809"/>
      <c r="R39" s="814"/>
      <c r="S39" s="809"/>
      <c r="T39" s="809"/>
      <c r="U39" s="809"/>
      <c r="V39" s="809"/>
      <c r="W39" s="809"/>
      <c r="X39" s="815"/>
      <c r="Y39" s="809"/>
      <c r="Z39" s="809"/>
      <c r="AA39" s="809"/>
      <c r="AB39" s="809"/>
      <c r="AC39" s="809"/>
    </row>
    <row r="40" spans="1:29" s="797" customFormat="1" hidden="1" x14ac:dyDescent="0.2">
      <c r="A40" s="809"/>
      <c r="B40" s="809"/>
      <c r="C40" s="809"/>
      <c r="D40" s="809"/>
      <c r="E40" s="809"/>
      <c r="F40" s="810"/>
      <c r="G40" s="811"/>
      <c r="H40" s="811"/>
      <c r="I40" s="809"/>
      <c r="J40" s="809"/>
      <c r="K40" s="812"/>
      <c r="L40" s="813"/>
      <c r="M40" s="813"/>
      <c r="N40" s="813"/>
      <c r="O40" s="813"/>
      <c r="P40" s="809"/>
      <c r="Q40" s="809"/>
      <c r="R40" s="814"/>
      <c r="S40" s="809"/>
      <c r="T40" s="809"/>
      <c r="U40" s="809"/>
      <c r="V40" s="809"/>
      <c r="W40" s="809"/>
      <c r="X40" s="815"/>
      <c r="Y40" s="809"/>
      <c r="Z40" s="809"/>
      <c r="AA40" s="809"/>
      <c r="AB40" s="809"/>
      <c r="AC40" s="809"/>
    </row>
    <row r="41" spans="1:29" s="797" customFormat="1" ht="1.5" customHeight="1" x14ac:dyDescent="0.2">
      <c r="A41" s="809"/>
      <c r="B41" s="809"/>
      <c r="C41" s="809"/>
      <c r="D41" s="809"/>
      <c r="E41" s="809"/>
      <c r="F41" s="810"/>
      <c r="G41" s="811"/>
      <c r="H41" s="811"/>
      <c r="I41" s="809"/>
      <c r="J41" s="809"/>
      <c r="K41" s="812"/>
      <c r="L41" s="813"/>
      <c r="M41" s="813"/>
      <c r="N41" s="813"/>
      <c r="O41" s="813"/>
      <c r="P41" s="809"/>
      <c r="Q41" s="809"/>
      <c r="R41" s="814"/>
      <c r="S41" s="809"/>
      <c r="T41" s="809"/>
      <c r="U41" s="809"/>
      <c r="V41" s="809"/>
      <c r="W41" s="809"/>
      <c r="X41" s="815"/>
      <c r="Y41" s="809"/>
      <c r="Z41" s="809"/>
      <c r="AA41" s="809"/>
      <c r="AB41" s="809"/>
      <c r="AC41" s="809"/>
    </row>
    <row r="42" spans="1:29" s="797" customFormat="1" hidden="1" x14ac:dyDescent="0.2">
      <c r="A42" s="809"/>
      <c r="B42" s="809"/>
      <c r="C42" s="809"/>
      <c r="D42" s="809"/>
      <c r="E42" s="809"/>
      <c r="F42" s="810"/>
      <c r="G42" s="811"/>
      <c r="H42" s="811"/>
      <c r="I42" s="809"/>
      <c r="J42" s="809"/>
      <c r="K42" s="812"/>
      <c r="L42" s="813"/>
      <c r="M42" s="813"/>
      <c r="N42" s="813"/>
      <c r="O42" s="813"/>
      <c r="P42" s="809"/>
      <c r="Q42" s="809"/>
      <c r="R42" s="814"/>
      <c r="S42" s="809"/>
      <c r="T42" s="809"/>
      <c r="U42" s="809"/>
      <c r="V42" s="809"/>
      <c r="W42" s="809"/>
      <c r="X42" s="815"/>
      <c r="Y42" s="809"/>
      <c r="Z42" s="809"/>
      <c r="AA42" s="809"/>
      <c r="AB42" s="809"/>
      <c r="AC42" s="809"/>
    </row>
    <row r="43" spans="1:29" s="797" customFormat="1" ht="6" hidden="1" customHeight="1" x14ac:dyDescent="0.2">
      <c r="A43" s="809"/>
      <c r="B43" s="809"/>
      <c r="C43" s="809"/>
      <c r="D43" s="809"/>
      <c r="E43" s="809"/>
      <c r="F43" s="810"/>
      <c r="G43" s="811"/>
      <c r="H43" s="811"/>
      <c r="I43" s="809"/>
      <c r="J43" s="809"/>
      <c r="K43" s="812"/>
      <c r="L43" s="813"/>
      <c r="M43" s="813"/>
      <c r="N43" s="813"/>
      <c r="O43" s="813"/>
      <c r="P43" s="809"/>
      <c r="Q43" s="809"/>
      <c r="R43" s="814"/>
      <c r="S43" s="809"/>
      <c r="T43" s="809"/>
      <c r="U43" s="809"/>
      <c r="V43" s="809"/>
      <c r="W43" s="809"/>
      <c r="X43" s="815"/>
      <c r="Y43" s="809"/>
      <c r="Z43" s="809"/>
      <c r="AA43" s="809"/>
      <c r="AB43" s="809"/>
      <c r="AC43" s="809"/>
    </row>
    <row r="44" spans="1:29" s="797" customFormat="1" hidden="1" x14ac:dyDescent="0.2">
      <c r="A44" s="809"/>
      <c r="B44" s="809"/>
      <c r="C44" s="809"/>
      <c r="D44" s="809"/>
      <c r="E44" s="809"/>
      <c r="F44" s="810"/>
      <c r="G44" s="811"/>
      <c r="H44" s="811"/>
      <c r="I44" s="809"/>
      <c r="J44" s="809"/>
      <c r="K44" s="812"/>
      <c r="L44" s="813"/>
      <c r="M44" s="813"/>
      <c r="N44" s="813"/>
      <c r="O44" s="813"/>
      <c r="P44" s="809"/>
      <c r="Q44" s="809"/>
      <c r="R44" s="814"/>
      <c r="S44" s="809"/>
      <c r="T44" s="809"/>
      <c r="U44" s="809"/>
      <c r="V44" s="809"/>
      <c r="W44" s="809"/>
      <c r="X44" s="815"/>
      <c r="Y44" s="809"/>
      <c r="Z44" s="809"/>
      <c r="AA44" s="809"/>
      <c r="AB44" s="809"/>
      <c r="AC44" s="809"/>
    </row>
    <row r="45" spans="1:29" s="797" customFormat="1" hidden="1" x14ac:dyDescent="0.2">
      <c r="A45" s="809"/>
      <c r="B45" s="809"/>
      <c r="C45" s="809"/>
      <c r="D45" s="809"/>
      <c r="E45" s="809"/>
      <c r="F45" s="810"/>
      <c r="G45" s="811"/>
      <c r="H45" s="811"/>
      <c r="I45" s="809"/>
      <c r="J45" s="809"/>
      <c r="K45" s="812"/>
      <c r="L45" s="813"/>
      <c r="M45" s="813"/>
      <c r="N45" s="813"/>
      <c r="O45" s="813"/>
      <c r="P45" s="809"/>
      <c r="Q45" s="809"/>
      <c r="R45" s="814"/>
      <c r="S45" s="809"/>
      <c r="T45" s="809"/>
      <c r="U45" s="809"/>
      <c r="V45" s="809"/>
      <c r="W45" s="809"/>
      <c r="X45" s="815"/>
      <c r="Y45" s="809"/>
      <c r="Z45" s="809"/>
      <c r="AA45" s="809"/>
      <c r="AB45" s="809"/>
      <c r="AC45" s="809"/>
    </row>
    <row r="46" spans="1:29" s="797" customFormat="1" hidden="1" x14ac:dyDescent="0.2">
      <c r="A46" s="809"/>
      <c r="B46" s="809"/>
      <c r="C46" s="809"/>
      <c r="D46" s="809"/>
      <c r="E46" s="809"/>
      <c r="F46" s="810"/>
      <c r="G46" s="811"/>
      <c r="H46" s="811"/>
      <c r="I46" s="809"/>
      <c r="J46" s="809"/>
      <c r="K46" s="812"/>
      <c r="L46" s="813"/>
      <c r="M46" s="813"/>
      <c r="N46" s="813"/>
      <c r="O46" s="813"/>
      <c r="P46" s="809"/>
      <c r="Q46" s="809"/>
      <c r="R46" s="814"/>
      <c r="S46" s="809"/>
      <c r="T46" s="809"/>
      <c r="U46" s="809"/>
      <c r="V46" s="809"/>
      <c r="W46" s="809"/>
      <c r="X46" s="815"/>
      <c r="Y46" s="809"/>
      <c r="Z46" s="809"/>
      <c r="AA46" s="809"/>
      <c r="AB46" s="809"/>
      <c r="AC46" s="809"/>
    </row>
    <row r="47" spans="1:29" s="797" customFormat="1" hidden="1" x14ac:dyDescent="0.2">
      <c r="A47" s="809"/>
      <c r="B47" s="809"/>
      <c r="C47" s="809"/>
      <c r="D47" s="809"/>
      <c r="E47" s="809"/>
      <c r="F47" s="810"/>
      <c r="G47" s="811"/>
      <c r="H47" s="811"/>
      <c r="I47" s="809"/>
      <c r="J47" s="809"/>
      <c r="K47" s="812"/>
      <c r="L47" s="813"/>
      <c r="M47" s="813"/>
      <c r="N47" s="813"/>
      <c r="O47" s="813"/>
      <c r="P47" s="809"/>
      <c r="Q47" s="809"/>
      <c r="R47" s="814"/>
      <c r="S47" s="809"/>
      <c r="T47" s="809"/>
      <c r="U47" s="809"/>
      <c r="V47" s="809"/>
      <c r="W47" s="809"/>
      <c r="X47" s="815"/>
      <c r="Y47" s="809"/>
      <c r="Z47" s="809"/>
      <c r="AA47" s="809"/>
      <c r="AB47" s="809"/>
      <c r="AC47" s="809"/>
    </row>
    <row r="48" spans="1:29" s="797" customFormat="1" x14ac:dyDescent="0.2">
      <c r="A48" s="816"/>
      <c r="B48" s="809"/>
      <c r="C48" s="816"/>
      <c r="D48" s="809"/>
      <c r="E48" s="809"/>
      <c r="F48" s="810"/>
      <c r="G48" s="811"/>
      <c r="H48" s="811"/>
      <c r="I48" s="809"/>
      <c r="J48" s="809"/>
      <c r="K48" s="812"/>
      <c r="L48" s="817"/>
      <c r="M48" s="817"/>
      <c r="N48" s="817"/>
      <c r="O48" s="817"/>
      <c r="P48" s="809"/>
      <c r="Q48" s="809"/>
      <c r="R48" s="814"/>
      <c r="S48" s="809"/>
      <c r="T48" s="816"/>
      <c r="U48" s="816"/>
      <c r="V48" s="816"/>
      <c r="W48" s="816"/>
      <c r="X48" s="816"/>
      <c r="Y48" s="809"/>
      <c r="Z48" s="809"/>
      <c r="AA48" s="809"/>
      <c r="AB48" s="809"/>
      <c r="AC48" s="809"/>
    </row>
    <row r="49" spans="1:29" s="775" customFormat="1" ht="21" x14ac:dyDescent="0.2">
      <c r="A49" s="747"/>
      <c r="B49" s="748"/>
      <c r="C49" s="1321" t="s">
        <v>23</v>
      </c>
      <c r="D49" s="1321"/>
      <c r="E49" s="1321"/>
      <c r="F49" s="1321"/>
      <c r="G49" s="749"/>
      <c r="H49" s="749"/>
      <c r="I49" s="748"/>
      <c r="J49" s="1322" t="s">
        <v>24</v>
      </c>
      <c r="K49" s="1321"/>
      <c r="L49" s="1321"/>
      <c r="M49" s="1321"/>
      <c r="N49" s="1321"/>
      <c r="O49" s="1321"/>
      <c r="P49" s="1321"/>
      <c r="Q49" s="1321"/>
      <c r="R49" s="1321"/>
      <c r="S49" s="1321"/>
      <c r="T49" s="1322"/>
      <c r="U49" s="1322"/>
      <c r="V49" s="750"/>
      <c r="W49" s="1321" t="s">
        <v>25</v>
      </c>
      <c r="X49" s="1321"/>
      <c r="Y49" s="1321"/>
      <c r="Z49" s="748"/>
      <c r="AA49" s="748"/>
      <c r="AB49" s="748"/>
      <c r="AC49" s="748"/>
    </row>
    <row r="50" spans="1:29" s="796" customFormat="1" ht="21" x14ac:dyDescent="0.2">
      <c r="A50" s="751"/>
      <c r="B50" s="751"/>
      <c r="C50" s="1323" t="s">
        <v>541</v>
      </c>
      <c r="D50" s="1323"/>
      <c r="E50" s="1323"/>
      <c r="F50" s="1323"/>
      <c r="G50" s="752"/>
      <c r="H50" s="752"/>
      <c r="I50" s="751"/>
      <c r="J50" s="1323" t="s">
        <v>350</v>
      </c>
      <c r="K50" s="1323"/>
      <c r="L50" s="1323"/>
      <c r="M50" s="1323"/>
      <c r="N50" s="1323"/>
      <c r="O50" s="1323"/>
      <c r="P50" s="1323"/>
      <c r="Q50" s="1323"/>
      <c r="R50" s="1323"/>
      <c r="S50" s="1323"/>
      <c r="T50" s="1323"/>
      <c r="U50" s="1323"/>
      <c r="V50" s="753"/>
      <c r="W50" s="1322" t="s">
        <v>496</v>
      </c>
      <c r="X50" s="1322"/>
      <c r="Y50" s="1322"/>
      <c r="Z50" s="751"/>
      <c r="AA50" s="751"/>
      <c r="AB50" s="751"/>
      <c r="AC50" s="751"/>
    </row>
    <row r="51" spans="1:29" x14ac:dyDescent="0.2">
      <c r="A51" s="813"/>
      <c r="B51" s="813"/>
      <c r="C51" s="813"/>
      <c r="D51" s="813"/>
      <c r="E51" s="813"/>
      <c r="F51" s="819"/>
      <c r="G51" s="811"/>
      <c r="H51" s="811"/>
      <c r="I51" s="813"/>
      <c r="J51" s="813"/>
      <c r="K51" s="820"/>
      <c r="L51" s="813"/>
      <c r="M51" s="813"/>
      <c r="N51" s="813"/>
      <c r="O51" s="813"/>
      <c r="P51" s="813"/>
      <c r="Q51" s="813"/>
      <c r="R51" s="814"/>
      <c r="S51" s="813"/>
      <c r="T51" s="813"/>
      <c r="U51" s="813"/>
      <c r="V51" s="813"/>
      <c r="W51" s="813"/>
      <c r="X51" s="813"/>
      <c r="Y51" s="813"/>
      <c r="Z51" s="813"/>
      <c r="AA51" s="813"/>
      <c r="AB51" s="813"/>
      <c r="AC51" s="813"/>
    </row>
    <row r="52" spans="1:29" x14ac:dyDescent="0.2">
      <c r="A52" s="813"/>
      <c r="B52" s="813"/>
      <c r="C52" s="813"/>
      <c r="D52" s="813"/>
      <c r="E52" s="813"/>
      <c r="F52" s="819"/>
      <c r="G52" s="811"/>
      <c r="H52" s="811"/>
      <c r="I52" s="817"/>
      <c r="J52" s="817"/>
      <c r="K52" s="820"/>
      <c r="L52" s="813"/>
      <c r="M52" s="813"/>
      <c r="N52" s="813"/>
      <c r="O52" s="813"/>
      <c r="P52" s="813"/>
      <c r="Q52" s="813"/>
      <c r="R52" s="814"/>
      <c r="S52" s="813"/>
      <c r="T52" s="813"/>
      <c r="U52" s="813"/>
      <c r="V52" s="813"/>
      <c r="W52" s="813"/>
      <c r="X52" s="813"/>
      <c r="Y52" s="813"/>
      <c r="Z52" s="813"/>
      <c r="AA52" s="813"/>
      <c r="AB52" s="813"/>
      <c r="AC52" s="813"/>
    </row>
    <row r="53" spans="1:29" x14ac:dyDescent="0.25">
      <c r="A53" s="813"/>
      <c r="B53" s="813"/>
      <c r="C53" s="813"/>
      <c r="D53" s="813"/>
      <c r="E53" s="813"/>
      <c r="F53" s="819"/>
      <c r="G53" s="811"/>
      <c r="H53" s="811"/>
      <c r="J53" s="821"/>
      <c r="L53" s="813"/>
      <c r="M53" s="813"/>
      <c r="N53" s="813"/>
      <c r="O53" s="813"/>
      <c r="P53" s="813"/>
      <c r="Q53" s="813"/>
      <c r="R53" s="814"/>
      <c r="S53" s="813"/>
      <c r="T53" s="823"/>
      <c r="U53" s="823"/>
      <c r="V53" s="823"/>
      <c r="W53" s="824"/>
      <c r="X53" s="824"/>
      <c r="Y53" s="813"/>
      <c r="Z53" s="813"/>
      <c r="AA53" s="813"/>
      <c r="AB53" s="813"/>
      <c r="AC53" s="813"/>
    </row>
    <row r="54" spans="1:29" x14ac:dyDescent="0.2">
      <c r="A54" s="825"/>
      <c r="B54" s="825"/>
      <c r="C54" s="813"/>
      <c r="D54" s="813"/>
      <c r="E54" s="813"/>
      <c r="F54" s="819"/>
      <c r="G54" s="826"/>
      <c r="H54" s="826"/>
      <c r="I54" s="825"/>
      <c r="J54" s="825"/>
      <c r="K54" s="827"/>
      <c r="L54" s="825"/>
      <c r="M54" s="825"/>
      <c r="N54" s="825"/>
      <c r="O54" s="825"/>
      <c r="P54" s="825"/>
      <c r="Q54" s="825"/>
      <c r="R54" s="828"/>
      <c r="S54" s="825"/>
      <c r="T54" s="825"/>
      <c r="U54" s="825"/>
      <c r="V54" s="825"/>
      <c r="W54" s="825"/>
      <c r="X54" s="825"/>
      <c r="Y54" s="825"/>
      <c r="Z54" s="825"/>
      <c r="AA54" s="825"/>
      <c r="AB54" s="825"/>
      <c r="AC54" s="825"/>
    </row>
    <row r="55" spans="1:29" x14ac:dyDescent="0.2">
      <c r="A55" s="825"/>
      <c r="B55" s="825"/>
      <c r="C55" s="825"/>
      <c r="D55" s="825"/>
      <c r="E55" s="825"/>
      <c r="F55" s="829"/>
      <c r="G55" s="826"/>
      <c r="H55" s="826"/>
      <c r="I55" s="825"/>
      <c r="J55" s="825"/>
      <c r="K55" s="827"/>
      <c r="L55" s="825"/>
      <c r="M55" s="825"/>
      <c r="N55" s="825"/>
      <c r="O55" s="825"/>
      <c r="P55" s="825"/>
      <c r="Q55" s="825"/>
      <c r="R55" s="828"/>
      <c r="S55" s="825"/>
      <c r="T55" s="825"/>
      <c r="U55" s="825"/>
      <c r="V55" s="825"/>
      <c r="W55" s="825"/>
      <c r="X55" s="825"/>
      <c r="Y55" s="825"/>
      <c r="Z55" s="825"/>
      <c r="AA55" s="825"/>
      <c r="AB55" s="825"/>
      <c r="AC55" s="825"/>
    </row>
    <row r="56" spans="1:29" x14ac:dyDescent="0.2">
      <c r="A56" s="825"/>
      <c r="B56" s="825"/>
      <c r="C56" s="825"/>
      <c r="D56" s="825"/>
      <c r="E56" s="825"/>
      <c r="F56" s="829"/>
      <c r="G56" s="826"/>
      <c r="H56" s="826"/>
      <c r="I56" s="825"/>
      <c r="J56" s="825"/>
      <c r="K56" s="827"/>
      <c r="L56" s="825"/>
      <c r="M56" s="825"/>
      <c r="N56" s="825"/>
      <c r="O56" s="825"/>
      <c r="P56" s="825"/>
      <c r="Q56" s="825"/>
      <c r="R56" s="828"/>
      <c r="S56" s="825"/>
      <c r="T56" s="825"/>
      <c r="U56" s="825"/>
      <c r="V56" s="825"/>
      <c r="W56" s="825"/>
      <c r="X56" s="825"/>
      <c r="Y56" s="825"/>
      <c r="Z56" s="825"/>
      <c r="AA56" s="825"/>
      <c r="AB56" s="825"/>
      <c r="AC56" s="825"/>
    </row>
    <row r="57" spans="1:29" x14ac:dyDescent="0.2">
      <c r="A57" s="825"/>
      <c r="B57" s="825"/>
      <c r="C57" s="825"/>
      <c r="D57" s="825"/>
      <c r="E57" s="825"/>
      <c r="F57" s="829"/>
      <c r="G57" s="826"/>
      <c r="H57" s="826"/>
      <c r="I57" s="825"/>
      <c r="J57" s="825"/>
      <c r="K57" s="827"/>
      <c r="L57" s="825"/>
      <c r="M57" s="825"/>
      <c r="N57" s="825"/>
      <c r="O57" s="825"/>
      <c r="P57" s="825"/>
      <c r="Q57" s="825"/>
      <c r="R57" s="828"/>
      <c r="S57" s="825"/>
      <c r="T57" s="825"/>
      <c r="U57" s="825"/>
      <c r="V57" s="825"/>
      <c r="W57" s="825"/>
      <c r="X57" s="825"/>
      <c r="Y57" s="825"/>
      <c r="Z57" s="825"/>
      <c r="AA57" s="825"/>
      <c r="AB57" s="825"/>
      <c r="AC57" s="825"/>
    </row>
    <row r="58" spans="1:29" x14ac:dyDescent="0.2">
      <c r="A58" s="825"/>
      <c r="B58" s="825"/>
      <c r="C58" s="825"/>
      <c r="D58" s="825"/>
      <c r="E58" s="825"/>
      <c r="F58" s="829"/>
      <c r="G58" s="826"/>
      <c r="H58" s="826"/>
      <c r="I58" s="825"/>
      <c r="J58" s="825"/>
      <c r="K58" s="827"/>
      <c r="L58" s="825"/>
      <c r="M58" s="825"/>
      <c r="N58" s="825"/>
      <c r="O58" s="825"/>
      <c r="P58" s="825"/>
      <c r="Q58" s="825"/>
      <c r="R58" s="828"/>
      <c r="S58" s="825"/>
      <c r="T58" s="825"/>
      <c r="U58" s="825"/>
      <c r="V58" s="825"/>
      <c r="W58" s="825"/>
      <c r="X58" s="825"/>
      <c r="Y58" s="825"/>
      <c r="Z58" s="825"/>
      <c r="AA58" s="825"/>
      <c r="AB58" s="825"/>
      <c r="AC58" s="825"/>
    </row>
    <row r="59" spans="1:29" x14ac:dyDescent="0.2">
      <c r="A59" s="825"/>
      <c r="B59" s="825"/>
      <c r="C59" s="825"/>
      <c r="D59" s="825"/>
      <c r="E59" s="825"/>
      <c r="F59" s="829"/>
      <c r="G59" s="826"/>
      <c r="H59" s="826"/>
      <c r="I59" s="825"/>
      <c r="J59" s="825"/>
      <c r="K59" s="827"/>
      <c r="L59" s="825"/>
      <c r="M59" s="825"/>
      <c r="N59" s="825"/>
      <c r="O59" s="825"/>
      <c r="P59" s="825"/>
      <c r="Q59" s="825"/>
      <c r="R59" s="828"/>
      <c r="S59" s="825"/>
      <c r="T59" s="825"/>
      <c r="U59" s="825"/>
      <c r="V59" s="825"/>
      <c r="W59" s="825"/>
      <c r="X59" s="825"/>
      <c r="Y59" s="825"/>
      <c r="Z59" s="825"/>
      <c r="AA59" s="825"/>
      <c r="AB59" s="825"/>
      <c r="AC59" s="825"/>
    </row>
    <row r="60" spans="1:29" x14ac:dyDescent="0.2">
      <c r="A60" s="825"/>
      <c r="B60" s="825"/>
      <c r="C60" s="825"/>
      <c r="D60" s="825"/>
      <c r="E60" s="825"/>
      <c r="F60" s="829"/>
      <c r="G60" s="826"/>
      <c r="H60" s="826"/>
      <c r="I60" s="825"/>
      <c r="J60" s="825"/>
      <c r="K60" s="827"/>
      <c r="L60" s="825"/>
      <c r="M60" s="825"/>
      <c r="N60" s="825"/>
      <c r="O60" s="825"/>
      <c r="P60" s="825"/>
      <c r="Q60" s="825"/>
      <c r="R60" s="828"/>
      <c r="S60" s="825"/>
      <c r="T60" s="825"/>
      <c r="U60" s="825"/>
      <c r="V60" s="825"/>
      <c r="W60" s="825"/>
      <c r="X60" s="825"/>
      <c r="Y60" s="825"/>
      <c r="Z60" s="825"/>
      <c r="AA60" s="825"/>
      <c r="AB60" s="825"/>
      <c r="AC60" s="825"/>
    </row>
    <row r="61" spans="1:29" x14ac:dyDescent="0.2">
      <c r="A61" s="825"/>
      <c r="B61" s="825"/>
      <c r="D61" s="825"/>
      <c r="E61" s="825"/>
      <c r="F61" s="829"/>
      <c r="G61" s="826"/>
      <c r="H61" s="826"/>
      <c r="I61" s="825"/>
      <c r="J61" s="825"/>
      <c r="K61" s="827"/>
      <c r="L61" s="825"/>
      <c r="M61" s="825"/>
      <c r="N61" s="825"/>
      <c r="O61" s="825"/>
      <c r="P61" s="825"/>
      <c r="Q61" s="825"/>
      <c r="R61" s="828"/>
      <c r="S61" s="825"/>
      <c r="T61" s="825"/>
      <c r="U61" s="825"/>
      <c r="V61" s="825"/>
      <c r="W61" s="825"/>
      <c r="X61" s="825"/>
      <c r="Y61" s="825"/>
      <c r="Z61" s="825"/>
      <c r="AA61" s="825"/>
      <c r="AB61" s="825"/>
      <c r="AC61" s="825"/>
    </row>
    <row r="62" spans="1:29" x14ac:dyDescent="0.2">
      <c r="A62" s="825"/>
      <c r="B62" s="825"/>
      <c r="C62" s="825"/>
      <c r="D62" s="825"/>
      <c r="E62" s="825"/>
      <c r="F62" s="829"/>
      <c r="G62" s="826"/>
      <c r="H62" s="826"/>
      <c r="I62" s="825"/>
      <c r="J62" s="825"/>
      <c r="K62" s="827"/>
      <c r="L62" s="825"/>
      <c r="M62" s="825"/>
      <c r="N62" s="825"/>
      <c r="O62" s="825"/>
      <c r="P62" s="825"/>
      <c r="Q62" s="825"/>
      <c r="R62" s="828"/>
      <c r="S62" s="825"/>
      <c r="T62" s="825"/>
      <c r="U62" s="825"/>
      <c r="V62" s="825"/>
      <c r="W62" s="825"/>
      <c r="X62" s="825"/>
      <c r="Y62" s="825"/>
      <c r="Z62" s="825"/>
      <c r="AA62" s="825"/>
      <c r="AB62" s="825"/>
      <c r="AC62" s="825"/>
    </row>
    <row r="63" spans="1:29" x14ac:dyDescent="0.2">
      <c r="A63" s="825"/>
      <c r="B63" s="825"/>
      <c r="C63" s="825"/>
      <c r="D63" s="825"/>
      <c r="E63" s="825"/>
      <c r="F63" s="829"/>
      <c r="G63" s="826"/>
      <c r="H63" s="826"/>
      <c r="I63" s="825"/>
      <c r="J63" s="825"/>
      <c r="K63" s="827"/>
      <c r="L63" s="825"/>
      <c r="M63" s="825"/>
      <c r="N63" s="825"/>
      <c r="O63" s="825"/>
      <c r="P63" s="825"/>
      <c r="Q63" s="825"/>
      <c r="R63" s="828"/>
      <c r="S63" s="825"/>
      <c r="T63" s="825"/>
      <c r="U63" s="825"/>
      <c r="V63" s="825"/>
      <c r="W63" s="825"/>
      <c r="X63" s="825"/>
      <c r="Y63" s="825"/>
      <c r="Z63" s="825"/>
      <c r="AA63" s="825"/>
      <c r="AB63" s="825"/>
      <c r="AC63" s="825"/>
    </row>
    <row r="64" spans="1:29" x14ac:dyDescent="0.2">
      <c r="A64" s="825"/>
      <c r="B64" s="825"/>
      <c r="C64" s="825"/>
      <c r="D64" s="825"/>
      <c r="E64" s="825"/>
      <c r="F64" s="829"/>
      <c r="G64" s="826"/>
      <c r="H64" s="826"/>
      <c r="I64" s="825"/>
      <c r="J64" s="825"/>
      <c r="K64" s="827"/>
      <c r="L64" s="825"/>
      <c r="M64" s="825"/>
      <c r="N64" s="825"/>
      <c r="O64" s="825"/>
      <c r="P64" s="825"/>
      <c r="Q64" s="825"/>
      <c r="R64" s="828"/>
      <c r="S64" s="825"/>
      <c r="T64" s="825"/>
      <c r="U64" s="825"/>
      <c r="V64" s="825"/>
      <c r="W64" s="825"/>
      <c r="X64" s="825"/>
      <c r="Y64" s="825"/>
      <c r="Z64" s="825"/>
      <c r="AA64" s="825"/>
      <c r="AB64" s="825"/>
      <c r="AC64" s="825"/>
    </row>
    <row r="65" spans="1:29" x14ac:dyDescent="0.2">
      <c r="A65" s="825"/>
      <c r="B65" s="825"/>
      <c r="C65" s="825"/>
      <c r="D65" s="825"/>
      <c r="E65" s="825"/>
      <c r="F65" s="829"/>
      <c r="G65" s="826"/>
      <c r="H65" s="826"/>
      <c r="I65" s="825"/>
      <c r="J65" s="825"/>
      <c r="K65" s="827"/>
      <c r="L65" s="825"/>
      <c r="M65" s="825"/>
      <c r="N65" s="825"/>
      <c r="O65" s="825"/>
      <c r="P65" s="825"/>
      <c r="Q65" s="825"/>
      <c r="R65" s="828"/>
      <c r="S65" s="825"/>
      <c r="T65" s="825"/>
      <c r="U65" s="825"/>
      <c r="V65" s="825"/>
      <c r="W65" s="825"/>
      <c r="X65" s="825"/>
      <c r="Y65" s="825"/>
      <c r="Z65" s="825"/>
      <c r="AA65" s="825"/>
      <c r="AB65" s="825"/>
      <c r="AC65" s="825"/>
    </row>
    <row r="66" spans="1:29" x14ac:dyDescent="0.2">
      <c r="A66" s="825"/>
      <c r="B66" s="825"/>
      <c r="C66" s="825"/>
      <c r="D66" s="825"/>
      <c r="E66" s="825"/>
      <c r="F66" s="829"/>
      <c r="G66" s="826"/>
      <c r="H66" s="826"/>
      <c r="I66" s="825"/>
      <c r="J66" s="825"/>
      <c r="K66" s="827"/>
      <c r="L66" s="825"/>
      <c r="M66" s="825"/>
      <c r="N66" s="825"/>
      <c r="O66" s="825"/>
      <c r="P66" s="825"/>
      <c r="Q66" s="825"/>
      <c r="R66" s="828"/>
      <c r="S66" s="825"/>
      <c r="T66" s="825"/>
      <c r="U66" s="825"/>
      <c r="V66" s="825"/>
      <c r="W66" s="825"/>
      <c r="X66" s="825"/>
      <c r="Y66" s="825"/>
      <c r="Z66" s="825"/>
      <c r="AA66" s="825"/>
      <c r="AB66" s="825"/>
      <c r="AC66" s="825"/>
    </row>
    <row r="67" spans="1:29" x14ac:dyDescent="0.2">
      <c r="A67" s="825"/>
      <c r="B67" s="825"/>
      <c r="C67" s="825"/>
      <c r="D67" s="825"/>
      <c r="E67" s="825"/>
      <c r="F67" s="829"/>
      <c r="G67" s="826"/>
      <c r="H67" s="826"/>
      <c r="I67" s="825"/>
      <c r="J67" s="825"/>
      <c r="K67" s="827"/>
      <c r="L67" s="825"/>
      <c r="M67" s="825"/>
      <c r="N67" s="825"/>
      <c r="O67" s="825"/>
      <c r="P67" s="825"/>
      <c r="Q67" s="825"/>
      <c r="R67" s="828"/>
      <c r="S67" s="825"/>
      <c r="T67" s="825"/>
      <c r="U67" s="825"/>
      <c r="V67" s="825"/>
      <c r="W67" s="825"/>
      <c r="X67" s="825"/>
      <c r="Y67" s="825"/>
      <c r="Z67" s="825"/>
      <c r="AA67" s="825"/>
      <c r="AB67" s="825"/>
      <c r="AC67" s="825"/>
    </row>
    <row r="68" spans="1:29" x14ac:dyDescent="0.2">
      <c r="A68" s="825"/>
      <c r="B68" s="825"/>
      <c r="C68" s="825"/>
      <c r="D68" s="825"/>
      <c r="E68" s="825"/>
      <c r="F68" s="829"/>
      <c r="G68" s="826"/>
      <c r="H68" s="826"/>
      <c r="I68" s="825"/>
      <c r="J68" s="825"/>
      <c r="K68" s="827"/>
      <c r="L68" s="825"/>
      <c r="M68" s="825"/>
      <c r="N68" s="825"/>
      <c r="O68" s="825"/>
      <c r="P68" s="825"/>
      <c r="Q68" s="825"/>
      <c r="R68" s="828"/>
      <c r="S68" s="825"/>
      <c r="T68" s="825"/>
      <c r="U68" s="825"/>
      <c r="V68" s="825"/>
      <c r="W68" s="825"/>
      <c r="X68" s="825"/>
      <c r="Y68" s="825"/>
      <c r="Z68" s="825"/>
      <c r="AA68" s="825"/>
      <c r="AB68" s="825"/>
      <c r="AC68" s="825"/>
    </row>
    <row r="69" spans="1:29" x14ac:dyDescent="0.2">
      <c r="A69" s="825"/>
      <c r="B69" s="825"/>
      <c r="C69" s="825"/>
      <c r="D69" s="825"/>
      <c r="E69" s="825"/>
      <c r="F69" s="829"/>
      <c r="G69" s="826"/>
      <c r="H69" s="826"/>
      <c r="I69" s="825"/>
      <c r="J69" s="825"/>
      <c r="K69" s="827"/>
      <c r="L69" s="825"/>
      <c r="M69" s="825"/>
      <c r="N69" s="825"/>
      <c r="O69" s="825"/>
      <c r="P69" s="825"/>
      <c r="Q69" s="825"/>
      <c r="R69" s="828"/>
      <c r="S69" s="825"/>
      <c r="T69" s="825"/>
      <c r="U69" s="825"/>
      <c r="V69" s="825"/>
      <c r="W69" s="825"/>
      <c r="X69" s="825"/>
      <c r="Y69" s="825"/>
      <c r="Z69" s="825"/>
      <c r="AA69" s="825"/>
      <c r="AB69" s="825"/>
      <c r="AC69" s="825"/>
    </row>
    <row r="70" spans="1:29" x14ac:dyDescent="0.2">
      <c r="A70" s="825"/>
      <c r="B70" s="825"/>
      <c r="C70" s="825"/>
      <c r="D70" s="825"/>
      <c r="E70" s="825"/>
      <c r="F70" s="829"/>
      <c r="G70" s="826"/>
      <c r="H70" s="826"/>
      <c r="I70" s="825"/>
      <c r="J70" s="825"/>
      <c r="K70" s="827"/>
      <c r="L70" s="825"/>
      <c r="M70" s="825"/>
      <c r="N70" s="825"/>
      <c r="O70" s="825"/>
      <c r="P70" s="825"/>
      <c r="Q70" s="825"/>
      <c r="R70" s="828"/>
      <c r="S70" s="825"/>
      <c r="T70" s="825"/>
      <c r="U70" s="825"/>
      <c r="V70" s="825"/>
      <c r="W70" s="825"/>
      <c r="X70" s="825"/>
      <c r="Y70" s="825"/>
      <c r="Z70" s="825"/>
      <c r="AA70" s="825"/>
      <c r="AB70" s="825"/>
      <c r="AC70" s="825"/>
    </row>
    <row r="71" spans="1:29" x14ac:dyDescent="0.2">
      <c r="A71" s="825"/>
      <c r="B71" s="825"/>
      <c r="C71" s="825"/>
      <c r="D71" s="825"/>
      <c r="E71" s="825"/>
      <c r="F71" s="829"/>
      <c r="G71" s="826"/>
      <c r="H71" s="826"/>
      <c r="I71" s="825"/>
      <c r="J71" s="825"/>
      <c r="K71" s="827"/>
      <c r="L71" s="825"/>
      <c r="M71" s="825"/>
      <c r="N71" s="825"/>
      <c r="O71" s="825"/>
      <c r="P71" s="825"/>
      <c r="Q71" s="825"/>
      <c r="R71" s="828"/>
      <c r="S71" s="825"/>
      <c r="T71" s="825"/>
      <c r="U71" s="825"/>
      <c r="V71" s="825"/>
      <c r="W71" s="825"/>
      <c r="X71" s="825"/>
      <c r="Y71" s="825"/>
      <c r="Z71" s="825"/>
      <c r="AA71" s="825"/>
      <c r="AB71" s="825"/>
      <c r="AC71" s="825"/>
    </row>
    <row r="72" spans="1:29" x14ac:dyDescent="0.2">
      <c r="A72" s="825"/>
      <c r="B72" s="825"/>
      <c r="C72" s="825"/>
      <c r="D72" s="825"/>
      <c r="E72" s="825"/>
      <c r="F72" s="829"/>
      <c r="G72" s="826"/>
      <c r="H72" s="826"/>
      <c r="I72" s="825"/>
      <c r="J72" s="825"/>
      <c r="K72" s="827"/>
      <c r="L72" s="825"/>
      <c r="M72" s="825"/>
      <c r="N72" s="825"/>
      <c r="O72" s="825"/>
      <c r="P72" s="825"/>
      <c r="Q72" s="825"/>
      <c r="R72" s="828"/>
      <c r="S72" s="825"/>
      <c r="T72" s="825"/>
      <c r="U72" s="825"/>
      <c r="V72" s="825"/>
      <c r="W72" s="825"/>
      <c r="X72" s="825"/>
      <c r="Y72" s="825"/>
      <c r="Z72" s="825"/>
      <c r="AA72" s="825"/>
      <c r="AB72" s="825"/>
      <c r="AC72" s="825"/>
    </row>
    <row r="73" spans="1:29" x14ac:dyDescent="0.2">
      <c r="A73" s="825"/>
      <c r="B73" s="825"/>
      <c r="C73" s="825"/>
      <c r="D73" s="825"/>
      <c r="E73" s="825"/>
      <c r="F73" s="829"/>
      <c r="G73" s="826"/>
      <c r="H73" s="826"/>
      <c r="I73" s="825"/>
      <c r="J73" s="825"/>
      <c r="K73" s="827"/>
      <c r="L73" s="825"/>
      <c r="M73" s="825"/>
      <c r="N73" s="825"/>
      <c r="O73" s="825"/>
      <c r="P73" s="825"/>
      <c r="Q73" s="825"/>
      <c r="R73" s="828"/>
      <c r="S73" s="825"/>
      <c r="T73" s="825"/>
      <c r="U73" s="825"/>
      <c r="V73" s="825"/>
      <c r="W73" s="825"/>
      <c r="X73" s="825"/>
      <c r="Y73" s="825"/>
      <c r="Z73" s="825"/>
      <c r="AA73" s="825"/>
      <c r="AB73" s="825"/>
      <c r="AC73" s="825"/>
    </row>
    <row r="74" spans="1:29" x14ac:dyDescent="0.2">
      <c r="A74" s="825"/>
      <c r="B74" s="825"/>
      <c r="C74" s="825"/>
      <c r="D74" s="825"/>
      <c r="E74" s="825"/>
      <c r="F74" s="829"/>
      <c r="G74" s="826"/>
      <c r="H74" s="826"/>
      <c r="I74" s="825"/>
      <c r="J74" s="825"/>
      <c r="K74" s="827"/>
      <c r="L74" s="825"/>
      <c r="M74" s="825"/>
      <c r="N74" s="825"/>
      <c r="O74" s="825"/>
      <c r="P74" s="825"/>
      <c r="Q74" s="825"/>
      <c r="R74" s="828"/>
      <c r="S74" s="825"/>
      <c r="T74" s="825"/>
      <c r="U74" s="825"/>
      <c r="V74" s="825"/>
      <c r="W74" s="825"/>
      <c r="X74" s="825"/>
      <c r="Y74" s="825"/>
      <c r="Z74" s="825"/>
      <c r="AA74" s="825"/>
      <c r="AB74" s="825"/>
      <c r="AC74" s="825"/>
    </row>
    <row r="75" spans="1:29" x14ac:dyDescent="0.2">
      <c r="A75" s="825"/>
      <c r="B75" s="825"/>
      <c r="C75" s="825"/>
      <c r="D75" s="825"/>
      <c r="E75" s="825"/>
      <c r="F75" s="829"/>
      <c r="G75" s="826"/>
      <c r="H75" s="826"/>
      <c r="I75" s="825"/>
      <c r="J75" s="825"/>
      <c r="K75" s="827"/>
      <c r="L75" s="825"/>
      <c r="M75" s="825"/>
      <c r="N75" s="825"/>
      <c r="O75" s="825"/>
      <c r="P75" s="825"/>
      <c r="Q75" s="825"/>
      <c r="R75" s="828"/>
      <c r="S75" s="825"/>
      <c r="T75" s="825"/>
      <c r="U75" s="825"/>
      <c r="V75" s="825"/>
      <c r="W75" s="825"/>
      <c r="X75" s="825"/>
      <c r="Y75" s="825"/>
      <c r="Z75" s="825"/>
      <c r="AA75" s="825"/>
      <c r="AB75" s="825"/>
      <c r="AC75" s="825"/>
    </row>
    <row r="76" spans="1:29" x14ac:dyDescent="0.2">
      <c r="A76" s="825"/>
      <c r="B76" s="825"/>
      <c r="C76" s="825"/>
      <c r="D76" s="825"/>
      <c r="E76" s="825"/>
      <c r="F76" s="829"/>
      <c r="G76" s="826"/>
      <c r="H76" s="826"/>
      <c r="I76" s="825"/>
      <c r="J76" s="825"/>
      <c r="K76" s="827"/>
      <c r="L76" s="825"/>
      <c r="M76" s="825"/>
      <c r="N76" s="825"/>
      <c r="O76" s="825"/>
      <c r="P76" s="825"/>
      <c r="Q76" s="825"/>
      <c r="R76" s="828"/>
      <c r="S76" s="825"/>
      <c r="T76" s="825"/>
      <c r="U76" s="825"/>
      <c r="V76" s="825"/>
      <c r="W76" s="825"/>
      <c r="X76" s="825"/>
      <c r="Y76" s="825"/>
      <c r="Z76" s="825"/>
      <c r="AA76" s="825"/>
      <c r="AB76" s="825"/>
    </row>
    <row r="77" spans="1:29" x14ac:dyDescent="0.2">
      <c r="A77" s="825"/>
      <c r="B77" s="825"/>
      <c r="C77" s="825"/>
      <c r="D77" s="825"/>
      <c r="E77" s="825"/>
      <c r="F77" s="829"/>
      <c r="G77" s="826"/>
      <c r="H77" s="826"/>
      <c r="I77" s="825"/>
      <c r="J77" s="825"/>
      <c r="K77" s="827"/>
      <c r="L77" s="825"/>
      <c r="M77" s="825"/>
      <c r="N77" s="825"/>
      <c r="O77" s="825"/>
      <c r="P77" s="825"/>
      <c r="Q77" s="825"/>
      <c r="R77" s="828"/>
      <c r="S77" s="825"/>
      <c r="T77" s="825"/>
      <c r="U77" s="825"/>
      <c r="V77" s="825"/>
      <c r="W77" s="825"/>
      <c r="X77" s="825"/>
      <c r="Y77" s="825"/>
      <c r="Z77" s="825"/>
      <c r="AA77" s="825"/>
      <c r="AB77" s="825"/>
    </row>
    <row r="78" spans="1:29" x14ac:dyDescent="0.2">
      <c r="C78" s="825"/>
      <c r="D78" s="825"/>
      <c r="E78" s="825"/>
      <c r="F78" s="829"/>
    </row>
  </sheetData>
  <protectedRanges>
    <protectedRange sqref="D29" name="Nomina_2_1_2"/>
  </protectedRanges>
  <mergeCells count="50">
    <mergeCell ref="A30:F30"/>
    <mergeCell ref="W49:Y49"/>
    <mergeCell ref="A31:B31"/>
    <mergeCell ref="W50:Y50"/>
    <mergeCell ref="C50:F50"/>
    <mergeCell ref="C49:F49"/>
    <mergeCell ref="J49:U49"/>
    <mergeCell ref="J50:U50"/>
    <mergeCell ref="A28:F28"/>
    <mergeCell ref="K8:K9"/>
    <mergeCell ref="L8:L9"/>
    <mergeCell ref="I7:I9"/>
    <mergeCell ref="J7:L7"/>
    <mergeCell ref="A26:F26"/>
    <mergeCell ref="A16:F16"/>
    <mergeCell ref="A22:F22"/>
    <mergeCell ref="A25:F25"/>
    <mergeCell ref="A10:F10"/>
    <mergeCell ref="A23:F23"/>
    <mergeCell ref="A17:F17"/>
    <mergeCell ref="E7:E9"/>
    <mergeCell ref="AB7:AB9"/>
    <mergeCell ref="A2:AC2"/>
    <mergeCell ref="A3:AC3"/>
    <mergeCell ref="A4:AC4"/>
    <mergeCell ref="A7:A9"/>
    <mergeCell ref="B7:B9"/>
    <mergeCell ref="C7:C9"/>
    <mergeCell ref="D7:D9"/>
    <mergeCell ref="F7:F9"/>
    <mergeCell ref="Y7:Y9"/>
    <mergeCell ref="Z7:Z9"/>
    <mergeCell ref="AC7:AC9"/>
    <mergeCell ref="T7:T9"/>
    <mergeCell ref="AA7:AA9"/>
    <mergeCell ref="O8:O9"/>
    <mergeCell ref="X7:X9"/>
    <mergeCell ref="P7:S7"/>
    <mergeCell ref="V7:V9"/>
    <mergeCell ref="U7:U9"/>
    <mergeCell ref="W7:W9"/>
    <mergeCell ref="G7:G9"/>
    <mergeCell ref="H7:H9"/>
    <mergeCell ref="M8:M9"/>
    <mergeCell ref="N8:N9"/>
    <mergeCell ref="J8:J9"/>
    <mergeCell ref="Q8:Q9"/>
    <mergeCell ref="R8:R9"/>
    <mergeCell ref="S8:S9"/>
    <mergeCell ref="P8:P9"/>
  </mergeCells>
  <printOptions horizontalCentered="1" verticalCentered="1"/>
  <pageMargins left="0" right="0" top="0" bottom="0" header="0" footer="0.11811023622047245"/>
  <pageSetup paperSize="5" scale="37" fitToWidth="0" fitToHeight="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Hoja7">
    <tabColor rgb="FFFA1445"/>
  </sheetPr>
  <dimension ref="A2:AK45"/>
  <sheetViews>
    <sheetView showGridLines="0" topLeftCell="A10" zoomScale="86" zoomScaleNormal="86" workbookViewId="0">
      <selection activeCell="R14" sqref="R14"/>
    </sheetView>
  </sheetViews>
  <sheetFormatPr baseColWidth="10" defaultColWidth="9.85546875" defaultRowHeight="14.4" x14ac:dyDescent="0.2"/>
  <cols>
    <col min="1" max="1" width="5.140625" style="1" customWidth="1"/>
    <col min="2" max="2" width="6" style="642" bestFit="1" customWidth="1"/>
    <col min="3" max="3" width="8.85546875" style="642" customWidth="1"/>
    <col min="4" max="4" width="28.28515625" style="1" customWidth="1"/>
    <col min="5" max="5" width="5.28515625" style="1" customWidth="1"/>
    <col min="6" max="6" width="17.7109375" style="5" customWidth="1"/>
    <col min="7" max="7" width="21.85546875" style="5" customWidth="1"/>
    <col min="8" max="8" width="15.7109375" style="5" customWidth="1"/>
    <col min="9" max="9" width="12.7109375" style="5" customWidth="1"/>
    <col min="10" max="10" width="16" style="1" bestFit="1" customWidth="1"/>
    <col min="11" max="11" width="17.42578125" style="1" bestFit="1" customWidth="1"/>
    <col min="12" max="12" width="10.140625" style="6" bestFit="1" customWidth="1"/>
    <col min="13" max="13" width="7.140625" style="6" hidden="1" customWidth="1"/>
    <col min="14" max="14" width="10.85546875" style="6" hidden="1" customWidth="1"/>
    <col min="15" max="15" width="8" style="6" hidden="1" customWidth="1"/>
    <col min="16" max="16" width="16.42578125" style="1" bestFit="1" customWidth="1"/>
    <col min="17" max="17" width="15.85546875" style="1" customWidth="1"/>
    <col min="18" max="18" width="15.42578125" style="1" customWidth="1"/>
    <col min="19" max="19" width="9.42578125" style="1" customWidth="1"/>
    <col min="20" max="20" width="14.85546875" style="1" customWidth="1"/>
    <col min="21" max="21" width="16.28515625" style="1" bestFit="1" customWidth="1"/>
    <col min="22" max="22" width="14.28515625" style="1" hidden="1" customWidth="1"/>
    <col min="23" max="23" width="14.42578125" style="1" customWidth="1"/>
    <col min="24" max="24" width="14.28515625" style="1" hidden="1" customWidth="1"/>
    <col min="25" max="25" width="18.42578125" style="1" customWidth="1"/>
    <col min="26" max="26" width="45.7109375" style="1" bestFit="1" customWidth="1"/>
    <col min="27" max="27" width="17.140625" style="1" hidden="1" customWidth="1"/>
    <col min="28" max="28" width="13.28515625" style="1" hidden="1" customWidth="1"/>
    <col min="29" max="29" width="15.7109375" style="1" customWidth="1"/>
    <col min="30" max="30" width="12.42578125" style="1" customWidth="1"/>
    <col min="31" max="32" width="14.42578125" style="1" bestFit="1" customWidth="1"/>
    <col min="33" max="33" width="17.28515625" style="1" bestFit="1" customWidth="1"/>
    <col min="34" max="34" width="38.85546875" style="1" customWidth="1"/>
    <col min="35" max="35" width="3.85546875" style="1" customWidth="1"/>
    <col min="36" max="36" width="8.85546875" style="1" customWidth="1"/>
    <col min="37" max="38" width="1.85546875" style="1" customWidth="1"/>
    <col min="39" max="39" width="13.85546875" style="1" customWidth="1"/>
    <col min="40" max="40" width="6.85546875" style="1" customWidth="1"/>
    <col min="41" max="41" width="5.85546875" style="1" customWidth="1"/>
    <col min="42" max="42" width="7.85546875" style="1" customWidth="1"/>
    <col min="43" max="43" width="1.85546875" style="1" customWidth="1"/>
    <col min="44" max="44" width="38.85546875" style="1" customWidth="1"/>
    <col min="45" max="45" width="3.85546875" style="1" customWidth="1"/>
    <col min="46" max="46" width="8.85546875" style="1" customWidth="1"/>
    <col min="47" max="47" width="1.85546875" style="1" customWidth="1"/>
    <col min="48" max="16384" width="9.85546875" style="1"/>
  </cols>
  <sheetData>
    <row r="2" spans="1:37" s="15" customFormat="1" ht="17.25" customHeight="1" x14ac:dyDescent="0.2">
      <c r="A2" s="1177" t="s">
        <v>97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  <c r="AF2" s="1177"/>
      <c r="AG2" s="1177"/>
    </row>
    <row r="3" spans="1:37" s="15" customFormat="1" ht="17.25" customHeight="1" x14ac:dyDescent="0.2">
      <c r="A3" s="1177" t="s">
        <v>203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1177"/>
      <c r="AA3" s="1177"/>
      <c r="AB3" s="1177"/>
      <c r="AC3" s="1177"/>
      <c r="AD3" s="1177"/>
      <c r="AE3" s="1177"/>
      <c r="AF3" s="1177"/>
      <c r="AG3" s="1177"/>
    </row>
    <row r="4" spans="1:37" s="15" customFormat="1" ht="17.25" customHeight="1" x14ac:dyDescent="0.3">
      <c r="A4" s="1178" t="str">
        <f>+'ADMON COM. '!A5:AC5</f>
        <v>QUINCENA DEL 16  AL 30  DE ABRIL - 2026</v>
      </c>
      <c r="B4" s="1178"/>
      <c r="C4" s="1178"/>
      <c r="D4" s="1178"/>
      <c r="E4" s="1178"/>
      <c r="F4" s="1178"/>
      <c r="G4" s="1178"/>
      <c r="H4" s="1178"/>
      <c r="I4" s="1178"/>
      <c r="J4" s="1178"/>
      <c r="K4" s="1178"/>
      <c r="L4" s="1178"/>
      <c r="M4" s="1178"/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1178"/>
      <c r="AA4" s="1178"/>
      <c r="AB4" s="1178"/>
      <c r="AC4" s="1178"/>
      <c r="AD4" s="1178"/>
      <c r="AE4" s="1178"/>
      <c r="AF4" s="1178"/>
      <c r="AG4" s="1178"/>
    </row>
    <row r="5" spans="1:37" s="15" customFormat="1" ht="18" customHeight="1" thickBot="1" x14ac:dyDescent="0.35">
      <c r="A5" s="74">
        <f>+'ADMON COM. '!A6</f>
        <v>15</v>
      </c>
      <c r="B5" s="634"/>
      <c r="C5" s="643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26"/>
      <c r="AA5" s="26"/>
      <c r="AB5" s="26"/>
      <c r="AC5" s="26"/>
      <c r="AD5" s="26"/>
      <c r="AE5" s="26"/>
      <c r="AF5" s="26"/>
      <c r="AG5" s="26"/>
    </row>
    <row r="6" spans="1:37" s="11" customFormat="1" ht="15" customHeight="1" thickTop="1" thickBot="1" x14ac:dyDescent="0.25">
      <c r="A6" s="1143" t="s">
        <v>2</v>
      </c>
      <c r="B6" s="1330" t="s">
        <v>3</v>
      </c>
      <c r="C6" s="1330" t="s">
        <v>4</v>
      </c>
      <c r="D6" s="1143" t="s">
        <v>6</v>
      </c>
      <c r="E6" s="1179" t="s">
        <v>187</v>
      </c>
      <c r="F6" s="1143" t="s">
        <v>7</v>
      </c>
      <c r="G6" s="1144" t="s">
        <v>126</v>
      </c>
      <c r="H6" s="1182" t="s">
        <v>125</v>
      </c>
      <c r="I6" s="1174" t="s">
        <v>82</v>
      </c>
      <c r="J6" s="1143" t="s">
        <v>8</v>
      </c>
      <c r="K6" s="1151" t="s">
        <v>9</v>
      </c>
      <c r="L6" s="1151"/>
      <c r="M6" s="1151"/>
      <c r="N6" s="1151"/>
      <c r="O6" s="1151"/>
      <c r="P6" s="1151"/>
      <c r="Q6" s="1143" t="s">
        <v>10</v>
      </c>
      <c r="R6" s="1143"/>
      <c r="S6" s="1143"/>
      <c r="T6" s="1143"/>
      <c r="U6" s="1170" t="s">
        <v>266</v>
      </c>
      <c r="V6" s="1157" t="s">
        <v>99</v>
      </c>
      <c r="W6" s="1157" t="s">
        <v>114</v>
      </c>
      <c r="X6" s="1170" t="s">
        <v>99</v>
      </c>
      <c r="Y6" s="1143" t="s">
        <v>267</v>
      </c>
      <c r="Z6" s="1173" t="s">
        <v>12</v>
      </c>
      <c r="AA6" s="1143" t="s">
        <v>52</v>
      </c>
      <c r="AB6" s="1143" t="s">
        <v>53</v>
      </c>
      <c r="AC6" s="1143" t="s">
        <v>13</v>
      </c>
      <c r="AD6" s="1143" t="s">
        <v>14</v>
      </c>
      <c r="AE6" s="1143" t="s">
        <v>199</v>
      </c>
      <c r="AF6" s="1143" t="s">
        <v>53</v>
      </c>
      <c r="AG6" s="1143" t="s">
        <v>15</v>
      </c>
    </row>
    <row r="7" spans="1:37" s="13" customFormat="1" ht="21.75" customHeight="1" thickTop="1" thickBot="1" x14ac:dyDescent="0.25">
      <c r="A7" s="1143"/>
      <c r="B7" s="1330"/>
      <c r="C7" s="1330"/>
      <c r="D7" s="1143"/>
      <c r="E7" s="1180"/>
      <c r="F7" s="1143"/>
      <c r="G7" s="1144"/>
      <c r="H7" s="1182"/>
      <c r="I7" s="1175"/>
      <c r="J7" s="1143"/>
      <c r="K7" s="1143" t="s">
        <v>177</v>
      </c>
      <c r="L7" s="1155" t="s">
        <v>16</v>
      </c>
      <c r="M7" s="1168" t="s">
        <v>196</v>
      </c>
      <c r="N7" s="1168" t="s">
        <v>197</v>
      </c>
      <c r="O7" s="1168" t="s">
        <v>195</v>
      </c>
      <c r="P7" s="1143" t="s">
        <v>17</v>
      </c>
      <c r="Q7" s="1143" t="s">
        <v>18</v>
      </c>
      <c r="R7" s="1143" t="s">
        <v>19</v>
      </c>
      <c r="S7" s="1143" t="s">
        <v>94</v>
      </c>
      <c r="T7" s="1143" t="s">
        <v>20</v>
      </c>
      <c r="U7" s="1171"/>
      <c r="V7" s="1157"/>
      <c r="W7" s="1157"/>
      <c r="X7" s="1171"/>
      <c r="Y7" s="1143"/>
      <c r="Z7" s="1173"/>
      <c r="AA7" s="1143"/>
      <c r="AB7" s="1143"/>
      <c r="AC7" s="1143"/>
      <c r="AD7" s="1143"/>
      <c r="AE7" s="1143"/>
      <c r="AF7" s="1143"/>
      <c r="AG7" s="1143"/>
      <c r="AH7" s="12"/>
      <c r="AI7" s="12"/>
      <c r="AJ7" s="12"/>
      <c r="AK7" s="12"/>
    </row>
    <row r="8" spans="1:37" s="13" customFormat="1" ht="43.65" customHeight="1" thickTop="1" thickBot="1" x14ac:dyDescent="0.25">
      <c r="A8" s="1143"/>
      <c r="B8" s="1330"/>
      <c r="C8" s="1330"/>
      <c r="D8" s="1143"/>
      <c r="E8" s="1181"/>
      <c r="F8" s="1143"/>
      <c r="G8" s="1144"/>
      <c r="H8" s="1182"/>
      <c r="I8" s="1176"/>
      <c r="J8" s="1143"/>
      <c r="K8" s="1143"/>
      <c r="L8" s="1155"/>
      <c r="M8" s="1169"/>
      <c r="N8" s="1169"/>
      <c r="O8" s="1169"/>
      <c r="P8" s="1143"/>
      <c r="Q8" s="1143"/>
      <c r="R8" s="1143"/>
      <c r="S8" s="1143"/>
      <c r="T8" s="1143"/>
      <c r="U8" s="1172"/>
      <c r="V8" s="1157"/>
      <c r="W8" s="1157"/>
      <c r="X8" s="1172"/>
      <c r="Y8" s="1143"/>
      <c r="Z8" s="1173"/>
      <c r="AA8" s="1143"/>
      <c r="AB8" s="1143"/>
      <c r="AC8" s="1143"/>
      <c r="AD8" s="1143"/>
      <c r="AE8" s="1143"/>
      <c r="AF8" s="1143"/>
      <c r="AG8" s="1143"/>
    </row>
    <row r="9" spans="1:37" s="7" customFormat="1" ht="102.6" customHeight="1" thickTop="1" thickBot="1" x14ac:dyDescent="0.25">
      <c r="A9" s="578">
        <v>1</v>
      </c>
      <c r="B9" s="635">
        <v>5357574</v>
      </c>
      <c r="C9" s="644" t="s">
        <v>111</v>
      </c>
      <c r="D9" s="736" t="s">
        <v>96</v>
      </c>
      <c r="E9" s="580" t="s">
        <v>32</v>
      </c>
      <c r="F9" s="579" t="s">
        <v>403</v>
      </c>
      <c r="G9" s="579">
        <v>0</v>
      </c>
      <c r="H9" s="581">
        <f>LOOKUP(A5,'Cambio del dia'!F7:G38)</f>
        <v>36.624299999999998</v>
      </c>
      <c r="I9" s="582">
        <f>+K9/L9</f>
        <v>0</v>
      </c>
      <c r="J9" s="583">
        <f>+H9*G9</f>
        <v>0</v>
      </c>
      <c r="K9" s="583">
        <f t="shared" ref="K9:K14" si="0">(J9/30)*L9</f>
        <v>0</v>
      </c>
      <c r="L9" s="679">
        <v>15</v>
      </c>
      <c r="M9" s="328">
        <f t="shared" ref="M9:M14" si="1">+N9*O9</f>
        <v>0</v>
      </c>
      <c r="N9" s="584">
        <f t="shared" ref="N9:N14" si="2">I9*60%</f>
        <v>0</v>
      </c>
      <c r="O9" s="328">
        <v>0</v>
      </c>
      <c r="P9" s="585">
        <f>+K9-M9</f>
        <v>0</v>
      </c>
      <c r="Q9" s="583">
        <f t="shared" ref="Q9:Q14" si="3">IF(B9="",0,(P9*7%))</f>
        <v>0</v>
      </c>
      <c r="R9" s="583">
        <f>IF(AND(P9*24&gt;100000,P9*24&lt;=200000),((((P9-Q9)*24)-100000)*15%)/24,IF(AND(P9*24&gt;100000,P9*24&lt;=200000),(((((P9-Q9)*24)-100000)*15%))/24,))</f>
        <v>0</v>
      </c>
      <c r="S9" s="583"/>
      <c r="T9" s="585">
        <f t="shared" ref="T9:T14" si="4">+Q9+R9+S9</f>
        <v>0</v>
      </c>
      <c r="U9" s="585">
        <f t="shared" ref="U9:U14" si="5">-T9+P9</f>
        <v>0</v>
      </c>
      <c r="V9" s="585">
        <v>0</v>
      </c>
      <c r="W9" s="585">
        <v>0</v>
      </c>
      <c r="X9" s="585"/>
      <c r="Y9" s="355">
        <f>+P9-T9+V9</f>
        <v>0</v>
      </c>
      <c r="Z9" s="586"/>
      <c r="AA9" s="586">
        <f t="shared" ref="AA9:AA14" si="6">+J9/30*1.25</f>
        <v>0</v>
      </c>
      <c r="AB9" s="586">
        <f t="shared" ref="AB9:AB14" si="7">+J9/30*1.25</f>
        <v>0</v>
      </c>
      <c r="AC9" s="583">
        <f t="shared" ref="AC9:AC14" si="8">IF(B9="",0,P9*21.5%)</f>
        <v>0</v>
      </c>
      <c r="AD9" s="583">
        <f t="shared" ref="AD9:AD14" si="9">IF(Q9&gt;0,P9*2%,0)</f>
        <v>0</v>
      </c>
      <c r="AE9" s="583">
        <f t="shared" ref="AE9:AE14" si="10">+K9/12</f>
        <v>0</v>
      </c>
      <c r="AF9" s="583">
        <f t="shared" ref="AF9:AF14" si="11">+AE9</f>
        <v>0</v>
      </c>
      <c r="AG9" s="583">
        <f t="shared" ref="AG9:AG14" si="12">SUM(P9,AC9,AB9,AA9,AD9)</f>
        <v>0</v>
      </c>
    </row>
    <row r="10" spans="1:37" s="7" customFormat="1" ht="96.6" customHeight="1" thickTop="1" thickBot="1" x14ac:dyDescent="0.25">
      <c r="A10" s="578">
        <v>2</v>
      </c>
      <c r="B10" s="636">
        <v>25093885</v>
      </c>
      <c r="C10" s="645" t="s">
        <v>90</v>
      </c>
      <c r="D10" s="736" t="s">
        <v>281</v>
      </c>
      <c r="E10" s="580" t="s">
        <v>32</v>
      </c>
      <c r="F10" s="579" t="s">
        <v>403</v>
      </c>
      <c r="G10" s="579">
        <v>0</v>
      </c>
      <c r="H10" s="581">
        <f>LOOKUP(A5,'Cambio del dia'!F7:G38)</f>
        <v>36.624299999999998</v>
      </c>
      <c r="I10" s="579">
        <f>+P10/L10</f>
        <v>0</v>
      </c>
      <c r="J10" s="583">
        <f t="shared" ref="J10:J14" si="13">+H10*G10</f>
        <v>0</v>
      </c>
      <c r="K10" s="583">
        <f t="shared" si="0"/>
        <v>0</v>
      </c>
      <c r="L10" s="679">
        <v>15</v>
      </c>
      <c r="M10" s="328">
        <f t="shared" si="1"/>
        <v>0</v>
      </c>
      <c r="N10" s="584">
        <f t="shared" si="2"/>
        <v>0</v>
      </c>
      <c r="O10" s="328">
        <v>0</v>
      </c>
      <c r="P10" s="585">
        <f>+K10</f>
        <v>0</v>
      </c>
      <c r="Q10" s="583">
        <f>IF(B10="",0,(P10*7%))</f>
        <v>0</v>
      </c>
      <c r="R10" s="583">
        <f>IF(AND(P10*24&gt;100000,P10*24&lt;=200000),((((P10-Q10)*24)-100000)*15%)/24,IF(AND(P10*24&gt;100000,P10*24&lt;=200000),(((((P10-Q10)*24)-100000)*15%))/24,))</f>
        <v>0</v>
      </c>
      <c r="S10" s="583"/>
      <c r="T10" s="585">
        <f t="shared" si="4"/>
        <v>0</v>
      </c>
      <c r="U10" s="585">
        <f t="shared" si="5"/>
        <v>0</v>
      </c>
      <c r="V10" s="585">
        <v>0</v>
      </c>
      <c r="W10" s="585">
        <v>0</v>
      </c>
      <c r="X10" s="585"/>
      <c r="Y10" s="355">
        <f>+P10-T10+V10-W10</f>
        <v>0</v>
      </c>
      <c r="Z10" s="586"/>
      <c r="AA10" s="586">
        <f t="shared" si="6"/>
        <v>0</v>
      </c>
      <c r="AB10" s="586">
        <f t="shared" si="7"/>
        <v>0</v>
      </c>
      <c r="AC10" s="583">
        <f t="shared" si="8"/>
        <v>0</v>
      </c>
      <c r="AD10" s="583">
        <f t="shared" si="9"/>
        <v>0</v>
      </c>
      <c r="AE10" s="583">
        <f t="shared" si="10"/>
        <v>0</v>
      </c>
      <c r="AF10" s="583">
        <f t="shared" si="11"/>
        <v>0</v>
      </c>
      <c r="AG10" s="583">
        <f t="shared" si="12"/>
        <v>0</v>
      </c>
    </row>
    <row r="11" spans="1:37" s="7" customFormat="1" ht="97.95" customHeight="1" thickTop="1" thickBot="1" x14ac:dyDescent="0.25">
      <c r="A11" s="578">
        <v>3</v>
      </c>
      <c r="B11" s="635">
        <v>21371240</v>
      </c>
      <c r="C11" s="644" t="s">
        <v>223</v>
      </c>
      <c r="D11" s="736" t="s">
        <v>280</v>
      </c>
      <c r="E11" s="580" t="s">
        <v>32</v>
      </c>
      <c r="F11" s="579" t="s">
        <v>403</v>
      </c>
      <c r="G11" s="579">
        <v>0</v>
      </c>
      <c r="H11" s="581">
        <f>LOOKUP(A5,'Cambio del dia'!F8:G38)</f>
        <v>36.624299999999998</v>
      </c>
      <c r="I11" s="579">
        <f>+P11/L11</f>
        <v>0</v>
      </c>
      <c r="J11" s="583">
        <f t="shared" si="13"/>
        <v>0</v>
      </c>
      <c r="K11" s="583">
        <f t="shared" si="0"/>
        <v>0</v>
      </c>
      <c r="L11" s="679">
        <v>15</v>
      </c>
      <c r="M11" s="328">
        <f t="shared" si="1"/>
        <v>0</v>
      </c>
      <c r="N11" s="584">
        <f t="shared" si="2"/>
        <v>0</v>
      </c>
      <c r="O11" s="328">
        <v>0</v>
      </c>
      <c r="P11" s="585">
        <f>+K11</f>
        <v>0</v>
      </c>
      <c r="Q11" s="583">
        <f t="shared" si="3"/>
        <v>0</v>
      </c>
      <c r="R11" s="583">
        <f>IF(AND(P11*24&gt;100000,P11*24&lt;=200000),((((P11-Q11)*24)-100000)*15%)/24,IF(AND(P11*24&gt;100000,P11*24&lt;=200000),(((((P11-Q11)*24)-100000)*15%))/24,))</f>
        <v>0</v>
      </c>
      <c r="S11" s="583"/>
      <c r="T11" s="585">
        <f t="shared" si="4"/>
        <v>0</v>
      </c>
      <c r="U11" s="585">
        <f t="shared" si="5"/>
        <v>0</v>
      </c>
      <c r="V11" s="585">
        <v>0</v>
      </c>
      <c r="W11" s="585">
        <v>0</v>
      </c>
      <c r="X11" s="585"/>
      <c r="Y11" s="355">
        <f>+P11-T11+V11</f>
        <v>0</v>
      </c>
      <c r="Z11" s="586"/>
      <c r="AA11" s="586">
        <f t="shared" si="6"/>
        <v>0</v>
      </c>
      <c r="AB11" s="586">
        <f t="shared" si="7"/>
        <v>0</v>
      </c>
      <c r="AC11" s="583">
        <f t="shared" si="8"/>
        <v>0</v>
      </c>
      <c r="AD11" s="583">
        <f t="shared" si="9"/>
        <v>0</v>
      </c>
      <c r="AE11" s="583">
        <f t="shared" si="10"/>
        <v>0</v>
      </c>
      <c r="AF11" s="583">
        <f t="shared" si="11"/>
        <v>0</v>
      </c>
      <c r="AG11" s="583">
        <f t="shared" si="12"/>
        <v>0</v>
      </c>
    </row>
    <row r="12" spans="1:37" s="7" customFormat="1" ht="100.95" customHeight="1" thickTop="1" thickBot="1" x14ac:dyDescent="0.25">
      <c r="A12" s="578">
        <v>4</v>
      </c>
      <c r="B12" s="635">
        <v>19144283</v>
      </c>
      <c r="C12" s="644" t="s">
        <v>228</v>
      </c>
      <c r="D12" s="736" t="s">
        <v>227</v>
      </c>
      <c r="E12" s="580" t="s">
        <v>32</v>
      </c>
      <c r="F12" s="579" t="s">
        <v>403</v>
      </c>
      <c r="G12" s="579">
        <v>0</v>
      </c>
      <c r="H12" s="581">
        <f>LOOKUP(A5,'Cambio del dia'!F7:G38)</f>
        <v>36.624299999999998</v>
      </c>
      <c r="I12" s="579">
        <f>+P12/L12</f>
        <v>0</v>
      </c>
      <c r="J12" s="583">
        <f t="shared" si="13"/>
        <v>0</v>
      </c>
      <c r="K12" s="583">
        <f t="shared" si="0"/>
        <v>0</v>
      </c>
      <c r="L12" s="679">
        <v>15</v>
      </c>
      <c r="M12" s="328">
        <f t="shared" si="1"/>
        <v>0</v>
      </c>
      <c r="N12" s="584">
        <f t="shared" si="2"/>
        <v>0</v>
      </c>
      <c r="O12" s="328">
        <v>0</v>
      </c>
      <c r="P12" s="585">
        <f>+K12</f>
        <v>0</v>
      </c>
      <c r="Q12" s="583">
        <f t="shared" si="3"/>
        <v>0</v>
      </c>
      <c r="R12" s="583">
        <f>IF(AND(P12*24&gt;100000,P12*24&lt;=200000),((((P12-Q12)*24)-100000)*15%)/24,IF(AND(P12*24&gt;100000,P12*24&lt;=200000),(((((P12-Q12)*24)-100000)*15%))/24,))</f>
        <v>0</v>
      </c>
      <c r="S12" s="583"/>
      <c r="T12" s="585">
        <f t="shared" si="4"/>
        <v>0</v>
      </c>
      <c r="U12" s="585">
        <f t="shared" si="5"/>
        <v>0</v>
      </c>
      <c r="V12" s="585"/>
      <c r="W12" s="585"/>
      <c r="X12" s="585"/>
      <c r="Y12" s="355">
        <f>+U12-V12-W12</f>
        <v>0</v>
      </c>
      <c r="Z12" s="586"/>
      <c r="AA12" s="586">
        <f t="shared" si="6"/>
        <v>0</v>
      </c>
      <c r="AB12" s="586">
        <f t="shared" si="7"/>
        <v>0</v>
      </c>
      <c r="AC12" s="583">
        <f t="shared" si="8"/>
        <v>0</v>
      </c>
      <c r="AD12" s="583">
        <f t="shared" si="9"/>
        <v>0</v>
      </c>
      <c r="AE12" s="583">
        <f t="shared" si="10"/>
        <v>0</v>
      </c>
      <c r="AF12" s="583">
        <f t="shared" si="11"/>
        <v>0</v>
      </c>
      <c r="AG12" s="583">
        <f t="shared" si="12"/>
        <v>0</v>
      </c>
    </row>
    <row r="13" spans="1:37" s="7" customFormat="1" ht="100.95" customHeight="1" thickTop="1" thickBot="1" x14ac:dyDescent="0.25">
      <c r="A13" s="578">
        <v>5</v>
      </c>
      <c r="B13" s="635">
        <v>35126559</v>
      </c>
      <c r="C13" s="644" t="s">
        <v>332</v>
      </c>
      <c r="D13" s="736" t="s">
        <v>331</v>
      </c>
      <c r="E13" s="580" t="s">
        <v>188</v>
      </c>
      <c r="F13" s="579" t="s">
        <v>404</v>
      </c>
      <c r="G13" s="579">
        <v>0</v>
      </c>
      <c r="H13" s="581">
        <v>0</v>
      </c>
      <c r="I13" s="579">
        <v>0</v>
      </c>
      <c r="J13" s="583">
        <v>0</v>
      </c>
      <c r="K13" s="583">
        <f>(J13/30)*L13</f>
        <v>0</v>
      </c>
      <c r="L13" s="679">
        <v>15</v>
      </c>
      <c r="M13" s="328">
        <f t="shared" ref="M13" si="14">+N13*O13</f>
        <v>0</v>
      </c>
      <c r="N13" s="584">
        <f t="shared" ref="N13" si="15">I13*60%</f>
        <v>0</v>
      </c>
      <c r="O13" s="328">
        <v>0</v>
      </c>
      <c r="P13" s="585">
        <f>+K13</f>
        <v>0</v>
      </c>
      <c r="Q13" s="583">
        <f>IF(B13="",0,(P13*5%))</f>
        <v>0</v>
      </c>
      <c r="R13" s="327">
        <v>0</v>
      </c>
      <c r="S13" s="583"/>
      <c r="T13" s="585">
        <f t="shared" ref="T13" si="16">+Q13+R13+S13</f>
        <v>0</v>
      </c>
      <c r="U13" s="585">
        <f t="shared" ref="U13" si="17">-T13+P13</f>
        <v>0</v>
      </c>
      <c r="V13" s="585"/>
      <c r="W13" s="585">
        <v>0</v>
      </c>
      <c r="X13" s="585"/>
      <c r="Y13" s="355">
        <f>+P13-T13+V13-W13</f>
        <v>0</v>
      </c>
      <c r="Z13" s="586"/>
      <c r="AA13" s="586">
        <f t="shared" ref="AA13" si="18">+J13/30*1.25</f>
        <v>0</v>
      </c>
      <c r="AB13" s="586">
        <f t="shared" ref="AB13" si="19">+J13/30*1.25</f>
        <v>0</v>
      </c>
      <c r="AC13" s="583">
        <f t="shared" ref="AC13" si="20">IF(B13="",0,P13*21.5%)</f>
        <v>0</v>
      </c>
      <c r="AD13" s="583">
        <f t="shared" ref="AD13" si="21">IF(Q13&gt;0,P13*2%,0)</f>
        <v>0</v>
      </c>
      <c r="AE13" s="583">
        <f t="shared" ref="AE13" si="22">+K13/12</f>
        <v>0</v>
      </c>
      <c r="AF13" s="583">
        <f t="shared" ref="AF13" si="23">+AE13</f>
        <v>0</v>
      </c>
      <c r="AG13" s="583">
        <f t="shared" ref="AG13" si="24">SUM(P13,AC13,AB13,AA13,AD13)</f>
        <v>0</v>
      </c>
    </row>
    <row r="14" spans="1:37" s="7" customFormat="1" ht="100.95" customHeight="1" thickTop="1" thickBot="1" x14ac:dyDescent="0.25">
      <c r="A14" s="578">
        <v>6</v>
      </c>
      <c r="B14" s="635">
        <v>8069333</v>
      </c>
      <c r="C14" s="644" t="s">
        <v>243</v>
      </c>
      <c r="D14" s="736" t="s">
        <v>329</v>
      </c>
      <c r="E14" s="580" t="s">
        <v>32</v>
      </c>
      <c r="F14" s="579" t="s">
        <v>244</v>
      </c>
      <c r="G14" s="579">
        <v>0</v>
      </c>
      <c r="H14" s="581">
        <f>LOOKUP(A5,'Cambio del dia'!F7:G38)</f>
        <v>36.624299999999998</v>
      </c>
      <c r="I14" s="579">
        <f>+P14/L14</f>
        <v>0</v>
      </c>
      <c r="J14" s="583">
        <f t="shared" si="13"/>
        <v>0</v>
      </c>
      <c r="K14" s="583">
        <f t="shared" si="0"/>
        <v>0</v>
      </c>
      <c r="L14" s="679">
        <v>15</v>
      </c>
      <c r="M14" s="328">
        <f t="shared" si="1"/>
        <v>0</v>
      </c>
      <c r="N14" s="584">
        <f t="shared" si="2"/>
        <v>0</v>
      </c>
      <c r="O14" s="328">
        <v>0</v>
      </c>
      <c r="P14" s="585">
        <f>+K14</f>
        <v>0</v>
      </c>
      <c r="Q14" s="583">
        <f t="shared" si="3"/>
        <v>0</v>
      </c>
      <c r="R14" s="583">
        <f>IF(AND(P14*24&gt;100000,P14*24&lt;=200000),((((P14-Q14)*24)-100000)*15%)/24,IF(AND(P14*24&gt;100000,P14*24&lt;=200000),(((((P14-Q14)*24)-100000)*15%))/24,))</f>
        <v>0</v>
      </c>
      <c r="S14" s="583"/>
      <c r="T14" s="585">
        <f t="shared" si="4"/>
        <v>0</v>
      </c>
      <c r="U14" s="585">
        <f t="shared" si="5"/>
        <v>0</v>
      </c>
      <c r="V14" s="585"/>
      <c r="W14" s="585">
        <v>0</v>
      </c>
      <c r="X14" s="585"/>
      <c r="Y14" s="355">
        <f>+P14-T14-V14-W14</f>
        <v>0</v>
      </c>
      <c r="Z14" s="586"/>
      <c r="AA14" s="586">
        <f t="shared" si="6"/>
        <v>0</v>
      </c>
      <c r="AB14" s="586">
        <f t="shared" si="7"/>
        <v>0</v>
      </c>
      <c r="AC14" s="583">
        <f t="shared" si="8"/>
        <v>0</v>
      </c>
      <c r="AD14" s="583">
        <f t="shared" si="9"/>
        <v>0</v>
      </c>
      <c r="AE14" s="583">
        <f t="shared" si="10"/>
        <v>0</v>
      </c>
      <c r="AF14" s="583">
        <f t="shared" si="11"/>
        <v>0</v>
      </c>
      <c r="AG14" s="583">
        <f t="shared" si="12"/>
        <v>0</v>
      </c>
    </row>
    <row r="15" spans="1:37" s="7" customFormat="1" ht="75" customHeight="1" thickTop="1" thickBot="1" x14ac:dyDescent="0.25">
      <c r="A15" s="1162" t="s">
        <v>95</v>
      </c>
      <c r="B15" s="1163"/>
      <c r="C15" s="1163"/>
      <c r="D15" s="1164"/>
      <c r="E15" s="580"/>
      <c r="F15" s="210"/>
      <c r="G15" s="85">
        <f>SUM(G9:G12)</f>
        <v>0</v>
      </c>
      <c r="H15" s="85"/>
      <c r="I15" s="85">
        <f>SUM(I9:I14)</f>
        <v>0</v>
      </c>
      <c r="J15" s="85">
        <f>SUM(J9:J14)</f>
        <v>0</v>
      </c>
      <c r="K15" s="85">
        <f>SUM(K9:K14)</f>
        <v>0</v>
      </c>
      <c r="L15" s="735">
        <f>SUM(L9:L14)</f>
        <v>90</v>
      </c>
      <c r="M15" s="85">
        <f t="shared" ref="M15:S15" si="25">SUM(M9:M14)</f>
        <v>0</v>
      </c>
      <c r="N15" s="85">
        <f t="shared" si="25"/>
        <v>0</v>
      </c>
      <c r="O15" s="85">
        <f t="shared" si="25"/>
        <v>0</v>
      </c>
      <c r="P15" s="85">
        <f>SUM(P9:P14)</f>
        <v>0</v>
      </c>
      <c r="Q15" s="85">
        <f>SUM(Q9:Q14)</f>
        <v>0</v>
      </c>
      <c r="R15" s="85">
        <f>SUM(R9:R14)</f>
        <v>0</v>
      </c>
      <c r="S15" s="85">
        <f t="shared" si="25"/>
        <v>0</v>
      </c>
      <c r="T15" s="85">
        <f>SUM(T9:T14)</f>
        <v>0</v>
      </c>
      <c r="U15" s="722">
        <f>SUM(U9:U14)</f>
        <v>0</v>
      </c>
      <c r="V15" s="85">
        <f>SUM(V9:V14)</f>
        <v>0</v>
      </c>
      <c r="W15" s="585">
        <f>SUM(W9:W14)</f>
        <v>0</v>
      </c>
      <c r="X15" s="316">
        <f>SUM(X9:X12)</f>
        <v>0</v>
      </c>
      <c r="Y15" s="317">
        <f>SUM(Y9:Y14)</f>
        <v>0</v>
      </c>
      <c r="Z15" s="587" t="s">
        <v>105</v>
      </c>
      <c r="AA15" s="86">
        <f>SUM(AA9:AA10)</f>
        <v>0</v>
      </c>
      <c r="AB15" s="86">
        <f>SUM(AB9:AB10)</f>
        <v>0</v>
      </c>
      <c r="AC15" s="86">
        <f>SUM(AC9:AC14)</f>
        <v>0</v>
      </c>
      <c r="AD15" s="86">
        <f>SUM(AD9:AD14)</f>
        <v>0</v>
      </c>
      <c r="AE15" s="86">
        <f>SUM(AE9:AE14)</f>
        <v>0</v>
      </c>
      <c r="AF15" s="86">
        <f>SUM(AF9:AF14)</f>
        <v>0</v>
      </c>
      <c r="AG15" s="86">
        <f>SUM(AG9:AG14)</f>
        <v>0</v>
      </c>
    </row>
    <row r="16" spans="1:37" s="14" customFormat="1" ht="19.5" customHeight="1" thickTop="1" x14ac:dyDescent="0.2">
      <c r="A16" s="27"/>
      <c r="B16" s="637"/>
      <c r="C16" s="637"/>
      <c r="D16" s="27"/>
      <c r="E16" s="27"/>
      <c r="F16" s="28"/>
      <c r="G16" s="28"/>
      <c r="H16" s="28"/>
      <c r="I16" s="28"/>
      <c r="J16" s="27"/>
      <c r="K16" s="27"/>
      <c r="L16" s="29"/>
      <c r="M16" s="29"/>
      <c r="N16" s="29"/>
      <c r="O16" s="29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 spans="1:33" s="14" customFormat="1" ht="19.5" customHeight="1" x14ac:dyDescent="0.2">
      <c r="A17" s="27"/>
      <c r="B17" s="637"/>
      <c r="C17" s="637"/>
      <c r="D17" s="27"/>
      <c r="E17" s="27"/>
      <c r="F17" s="28"/>
      <c r="G17" s="28"/>
      <c r="H17" s="28"/>
      <c r="I17" s="28"/>
      <c r="J17" s="27"/>
      <c r="K17" s="27"/>
      <c r="L17" s="29"/>
      <c r="M17" s="29"/>
      <c r="N17" s="29"/>
      <c r="O17" s="29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  <row r="18" spans="1:33" s="11" customFormat="1" x14ac:dyDescent="0.2">
      <c r="A18" s="27"/>
      <c r="B18" s="637"/>
      <c r="C18" s="637"/>
      <c r="D18" s="27"/>
      <c r="E18" s="27"/>
      <c r="F18" s="28"/>
      <c r="G18" s="28"/>
      <c r="H18" s="28"/>
      <c r="I18" s="28"/>
      <c r="J18" s="27"/>
      <c r="K18" s="27"/>
      <c r="L18" s="29"/>
      <c r="M18" s="29"/>
      <c r="N18" s="29"/>
      <c r="O18" s="29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</row>
    <row r="19" spans="1:33" s="11" customFormat="1" x14ac:dyDescent="0.2">
      <c r="A19" s="30"/>
      <c r="B19" s="637"/>
      <c r="C19" s="646"/>
      <c r="D19" s="27"/>
      <c r="E19" s="27"/>
      <c r="F19" s="28"/>
      <c r="G19" s="28"/>
      <c r="H19" s="28"/>
      <c r="I19" s="28"/>
      <c r="J19" s="27"/>
      <c r="K19" s="27"/>
      <c r="L19" s="29"/>
      <c r="M19" s="29"/>
      <c r="N19" s="29"/>
      <c r="O19" s="29"/>
      <c r="P19" s="30"/>
      <c r="Q19" s="27"/>
      <c r="R19" s="27"/>
      <c r="S19" s="31"/>
      <c r="T19" s="27"/>
      <c r="U19" s="27"/>
      <c r="V19" s="27"/>
      <c r="W19" s="27"/>
      <c r="X19" s="27"/>
      <c r="Y19" s="30"/>
      <c r="Z19" s="27"/>
      <c r="AA19" s="27"/>
      <c r="AB19" s="27"/>
      <c r="AC19" s="27"/>
      <c r="AD19" s="27"/>
      <c r="AE19" s="27"/>
      <c r="AF19" s="27"/>
      <c r="AG19" s="27"/>
    </row>
    <row r="20" spans="1:33" s="11" customFormat="1" x14ac:dyDescent="0.2">
      <c r="A20" s="30"/>
      <c r="B20" s="637"/>
      <c r="C20" s="646"/>
      <c r="D20" s="27"/>
      <c r="E20" s="27"/>
      <c r="F20" s="28"/>
      <c r="G20" s="28"/>
      <c r="H20" s="28"/>
      <c r="I20" s="28"/>
      <c r="J20" s="27"/>
      <c r="K20" s="27"/>
      <c r="L20" s="29"/>
      <c r="M20" s="29"/>
      <c r="N20" s="29"/>
      <c r="O20" s="29"/>
      <c r="P20" s="30"/>
      <c r="Q20" s="27"/>
      <c r="R20" s="27"/>
      <c r="S20" s="32"/>
      <c r="T20" s="27"/>
      <c r="U20" s="27"/>
      <c r="V20" s="27"/>
      <c r="W20" s="27"/>
      <c r="X20" s="27"/>
      <c r="Y20" s="30"/>
      <c r="Z20" s="27"/>
      <c r="AA20" s="27"/>
      <c r="AB20" s="27"/>
      <c r="AC20" s="27"/>
      <c r="AD20" s="27"/>
      <c r="AE20" s="27"/>
      <c r="AF20" s="27"/>
      <c r="AG20" s="27"/>
    </row>
    <row r="21" spans="1:33" s="11" customFormat="1" x14ac:dyDescent="0.2">
      <c r="A21" s="30"/>
      <c r="B21" s="637"/>
      <c r="C21" s="646"/>
      <c r="D21" s="27"/>
      <c r="E21" s="27"/>
      <c r="F21" s="28"/>
      <c r="G21" s="28"/>
      <c r="H21" s="28"/>
      <c r="I21" s="28"/>
      <c r="J21" s="27"/>
      <c r="K21" s="27"/>
      <c r="L21" s="29"/>
      <c r="M21" s="29"/>
      <c r="N21" s="29"/>
      <c r="O21" s="29"/>
      <c r="P21" s="30"/>
      <c r="Q21" s="27"/>
      <c r="R21" s="27"/>
      <c r="S21" s="32"/>
      <c r="T21" s="27"/>
      <c r="U21" s="27"/>
      <c r="V21" s="27"/>
      <c r="W21" s="27"/>
      <c r="X21" s="27"/>
      <c r="Y21" s="30"/>
      <c r="Z21" s="27"/>
      <c r="AA21" s="27"/>
      <c r="AB21" s="27"/>
      <c r="AC21" s="27"/>
      <c r="AD21" s="27"/>
      <c r="AE21" s="27"/>
      <c r="AF21" s="27"/>
      <c r="AG21" s="27"/>
    </row>
    <row r="22" spans="1:33" s="11" customFormat="1" ht="15.6" x14ac:dyDescent="0.2">
      <c r="A22" s="30"/>
      <c r="B22" s="637"/>
      <c r="C22" s="1165"/>
      <c r="D22" s="1165"/>
      <c r="E22" s="1165"/>
      <c r="F22" s="1165"/>
      <c r="G22" s="49"/>
      <c r="H22" s="49"/>
      <c r="I22" s="49"/>
      <c r="J22" s="27"/>
      <c r="K22" s="27"/>
      <c r="L22" s="1324"/>
      <c r="M22" s="1324"/>
      <c r="N22" s="1324"/>
      <c r="O22" s="1324"/>
      <c r="P22" s="1324"/>
      <c r="Q22" s="1324"/>
      <c r="R22" s="1324"/>
      <c r="S22" s="1324"/>
      <c r="T22" s="1324"/>
      <c r="U22" s="29"/>
      <c r="V22" s="27"/>
      <c r="W22" s="27"/>
      <c r="X22" s="27"/>
      <c r="Y22" s="1328"/>
      <c r="Z22" s="1328"/>
      <c r="AA22" s="1328"/>
      <c r="AB22" s="1328"/>
      <c r="AC22" s="1328"/>
      <c r="AD22" s="27"/>
      <c r="AE22" s="27"/>
      <c r="AF22" s="27"/>
      <c r="AG22" s="27"/>
    </row>
    <row r="23" spans="1:33" s="11" customFormat="1" ht="13.5" customHeight="1" x14ac:dyDescent="0.2">
      <c r="A23" s="27"/>
      <c r="B23" s="638"/>
      <c r="C23" s="1325" t="s">
        <v>23</v>
      </c>
      <c r="D23" s="1325"/>
      <c r="E23" s="1325"/>
      <c r="F23" s="1325"/>
      <c r="G23" s="52"/>
      <c r="H23" s="52"/>
      <c r="I23" s="52"/>
      <c r="J23" s="27"/>
      <c r="K23" s="27"/>
      <c r="L23" s="1325" t="s">
        <v>24</v>
      </c>
      <c r="M23" s="1325"/>
      <c r="N23" s="1325"/>
      <c r="O23" s="1325"/>
      <c r="P23" s="1325"/>
      <c r="Q23" s="1325"/>
      <c r="R23" s="1325"/>
      <c r="S23" s="1325"/>
      <c r="T23" s="1325"/>
      <c r="U23" s="52"/>
      <c r="V23" s="27"/>
      <c r="W23" s="27"/>
      <c r="X23" s="27"/>
      <c r="Y23" s="1325" t="s">
        <v>25</v>
      </c>
      <c r="Z23" s="1325"/>
      <c r="AA23" s="1325"/>
      <c r="AB23" s="1325"/>
      <c r="AC23" s="1325"/>
      <c r="AD23" s="27"/>
      <c r="AE23" s="27"/>
      <c r="AF23" s="27"/>
      <c r="AG23" s="27"/>
    </row>
    <row r="24" spans="1:33" s="11" customFormat="1" ht="15.6" x14ac:dyDescent="0.2">
      <c r="A24" s="30"/>
      <c r="B24" s="638"/>
      <c r="C24" s="1326" t="str">
        <f>+'ADMON COM. '!C50:F50</f>
        <v>Jose Martin Conrrado</v>
      </c>
      <c r="D24" s="1326"/>
      <c r="E24" s="1326"/>
      <c r="F24" s="1326"/>
      <c r="G24" s="48"/>
      <c r="H24" s="48"/>
      <c r="I24" s="48"/>
      <c r="J24" s="27"/>
      <c r="K24" s="30"/>
      <c r="L24" s="1326" t="s">
        <v>382</v>
      </c>
      <c r="M24" s="1326"/>
      <c r="N24" s="1326"/>
      <c r="O24" s="1326"/>
      <c r="P24" s="1326"/>
      <c r="Q24" s="1326"/>
      <c r="R24" s="1326"/>
      <c r="S24" s="1326"/>
      <c r="T24" s="1326"/>
      <c r="U24" s="48"/>
      <c r="V24" s="33"/>
      <c r="W24" s="33"/>
      <c r="X24" s="33"/>
      <c r="Y24" s="1329" t="s">
        <v>27</v>
      </c>
      <c r="Z24" s="1329"/>
      <c r="AA24" s="1329"/>
      <c r="AB24" s="1329"/>
      <c r="AC24" s="1329"/>
      <c r="AD24" s="27"/>
      <c r="AE24" s="27"/>
      <c r="AF24" s="27"/>
      <c r="AG24" s="27"/>
    </row>
    <row r="25" spans="1:33" s="11" customFormat="1" ht="15.6" x14ac:dyDescent="0.2">
      <c r="A25" s="8"/>
      <c r="B25" s="639"/>
      <c r="C25" s="1327"/>
      <c r="D25" s="1327"/>
      <c r="E25" s="530"/>
      <c r="F25" s="530"/>
      <c r="G25" s="25"/>
      <c r="H25" s="25"/>
      <c r="I25" s="25"/>
      <c r="J25" s="8"/>
      <c r="K25" s="8"/>
      <c r="L25" s="533"/>
      <c r="M25" s="533"/>
      <c r="N25" s="533"/>
      <c r="O25" s="533"/>
      <c r="P25" s="1327"/>
      <c r="Q25" s="1327"/>
      <c r="R25" s="1327"/>
      <c r="S25" s="530"/>
      <c r="T25" s="530"/>
      <c r="U25" s="25"/>
      <c r="V25" s="25"/>
      <c r="W25" s="25"/>
      <c r="X25" s="25"/>
      <c r="Y25" s="529"/>
      <c r="Z25" s="529"/>
      <c r="AA25" s="529"/>
      <c r="AB25" s="529"/>
      <c r="AC25" s="535"/>
      <c r="AD25" s="10"/>
      <c r="AE25" s="10"/>
      <c r="AF25" s="10"/>
      <c r="AG25" s="10"/>
    </row>
    <row r="26" spans="1:33" ht="15.6" x14ac:dyDescent="0.2">
      <c r="A26" s="3"/>
      <c r="B26" s="640"/>
      <c r="C26" s="640"/>
      <c r="D26" s="531"/>
      <c r="E26" s="531"/>
      <c r="F26" s="532"/>
      <c r="G26" s="4"/>
      <c r="H26" s="4"/>
      <c r="I26" s="4"/>
      <c r="J26" s="3"/>
      <c r="K26" s="3"/>
      <c r="L26" s="534"/>
      <c r="M26" s="534"/>
      <c r="N26" s="534"/>
      <c r="O26" s="534"/>
      <c r="P26" s="531"/>
      <c r="Q26" s="531"/>
      <c r="R26" s="531"/>
      <c r="S26" s="531"/>
      <c r="T26" s="531"/>
      <c r="U26" s="3"/>
      <c r="V26" s="3"/>
      <c r="W26" s="3"/>
      <c r="X26" s="3"/>
      <c r="Y26" s="531"/>
      <c r="Z26" s="531"/>
      <c r="AA26" s="531"/>
      <c r="AB26" s="531"/>
      <c r="AC26" s="531"/>
      <c r="AD26" s="3"/>
      <c r="AE26" s="3"/>
      <c r="AF26" s="3"/>
      <c r="AG26" s="3"/>
    </row>
    <row r="27" spans="1:33" x14ac:dyDescent="0.2">
      <c r="A27" s="3"/>
      <c r="B27" s="641"/>
      <c r="C27" s="641"/>
      <c r="D27" s="3"/>
      <c r="E27" s="3"/>
      <c r="F27" s="4"/>
      <c r="G27" s="4"/>
      <c r="H27" s="4"/>
      <c r="I27" s="4"/>
      <c r="J27" s="3"/>
      <c r="K27" s="3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2">
      <c r="A28" s="3"/>
      <c r="B28" s="641"/>
      <c r="C28" s="641"/>
      <c r="D28" s="3"/>
      <c r="E28" s="3"/>
      <c r="F28" s="4"/>
      <c r="G28" s="4"/>
      <c r="H28" s="4"/>
      <c r="I28" s="4"/>
      <c r="J28" s="3"/>
      <c r="K28" s="3"/>
      <c r="L28" s="2"/>
      <c r="M28" s="2"/>
      <c r="N28" s="2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2">
      <c r="A29" s="3"/>
      <c r="B29" s="641"/>
      <c r="C29" s="641"/>
      <c r="D29" s="3"/>
      <c r="E29" s="3"/>
      <c r="F29" s="4"/>
      <c r="G29" s="4"/>
      <c r="H29" s="4"/>
      <c r="I29" s="4"/>
      <c r="J29" s="3"/>
      <c r="K29" s="3"/>
      <c r="L29" s="2"/>
      <c r="M29" s="2"/>
      <c r="N29" s="2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2">
      <c r="A30" s="3"/>
      <c r="B30" s="641"/>
      <c r="C30" s="641"/>
      <c r="D30" s="3"/>
      <c r="E30" s="3"/>
      <c r="F30" s="4"/>
      <c r="G30" s="4"/>
      <c r="H30" s="4"/>
      <c r="I30" s="4"/>
      <c r="J30" s="3"/>
      <c r="K30" s="3"/>
      <c r="L30" s="2"/>
      <c r="M30" s="2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3" x14ac:dyDescent="0.2">
      <c r="A31" s="3"/>
      <c r="B31" s="641"/>
      <c r="C31" s="641"/>
      <c r="D31" s="3"/>
      <c r="E31" s="3"/>
      <c r="F31" s="4"/>
      <c r="G31" s="4"/>
      <c r="H31" s="4"/>
      <c r="I31" s="4"/>
      <c r="J31" s="3"/>
      <c r="K31" s="3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42" spans="1:33" x14ac:dyDescent="0.2">
      <c r="A42" s="3"/>
      <c r="B42" s="641"/>
      <c r="C42" s="641"/>
      <c r="D42" s="3"/>
      <c r="E42" s="3"/>
      <c r="F42" s="4"/>
      <c r="G42" s="4"/>
      <c r="H42" s="4"/>
      <c r="I42" s="4"/>
      <c r="J42" s="3"/>
      <c r="K42" s="3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spans="1:33" x14ac:dyDescent="0.2">
      <c r="A43" s="3"/>
      <c r="B43" s="641"/>
      <c r="C43" s="641"/>
      <c r="D43" s="3"/>
      <c r="E43" s="3"/>
      <c r="F43" s="4"/>
      <c r="G43" s="4"/>
      <c r="H43" s="4"/>
      <c r="I43" s="4"/>
      <c r="J43" s="3"/>
      <c r="K43" s="3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spans="1:33" x14ac:dyDescent="0.2">
      <c r="A44" s="3"/>
      <c r="B44" s="641"/>
      <c r="C44" s="641"/>
      <c r="D44" s="3"/>
      <c r="E44" s="3"/>
      <c r="F44" s="4"/>
      <c r="G44" s="4"/>
      <c r="H44" s="4"/>
      <c r="I44" s="4"/>
      <c r="J44" s="3"/>
      <c r="K44" s="3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3" x14ac:dyDescent="0.2">
      <c r="A45" s="3"/>
      <c r="B45" s="641"/>
      <c r="C45" s="641"/>
      <c r="D45" s="3"/>
      <c r="E45" s="3"/>
      <c r="F45" s="4"/>
      <c r="G45" s="4"/>
      <c r="H45" s="4"/>
      <c r="I45" s="4"/>
      <c r="J45" s="3"/>
      <c r="K45" s="3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</sheetData>
  <mergeCells count="50">
    <mergeCell ref="A2:AG2"/>
    <mergeCell ref="A4:AG4"/>
    <mergeCell ref="A3:AG3"/>
    <mergeCell ref="AG6:AG8"/>
    <mergeCell ref="F6:F8"/>
    <mergeCell ref="D6:D8"/>
    <mergeCell ref="C6:C8"/>
    <mergeCell ref="B6:B8"/>
    <mergeCell ref="AC6:AC8"/>
    <mergeCell ref="R7:R8"/>
    <mergeCell ref="Q7:Q8"/>
    <mergeCell ref="P7:P8"/>
    <mergeCell ref="AD6:AD8"/>
    <mergeCell ref="J6:J8"/>
    <mergeCell ref="AA6:AA8"/>
    <mergeCell ref="AB6:AB8"/>
    <mergeCell ref="C25:D25"/>
    <mergeCell ref="P25:R25"/>
    <mergeCell ref="Z6:Z8"/>
    <mergeCell ref="V6:V8"/>
    <mergeCell ref="A6:A8"/>
    <mergeCell ref="C23:F23"/>
    <mergeCell ref="L7:L8"/>
    <mergeCell ref="K7:K8"/>
    <mergeCell ref="K6:P6"/>
    <mergeCell ref="Q6:T6"/>
    <mergeCell ref="T7:T8"/>
    <mergeCell ref="C24:F24"/>
    <mergeCell ref="Y6:Y8"/>
    <mergeCell ref="Y22:AC22"/>
    <mergeCell ref="Y23:AC23"/>
    <mergeCell ref="Y24:AC24"/>
    <mergeCell ref="L23:T23"/>
    <mergeCell ref="U6:U8"/>
    <mergeCell ref="L24:T24"/>
    <mergeCell ref="G6:G8"/>
    <mergeCell ref="H6:H8"/>
    <mergeCell ref="I6:I8"/>
    <mergeCell ref="S7:S8"/>
    <mergeCell ref="M7:M8"/>
    <mergeCell ref="N7:N8"/>
    <mergeCell ref="O7:O8"/>
    <mergeCell ref="AE6:AE8"/>
    <mergeCell ref="AF6:AF8"/>
    <mergeCell ref="W6:W8"/>
    <mergeCell ref="X6:X8"/>
    <mergeCell ref="C22:F22"/>
    <mergeCell ref="L22:T22"/>
    <mergeCell ref="E6:E8"/>
    <mergeCell ref="A15:D15"/>
  </mergeCells>
  <printOptions horizontalCentered="1" verticalCentered="1"/>
  <pageMargins left="0.19685039370078741" right="0" top="0" bottom="0" header="0" footer="0"/>
  <pageSetup paperSize="5" scale="55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Hoja9">
    <tabColor rgb="FFFFFF00"/>
    <pageSetUpPr fitToPage="1"/>
  </sheetPr>
  <dimension ref="A2:AK48"/>
  <sheetViews>
    <sheetView showGridLines="0" zoomScale="87" zoomScaleNormal="87" workbookViewId="0">
      <selection activeCell="A11" sqref="A11"/>
    </sheetView>
  </sheetViews>
  <sheetFormatPr baseColWidth="10" defaultColWidth="9.85546875" defaultRowHeight="14.4" x14ac:dyDescent="0.2"/>
  <cols>
    <col min="1" max="1" width="5.140625" style="1" customWidth="1"/>
    <col min="2" max="2" width="5" style="1" bestFit="1" customWidth="1"/>
    <col min="3" max="3" width="21.85546875" style="1" hidden="1" customWidth="1"/>
    <col min="4" max="4" width="28.28515625" style="1" customWidth="1"/>
    <col min="5" max="5" width="5.28515625" style="1" customWidth="1"/>
    <col min="6" max="6" width="10" style="5" customWidth="1"/>
    <col min="7" max="7" width="22.7109375" style="5" hidden="1" customWidth="1"/>
    <col min="8" max="9" width="12.42578125" style="5" hidden="1" customWidth="1"/>
    <col min="10" max="10" width="14.42578125" style="1" bestFit="1" customWidth="1"/>
    <col min="11" max="11" width="17.28515625" style="1" bestFit="1" customWidth="1"/>
    <col min="12" max="12" width="8.85546875" style="6" customWidth="1"/>
    <col min="13" max="13" width="10.42578125" style="6" hidden="1" customWidth="1"/>
    <col min="14" max="14" width="10.140625" style="6" hidden="1" customWidth="1"/>
    <col min="15" max="15" width="8.85546875" style="6" customWidth="1"/>
    <col min="16" max="16" width="15.42578125" style="1" customWidth="1"/>
    <col min="17" max="17" width="13.7109375" style="1" customWidth="1"/>
    <col min="18" max="18" width="12.28515625" style="1" customWidth="1"/>
    <col min="19" max="19" width="14.85546875" style="1" customWidth="1"/>
    <col min="20" max="20" width="14.42578125" style="1" hidden="1" customWidth="1"/>
    <col min="21" max="21" width="12.42578125" style="1" customWidth="1"/>
    <col min="22" max="22" width="7.7109375" style="1" customWidth="1"/>
    <col min="23" max="23" width="9.42578125" style="1" customWidth="1"/>
    <col min="24" max="24" width="14.85546875" style="1" bestFit="1" customWidth="1"/>
    <col min="25" max="25" width="13.85546875" style="1" customWidth="1"/>
    <col min="26" max="26" width="12.85546875" style="1" customWidth="1"/>
    <col min="27" max="27" width="15.140625" style="1" customWidth="1"/>
    <col min="28" max="28" width="19.28515625" style="1" customWidth="1"/>
    <col min="29" max="29" width="54" style="1" customWidth="1"/>
    <col min="30" max="30" width="8.85546875" style="1" hidden="1" customWidth="1"/>
    <col min="31" max="31" width="15.42578125" style="1" hidden="1" customWidth="1"/>
    <col min="32" max="32" width="14.42578125" style="1" customWidth="1"/>
    <col min="33" max="33" width="12.85546875" style="1" bestFit="1" customWidth="1"/>
    <col min="34" max="34" width="13.28515625" style="1" customWidth="1"/>
    <col min="35" max="35" width="12" style="1" bestFit="1" customWidth="1"/>
    <col min="36" max="36" width="14.42578125" style="1" bestFit="1" customWidth="1"/>
    <col min="37" max="38" width="1.85546875" style="1" customWidth="1"/>
    <col min="39" max="39" width="13.85546875" style="1" customWidth="1"/>
    <col min="40" max="40" width="6.85546875" style="1" customWidth="1"/>
    <col min="41" max="41" width="5.85546875" style="1" customWidth="1"/>
    <col min="42" max="42" width="7.85546875" style="1" customWidth="1"/>
    <col min="43" max="43" width="1.85546875" style="1" customWidth="1"/>
    <col min="44" max="44" width="38.85546875" style="1" customWidth="1"/>
    <col min="45" max="45" width="3.85546875" style="1" customWidth="1"/>
    <col min="46" max="46" width="8.85546875" style="1" customWidth="1"/>
    <col min="47" max="47" width="1.85546875" style="1" customWidth="1"/>
    <col min="48" max="16384" width="9.85546875" style="1"/>
  </cols>
  <sheetData>
    <row r="2" spans="1:37" s="15" customFormat="1" ht="17.25" customHeight="1" x14ac:dyDescent="0.2">
      <c r="A2" s="1331" t="s">
        <v>318</v>
      </c>
      <c r="B2" s="1331"/>
      <c r="C2" s="1331"/>
      <c r="D2" s="1331"/>
      <c r="E2" s="1331"/>
      <c r="F2" s="1331"/>
      <c r="G2" s="1331"/>
      <c r="H2" s="1331"/>
      <c r="I2" s="1331"/>
      <c r="J2" s="1331"/>
      <c r="K2" s="1331"/>
      <c r="L2" s="1331"/>
      <c r="M2" s="1331"/>
      <c r="N2" s="1331"/>
      <c r="O2" s="1331"/>
      <c r="P2" s="1331"/>
      <c r="Q2" s="1331"/>
      <c r="R2" s="1331"/>
      <c r="S2" s="1331"/>
      <c r="T2" s="1331"/>
      <c r="U2" s="1331"/>
      <c r="V2" s="1331"/>
      <c r="W2" s="1331"/>
      <c r="X2" s="1331"/>
      <c r="Y2" s="1331"/>
      <c r="Z2" s="1331"/>
      <c r="AA2" s="1331"/>
      <c r="AB2" s="1331"/>
      <c r="AC2" s="1331"/>
      <c r="AD2" s="1331"/>
      <c r="AE2" s="1331"/>
    </row>
    <row r="3" spans="1:37" s="15" customFormat="1" ht="17.25" customHeight="1" x14ac:dyDescent="0.2">
      <c r="A3" s="1331" t="s">
        <v>221</v>
      </c>
      <c r="B3" s="1331"/>
      <c r="C3" s="1331"/>
      <c r="D3" s="1331"/>
      <c r="E3" s="1331"/>
      <c r="F3" s="1331"/>
      <c r="G3" s="1331"/>
      <c r="H3" s="1331"/>
      <c r="I3" s="1331"/>
      <c r="J3" s="1331"/>
      <c r="K3" s="1331"/>
      <c r="L3" s="1331"/>
      <c r="M3" s="1331"/>
      <c r="N3" s="1331"/>
      <c r="O3" s="1331"/>
      <c r="P3" s="1331"/>
      <c r="Q3" s="1331"/>
      <c r="R3" s="1331"/>
      <c r="S3" s="1331"/>
      <c r="T3" s="1331"/>
      <c r="U3" s="1331"/>
      <c r="V3" s="1331"/>
      <c r="W3" s="1331"/>
      <c r="X3" s="1331"/>
      <c r="Y3" s="1331"/>
      <c r="Z3" s="1331"/>
      <c r="AA3" s="1331"/>
      <c r="AB3" s="1331"/>
      <c r="AC3" s="1331"/>
      <c r="AD3" s="1331"/>
      <c r="AE3" s="1331"/>
    </row>
    <row r="4" spans="1:37" s="15" customFormat="1" ht="17.25" customHeight="1" x14ac:dyDescent="0.35">
      <c r="A4" s="1332" t="str">
        <f>+TECNICOS!A4</f>
        <v>QUINCENA DEL 16  AL 30  DE ABRIL - 2026</v>
      </c>
      <c r="B4" s="1332"/>
      <c r="C4" s="1332"/>
      <c r="D4" s="1332"/>
      <c r="E4" s="1332"/>
      <c r="F4" s="1332"/>
      <c r="G4" s="1332"/>
      <c r="H4" s="1332"/>
      <c r="I4" s="1332"/>
      <c r="J4" s="1332"/>
      <c r="K4" s="1332"/>
      <c r="L4" s="1332"/>
      <c r="M4" s="1332"/>
      <c r="N4" s="1332"/>
      <c r="O4" s="1332"/>
      <c r="P4" s="1332"/>
      <c r="Q4" s="1332"/>
      <c r="R4" s="1332"/>
      <c r="S4" s="1332"/>
      <c r="T4" s="1332"/>
      <c r="U4" s="1332"/>
      <c r="V4" s="1332"/>
      <c r="W4" s="1332"/>
      <c r="X4" s="1332"/>
      <c r="Y4" s="1332"/>
      <c r="Z4" s="1332"/>
      <c r="AA4" s="1332"/>
      <c r="AB4" s="1332"/>
      <c r="AC4" s="1332"/>
      <c r="AD4" s="1332"/>
      <c r="AE4" s="1332"/>
    </row>
    <row r="5" spans="1:37" s="15" customFormat="1" ht="17.25" customHeight="1" x14ac:dyDescent="0.3">
      <c r="A5" s="541"/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1"/>
      <c r="O5" s="541"/>
      <c r="P5" s="541"/>
      <c r="Q5" s="541"/>
      <c r="R5" s="541"/>
      <c r="S5" s="541"/>
      <c r="T5" s="541"/>
      <c r="U5" s="541"/>
      <c r="V5" s="541"/>
      <c r="W5" s="541"/>
      <c r="X5" s="541"/>
      <c r="Y5" s="541"/>
      <c r="Z5" s="541"/>
      <c r="AA5" s="541"/>
      <c r="AB5" s="541"/>
      <c r="AC5" s="541"/>
      <c r="AD5" s="541"/>
      <c r="AE5" s="541"/>
    </row>
    <row r="6" spans="1:37" s="15" customFormat="1" ht="17.25" customHeight="1" x14ac:dyDescent="0.3">
      <c r="A6" s="541"/>
      <c r="B6" s="541"/>
      <c r="C6" s="541"/>
      <c r="D6" s="541"/>
      <c r="E6" s="541"/>
      <c r="F6" s="541"/>
      <c r="G6" s="541"/>
      <c r="H6" s="541"/>
      <c r="I6" s="541"/>
      <c r="J6" s="541"/>
      <c r="K6" s="541"/>
      <c r="L6" s="541"/>
      <c r="M6" s="541"/>
      <c r="N6" s="541"/>
      <c r="O6" s="541"/>
      <c r="P6" s="541"/>
      <c r="Q6" s="541"/>
      <c r="R6" s="541"/>
      <c r="S6" s="541"/>
      <c r="T6" s="541"/>
      <c r="U6" s="541"/>
      <c r="V6" s="541"/>
      <c r="W6" s="541"/>
      <c r="X6" s="541"/>
      <c r="Y6" s="541"/>
      <c r="Z6" s="541"/>
      <c r="AA6" s="541"/>
      <c r="AB6" s="541"/>
      <c r="AC6" s="541"/>
      <c r="AD6" s="541"/>
      <c r="AE6" s="541"/>
    </row>
    <row r="7" spans="1:37" s="15" customFormat="1" ht="18" customHeight="1" thickBot="1" x14ac:dyDescent="0.35">
      <c r="A7" s="74"/>
      <c r="B7" s="75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26"/>
      <c r="AD7" s="26"/>
      <c r="AE7" s="26"/>
      <c r="AF7" s="26"/>
      <c r="AG7" s="26"/>
      <c r="AH7" s="26"/>
      <c r="AI7" s="26"/>
      <c r="AJ7" s="26"/>
    </row>
    <row r="8" spans="1:37" s="11" customFormat="1" ht="15" customHeight="1" thickTop="1" thickBot="1" x14ac:dyDescent="0.25">
      <c r="A8" s="1143" t="s">
        <v>2</v>
      </c>
      <c r="B8" s="1143" t="s">
        <v>3</v>
      </c>
      <c r="C8" s="1179" t="s">
        <v>4</v>
      </c>
      <c r="D8" s="1143" t="s">
        <v>6</v>
      </c>
      <c r="E8" s="1179" t="s">
        <v>187</v>
      </c>
      <c r="F8" s="1143" t="s">
        <v>7</v>
      </c>
      <c r="G8" s="1144" t="s">
        <v>126</v>
      </c>
      <c r="H8" s="1182" t="s">
        <v>125</v>
      </c>
      <c r="I8" s="1174" t="s">
        <v>82</v>
      </c>
      <c r="J8" s="1143" t="s">
        <v>8</v>
      </c>
      <c r="K8" s="1151" t="s">
        <v>9</v>
      </c>
      <c r="L8" s="1151"/>
      <c r="M8" s="1151"/>
      <c r="N8" s="1151"/>
      <c r="O8" s="1151"/>
      <c r="P8" s="1151"/>
      <c r="Q8" s="351"/>
      <c r="R8" s="351"/>
      <c r="S8" s="1143" t="s">
        <v>10</v>
      </c>
      <c r="T8" s="1143"/>
      <c r="U8" s="1143"/>
      <c r="V8" s="1143"/>
      <c r="W8" s="1143"/>
      <c r="X8" s="1143"/>
      <c r="Y8" s="1335" t="s">
        <v>29</v>
      </c>
      <c r="Z8" s="1157" t="s">
        <v>114</v>
      </c>
      <c r="AA8" s="1157" t="s">
        <v>99</v>
      </c>
      <c r="AB8" s="1143" t="s">
        <v>11</v>
      </c>
      <c r="AC8" s="1173" t="s">
        <v>12</v>
      </c>
      <c r="AD8" s="1143"/>
      <c r="AE8" s="1143"/>
      <c r="AF8" s="1143" t="s">
        <v>13</v>
      </c>
      <c r="AG8" s="1143" t="s">
        <v>282</v>
      </c>
      <c r="AH8" s="1143" t="s">
        <v>53</v>
      </c>
      <c r="AI8" s="1143" t="s">
        <v>14</v>
      </c>
      <c r="AJ8" s="1143" t="s">
        <v>15</v>
      </c>
    </row>
    <row r="9" spans="1:37" s="13" customFormat="1" ht="21.75" customHeight="1" thickTop="1" thickBot="1" x14ac:dyDescent="0.25">
      <c r="A9" s="1143"/>
      <c r="B9" s="1143"/>
      <c r="C9" s="1180"/>
      <c r="D9" s="1143"/>
      <c r="E9" s="1180"/>
      <c r="F9" s="1143"/>
      <c r="G9" s="1144"/>
      <c r="H9" s="1182"/>
      <c r="I9" s="1175"/>
      <c r="J9" s="1143"/>
      <c r="K9" s="1143" t="s">
        <v>177</v>
      </c>
      <c r="L9" s="1155" t="s">
        <v>16</v>
      </c>
      <c r="M9" s="1168" t="s">
        <v>196</v>
      </c>
      <c r="N9" s="1168" t="s">
        <v>197</v>
      </c>
      <c r="O9" s="1333" t="s">
        <v>195</v>
      </c>
      <c r="P9" s="1143" t="s">
        <v>200</v>
      </c>
      <c r="Q9" s="1335" t="s">
        <v>199</v>
      </c>
      <c r="R9" s="1335" t="s">
        <v>53</v>
      </c>
      <c r="S9" s="1143" t="s">
        <v>29</v>
      </c>
      <c r="T9" s="1170"/>
      <c r="U9" s="1335" t="s">
        <v>3</v>
      </c>
      <c r="V9" s="1143" t="s">
        <v>19</v>
      </c>
      <c r="W9" s="1143" t="s">
        <v>94</v>
      </c>
      <c r="X9" s="1143" t="s">
        <v>20</v>
      </c>
      <c r="Y9" s="1337"/>
      <c r="Z9" s="1157"/>
      <c r="AA9" s="1157"/>
      <c r="AB9" s="1143"/>
      <c r="AC9" s="1173"/>
      <c r="AD9" s="1143"/>
      <c r="AE9" s="1143"/>
      <c r="AF9" s="1143"/>
      <c r="AG9" s="1143"/>
      <c r="AH9" s="1143"/>
      <c r="AI9" s="1143"/>
      <c r="AJ9" s="1143"/>
      <c r="AK9" s="12"/>
    </row>
    <row r="10" spans="1:37" s="13" customFormat="1" ht="43.65" customHeight="1" thickTop="1" thickBot="1" x14ac:dyDescent="0.25">
      <c r="A10" s="1143"/>
      <c r="B10" s="1143"/>
      <c r="C10" s="1181"/>
      <c r="D10" s="1143"/>
      <c r="E10" s="1181"/>
      <c r="F10" s="1143"/>
      <c r="G10" s="1144"/>
      <c r="H10" s="1182"/>
      <c r="I10" s="1176"/>
      <c r="J10" s="1143"/>
      <c r="K10" s="1143"/>
      <c r="L10" s="1155"/>
      <c r="M10" s="1169"/>
      <c r="N10" s="1169"/>
      <c r="O10" s="1334"/>
      <c r="P10" s="1143"/>
      <c r="Q10" s="1336"/>
      <c r="R10" s="1336"/>
      <c r="S10" s="1143"/>
      <c r="T10" s="1172"/>
      <c r="U10" s="1336"/>
      <c r="V10" s="1143"/>
      <c r="W10" s="1143"/>
      <c r="X10" s="1143"/>
      <c r="Y10" s="1336"/>
      <c r="Z10" s="1157"/>
      <c r="AA10" s="1157"/>
      <c r="AB10" s="1143"/>
      <c r="AC10" s="1173"/>
      <c r="AD10" s="1143"/>
      <c r="AE10" s="1143"/>
      <c r="AF10" s="1143"/>
      <c r="AG10" s="1143"/>
      <c r="AH10" s="1143"/>
      <c r="AI10" s="1143"/>
      <c r="AJ10" s="1143"/>
    </row>
    <row r="11" spans="1:37" s="326" customFormat="1" ht="89.4" customHeight="1" thickTop="1" thickBot="1" x14ac:dyDescent="0.25">
      <c r="A11" s="319">
        <v>1</v>
      </c>
      <c r="B11" s="314">
        <v>17155823</v>
      </c>
      <c r="C11" s="358" t="s">
        <v>237</v>
      </c>
      <c r="D11" s="315" t="s">
        <v>230</v>
      </c>
      <c r="E11" s="211" t="s">
        <v>188</v>
      </c>
      <c r="F11" s="353" t="s">
        <v>289</v>
      </c>
      <c r="G11" s="78"/>
      <c r="H11" s="79"/>
      <c r="I11" s="216">
        <v>250</v>
      </c>
      <c r="J11" s="583">
        <f>I11*30</f>
        <v>7500</v>
      </c>
      <c r="K11" s="583">
        <f>(J11/30)*L11</f>
        <v>0</v>
      </c>
      <c r="L11" s="628">
        <v>0</v>
      </c>
      <c r="M11" s="328">
        <f>+N11*O11</f>
        <v>0</v>
      </c>
      <c r="N11" s="584">
        <f>I11*60%</f>
        <v>150</v>
      </c>
      <c r="O11" s="328">
        <v>0</v>
      </c>
      <c r="P11" s="585">
        <f>+K11-Q11-R11</f>
        <v>0</v>
      </c>
      <c r="Q11" s="585">
        <v>0</v>
      </c>
      <c r="R11" s="585">
        <v>0</v>
      </c>
      <c r="S11" s="583">
        <f>+P11</f>
        <v>0</v>
      </c>
      <c r="T11" s="588">
        <f>P11+Q11</f>
        <v>0</v>
      </c>
      <c r="U11" s="583">
        <f>+T11*5%</f>
        <v>0</v>
      </c>
      <c r="V11" s="583"/>
      <c r="W11" s="583"/>
      <c r="X11" s="585">
        <f>U11</f>
        <v>0</v>
      </c>
      <c r="Y11" s="585">
        <f>-X11+P11+Q11+R11</f>
        <v>0</v>
      </c>
      <c r="Z11" s="585">
        <v>0</v>
      </c>
      <c r="AA11" s="585">
        <v>0</v>
      </c>
      <c r="AB11" s="355">
        <f>Y11-Z11-AA11</f>
        <v>0</v>
      </c>
      <c r="AC11" s="325"/>
      <c r="AD11" s="325">
        <v>0.155</v>
      </c>
      <c r="AE11" s="325">
        <f>+S11-R11</f>
        <v>0</v>
      </c>
      <c r="AF11" s="583">
        <f>AD11*S11</f>
        <v>0</v>
      </c>
      <c r="AG11" s="583">
        <f>+K11/12</f>
        <v>0</v>
      </c>
      <c r="AH11" s="583">
        <f>+K11/12</f>
        <v>0</v>
      </c>
      <c r="AI11" s="583">
        <f>0.02*AB11</f>
        <v>0</v>
      </c>
      <c r="AJ11" s="583">
        <f>AB11+AF11+AI11+AG11+AH11</f>
        <v>0</v>
      </c>
    </row>
    <row r="12" spans="1:37" s="7" customFormat="1" ht="75" customHeight="1" thickTop="1" thickBot="1" x14ac:dyDescent="0.25">
      <c r="A12" s="1162" t="s">
        <v>95</v>
      </c>
      <c r="B12" s="1163"/>
      <c r="C12" s="1163"/>
      <c r="D12" s="1164"/>
      <c r="E12" s="211"/>
      <c r="F12" s="210"/>
      <c r="G12" s="85" t="e">
        <f>SUM(#REF!)</f>
        <v>#REF!</v>
      </c>
      <c r="H12" s="85"/>
      <c r="I12" s="215">
        <f>SUM(I11:I11)</f>
        <v>250</v>
      </c>
      <c r="J12" s="215">
        <f>SUM(J11:J11)</f>
        <v>7500</v>
      </c>
      <c r="K12" s="215">
        <f>SUM(K11:K11)</f>
        <v>0</v>
      </c>
      <c r="L12" s="322">
        <v>15</v>
      </c>
      <c r="M12" s="215">
        <f t="shared" ref="M12:AA12" si="0">SUM(M11:M11)</f>
        <v>0</v>
      </c>
      <c r="N12" s="215">
        <f t="shared" si="0"/>
        <v>150</v>
      </c>
      <c r="O12" s="215">
        <f t="shared" si="0"/>
        <v>0</v>
      </c>
      <c r="P12" s="215">
        <f t="shared" si="0"/>
        <v>0</v>
      </c>
      <c r="Q12" s="215">
        <f t="shared" si="0"/>
        <v>0</v>
      </c>
      <c r="R12" s="215">
        <f t="shared" si="0"/>
        <v>0</v>
      </c>
      <c r="S12" s="215">
        <f t="shared" si="0"/>
        <v>0</v>
      </c>
      <c r="T12" s="215">
        <f t="shared" si="0"/>
        <v>0</v>
      </c>
      <c r="U12" s="215">
        <f t="shared" si="0"/>
        <v>0</v>
      </c>
      <c r="V12" s="215">
        <f t="shared" si="0"/>
        <v>0</v>
      </c>
      <c r="W12" s="215">
        <f t="shared" si="0"/>
        <v>0</v>
      </c>
      <c r="X12" s="215">
        <f t="shared" si="0"/>
        <v>0</v>
      </c>
      <c r="Y12" s="215">
        <f t="shared" si="0"/>
        <v>0</v>
      </c>
      <c r="Z12" s="163">
        <f t="shared" si="0"/>
        <v>0</v>
      </c>
      <c r="AA12" s="163">
        <f t="shared" si="0"/>
        <v>0</v>
      </c>
      <c r="AB12" s="664">
        <f t="shared" ref="AB12" si="1">Y12-Z12-AA12</f>
        <v>0</v>
      </c>
      <c r="AC12" s="87" t="s">
        <v>105</v>
      </c>
      <c r="AD12" s="86" t="e">
        <f>SUM(#REF!)</f>
        <v>#REF!</v>
      </c>
      <c r="AE12" s="86" t="e">
        <f>SUM(#REF!)</f>
        <v>#REF!</v>
      </c>
      <c r="AF12" s="86">
        <f>SUM(AF11:AF11)</f>
        <v>0</v>
      </c>
      <c r="AG12" s="86">
        <f>SUM(AG11:AG11)</f>
        <v>0</v>
      </c>
      <c r="AH12" s="86">
        <f>SUM(AH11:AH11)</f>
        <v>0</v>
      </c>
      <c r="AI12" s="86">
        <f>SUM(AI11:AI11)</f>
        <v>0</v>
      </c>
      <c r="AJ12" s="86">
        <f>SUM(AJ11:AJ11)</f>
        <v>0</v>
      </c>
    </row>
    <row r="13" spans="1:37" s="14" customFormat="1" ht="19.5" customHeight="1" thickTop="1" x14ac:dyDescent="0.2">
      <c r="A13" s="27"/>
      <c r="B13" s="27"/>
      <c r="C13" s="27"/>
      <c r="D13" s="27"/>
      <c r="E13" s="27"/>
      <c r="F13" s="28"/>
      <c r="G13" s="28"/>
      <c r="H13" s="28"/>
      <c r="I13" s="28"/>
      <c r="J13" s="27"/>
      <c r="K13" s="27"/>
      <c r="L13" s="29"/>
      <c r="M13" s="29"/>
      <c r="N13" s="29"/>
      <c r="O13" s="29"/>
      <c r="P13" s="27" t="s">
        <v>5</v>
      </c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</row>
    <row r="14" spans="1:37" s="14" customFormat="1" ht="19.5" hidden="1" customHeight="1" x14ac:dyDescent="0.2">
      <c r="A14" s="27"/>
      <c r="B14" s="27"/>
      <c r="C14" s="27"/>
      <c r="D14" s="27"/>
      <c r="E14" s="27"/>
      <c r="F14" s="28"/>
      <c r="G14" s="28"/>
      <c r="H14" s="28"/>
      <c r="I14" s="28">
        <v>10</v>
      </c>
      <c r="J14" s="27"/>
      <c r="K14" s="27"/>
      <c r="L14" s="29"/>
      <c r="M14" s="29"/>
      <c r="N14" s="29"/>
      <c r="O14" s="29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1:37" s="14" customFormat="1" ht="19.5" hidden="1" customHeight="1" x14ac:dyDescent="0.2">
      <c r="A15" s="27"/>
      <c r="B15" s="27"/>
      <c r="C15" s="27"/>
      <c r="D15" s="27"/>
      <c r="E15" s="27"/>
      <c r="F15" s="28"/>
      <c r="G15" s="28"/>
      <c r="H15" s="28"/>
      <c r="I15" s="28">
        <v>350</v>
      </c>
      <c r="J15" s="27">
        <v>35.694800000000001</v>
      </c>
      <c r="K15" s="27">
        <f>+I15*J15</f>
        <v>12493.18</v>
      </c>
      <c r="L15" s="29"/>
      <c r="M15" s="29"/>
      <c r="N15" s="29"/>
      <c r="O15" s="29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1:37" s="14" customFormat="1" ht="19.5" hidden="1" customHeight="1" x14ac:dyDescent="0.2">
      <c r="A16" s="27"/>
      <c r="B16" s="27"/>
      <c r="C16" s="27"/>
      <c r="D16" s="27"/>
      <c r="E16" s="27"/>
      <c r="F16" s="28"/>
      <c r="G16" s="28"/>
      <c r="H16" s="28"/>
      <c r="I16" s="28"/>
      <c r="J16" s="27"/>
      <c r="K16" s="27">
        <f>+I15/J15</f>
        <v>9.8053497988502532</v>
      </c>
      <c r="L16" s="29">
        <f>9.81*30</f>
        <v>294.3</v>
      </c>
      <c r="M16" s="29"/>
      <c r="N16" s="29"/>
      <c r="O16" s="29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1:36" s="14" customFormat="1" ht="19.5" hidden="1" customHeight="1" x14ac:dyDescent="0.2">
      <c r="A17" s="27"/>
      <c r="B17" s="27"/>
      <c r="C17" s="27"/>
      <c r="D17" s="27"/>
      <c r="E17" s="27"/>
      <c r="F17" s="28"/>
      <c r="G17" s="28"/>
      <c r="H17" s="28"/>
      <c r="I17" s="28"/>
      <c r="J17" s="27"/>
      <c r="K17" s="27"/>
      <c r="L17" s="29"/>
      <c r="M17" s="29"/>
      <c r="N17" s="29"/>
      <c r="O17" s="29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1:36" s="14" customFormat="1" ht="19.5" hidden="1" customHeight="1" x14ac:dyDescent="0.2">
      <c r="A18" s="27"/>
      <c r="B18" s="27"/>
      <c r="C18" s="27"/>
      <c r="D18" s="27"/>
      <c r="E18" s="27"/>
      <c r="F18" s="28"/>
      <c r="G18" s="28"/>
      <c r="H18" s="28"/>
      <c r="I18" s="28"/>
      <c r="J18" s="27"/>
      <c r="K18" s="27"/>
      <c r="L18" s="29"/>
      <c r="M18" s="29"/>
      <c r="N18" s="29"/>
      <c r="O18" s="29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1:36" s="14" customFormat="1" ht="19.5" hidden="1" customHeight="1" x14ac:dyDescent="0.2">
      <c r="A19" s="27"/>
      <c r="B19" s="27"/>
      <c r="C19" s="27"/>
      <c r="D19" s="27"/>
      <c r="E19" s="27"/>
      <c r="F19" s="28"/>
      <c r="G19" s="28"/>
      <c r="H19" s="28"/>
      <c r="I19" s="28"/>
      <c r="J19" s="27"/>
      <c r="K19" s="27"/>
      <c r="L19" s="29"/>
      <c r="M19" s="29"/>
      <c r="N19" s="29"/>
      <c r="O19" s="29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1:36" s="14" customFormat="1" ht="19.5" customHeight="1" x14ac:dyDescent="0.2">
      <c r="A20" s="27"/>
      <c r="B20" s="27"/>
      <c r="C20" s="27"/>
      <c r="D20" s="27"/>
      <c r="E20" s="27"/>
      <c r="F20" s="28"/>
      <c r="G20" s="28"/>
      <c r="H20" s="28"/>
      <c r="I20" s="28"/>
      <c r="J20" s="27"/>
      <c r="K20" s="27"/>
      <c r="L20" s="29"/>
      <c r="M20" s="29"/>
      <c r="N20" s="29"/>
      <c r="O20" s="29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1:36" s="14" customFormat="1" ht="19.5" customHeight="1" x14ac:dyDescent="0.2">
      <c r="A21" s="27"/>
      <c r="B21" s="27"/>
      <c r="C21" s="27"/>
      <c r="D21" s="27"/>
      <c r="E21" s="27"/>
      <c r="F21" s="28"/>
      <c r="G21" s="28"/>
      <c r="H21" s="28"/>
      <c r="I21"/>
      <c r="J21" s="338"/>
      <c r="K21" s="27"/>
      <c r="L21" s="29"/>
      <c r="M21" s="29"/>
      <c r="N21" s="29"/>
      <c r="O21" s="29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1:36" s="11" customFormat="1" x14ac:dyDescent="0.2">
      <c r="A22" s="27"/>
      <c r="B22" s="27"/>
      <c r="C22" s="27"/>
      <c r="D22" s="27"/>
      <c r="E22" s="27"/>
      <c r="F22" s="28"/>
      <c r="G22" s="28"/>
      <c r="H22" s="28"/>
      <c r="I22" s="28"/>
      <c r="J22" s="27"/>
      <c r="K22" s="27"/>
      <c r="L22" s="29"/>
      <c r="M22" s="29"/>
      <c r="N22" s="29"/>
      <c r="O22" s="29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1:36" s="11" customFormat="1" x14ac:dyDescent="0.2">
      <c r="A23" s="30"/>
      <c r="B23" s="27"/>
      <c r="C23" s="30"/>
      <c r="D23" s="27"/>
      <c r="E23" s="27"/>
      <c r="F23" s="28"/>
      <c r="G23" s="28"/>
      <c r="H23" s="28"/>
      <c r="I23" s="28"/>
      <c r="J23" s="27"/>
      <c r="K23" s="27"/>
      <c r="L23" s="29"/>
      <c r="M23" s="29"/>
      <c r="N23" s="29"/>
      <c r="O23" s="29"/>
      <c r="P23" s="30"/>
      <c r="Q23" s="30"/>
      <c r="R23" s="30"/>
      <c r="S23" s="27"/>
      <c r="T23" s="27"/>
      <c r="U23" s="27"/>
      <c r="V23" s="27"/>
      <c r="W23" s="31"/>
      <c r="X23" s="27"/>
      <c r="Y23" s="27"/>
      <c r="Z23" s="27"/>
      <c r="AA23" s="27"/>
      <c r="AB23" s="30"/>
      <c r="AC23" s="27"/>
      <c r="AD23" s="27"/>
      <c r="AE23" s="27"/>
      <c r="AF23" s="27"/>
      <c r="AG23" s="27"/>
      <c r="AH23" s="27"/>
      <c r="AI23" s="27"/>
      <c r="AJ23" s="27"/>
    </row>
    <row r="24" spans="1:36" s="11" customFormat="1" x14ac:dyDescent="0.2">
      <c r="A24" s="30"/>
      <c r="B24" s="27"/>
      <c r="C24" s="30"/>
      <c r="D24" s="27"/>
      <c r="E24" s="27"/>
      <c r="F24" s="28"/>
      <c r="G24" s="28"/>
      <c r="H24" s="28"/>
      <c r="I24" s="28"/>
      <c r="J24" s="27"/>
      <c r="K24" s="27"/>
      <c r="L24" s="29"/>
      <c r="M24" s="29"/>
      <c r="N24" s="29"/>
      <c r="O24" s="29"/>
      <c r="P24" s="30"/>
      <c r="Q24" s="30"/>
      <c r="R24" s="30"/>
      <c r="S24" s="27"/>
      <c r="T24" s="27"/>
      <c r="U24" s="27"/>
      <c r="V24" s="27"/>
      <c r="W24" s="32"/>
      <c r="X24" s="27"/>
      <c r="Y24" s="27"/>
      <c r="Z24" s="27"/>
      <c r="AA24" s="27"/>
      <c r="AB24" s="30"/>
      <c r="AC24" s="27"/>
      <c r="AD24" s="27"/>
      <c r="AE24" s="27"/>
      <c r="AF24" s="27"/>
      <c r="AG24" s="27"/>
      <c r="AH24" s="27"/>
      <c r="AI24" s="27"/>
      <c r="AJ24" s="27"/>
    </row>
    <row r="25" spans="1:36" s="11" customFormat="1" ht="15.6" x14ac:dyDescent="0.2">
      <c r="A25" s="539"/>
      <c r="B25" s="540"/>
      <c r="C25" s="1328"/>
      <c r="D25" s="1328"/>
      <c r="E25" s="1328"/>
      <c r="F25" s="1328"/>
      <c r="G25" s="527"/>
      <c r="H25" s="527"/>
      <c r="I25" s="527"/>
      <c r="J25" s="537"/>
      <c r="K25" s="27"/>
      <c r="L25" s="538"/>
      <c r="M25" s="538"/>
      <c r="N25" s="538"/>
      <c r="O25" s="538"/>
      <c r="P25" s="538"/>
      <c r="Q25" s="536"/>
      <c r="R25" s="536"/>
      <c r="S25" s="536"/>
      <c r="T25" s="536"/>
      <c r="U25" s="536"/>
      <c r="V25" s="538"/>
      <c r="X25" s="538"/>
      <c r="Y25" s="29"/>
      <c r="Z25" s="27"/>
      <c r="AA25" s="27"/>
      <c r="AB25" s="1165"/>
      <c r="AC25" s="1165"/>
      <c r="AD25" s="1165"/>
      <c r="AE25" s="1165"/>
      <c r="AI25" s="27"/>
      <c r="AJ25" s="27"/>
    </row>
    <row r="26" spans="1:36" s="11" customFormat="1" ht="13.5" customHeight="1" x14ac:dyDescent="0.2">
      <c r="A26" s="27"/>
      <c r="B26" s="528"/>
      <c r="C26" s="1329" t="s">
        <v>23</v>
      </c>
      <c r="D26" s="1329"/>
      <c r="E26" s="1329"/>
      <c r="F26" s="1329"/>
      <c r="G26" s="52"/>
      <c r="H26" s="52"/>
      <c r="I26" s="52"/>
      <c r="J26" s="27"/>
      <c r="K26" s="27"/>
      <c r="L26" s="1160" t="s">
        <v>24</v>
      </c>
      <c r="M26" s="1160"/>
      <c r="N26" s="1160"/>
      <c r="O26" s="1160"/>
      <c r="P26" s="1160"/>
      <c r="Q26" s="1160"/>
      <c r="R26" s="1160"/>
      <c r="S26" s="1160"/>
      <c r="T26" s="1160"/>
      <c r="U26" s="1160"/>
      <c r="V26" s="1160"/>
      <c r="W26" s="1160"/>
      <c r="X26" s="1160"/>
      <c r="Y26" s="52"/>
      <c r="Z26" s="27"/>
      <c r="AA26" s="27"/>
      <c r="AB26" s="1167" t="s">
        <v>25</v>
      </c>
      <c r="AC26" s="1167"/>
      <c r="AD26" s="1167"/>
      <c r="AE26" s="1167"/>
      <c r="AI26" s="27"/>
      <c r="AJ26" s="27"/>
    </row>
    <row r="27" spans="1:36" s="11" customFormat="1" ht="15.6" x14ac:dyDescent="0.2">
      <c r="A27" s="30"/>
      <c r="B27" s="528"/>
      <c r="C27" s="1326" t="str">
        <f>+'ADMON COM. '!C50:F50</f>
        <v>Jose Martin Conrrado</v>
      </c>
      <c r="D27" s="1326"/>
      <c r="E27" s="1326"/>
      <c r="F27" s="1326"/>
      <c r="G27" s="48"/>
      <c r="H27" s="48"/>
      <c r="I27" s="48"/>
      <c r="J27" s="27"/>
      <c r="K27" s="30"/>
      <c r="L27" s="1159">
        <f>+'FINCA SIN INSS'!K32:W32</f>
        <v>0</v>
      </c>
      <c r="M27" s="1159"/>
      <c r="N27" s="1159"/>
      <c r="O27" s="1159"/>
      <c r="P27" s="1159"/>
      <c r="Q27" s="1159"/>
      <c r="R27" s="1159"/>
      <c r="S27" s="1159"/>
      <c r="T27" s="1159"/>
      <c r="U27" s="1159"/>
      <c r="V27" s="1159"/>
      <c r="W27" s="1159"/>
      <c r="X27" s="1159"/>
      <c r="Y27" s="48"/>
      <c r="Z27" s="33"/>
      <c r="AA27" s="33"/>
      <c r="AB27" s="1160" t="s">
        <v>27</v>
      </c>
      <c r="AC27" s="1160"/>
      <c r="AD27" s="1160"/>
      <c r="AE27" s="1160"/>
      <c r="AI27" s="27"/>
      <c r="AJ27" s="27"/>
    </row>
    <row r="28" spans="1:36" s="11" customFormat="1" ht="15.6" x14ac:dyDescent="0.2">
      <c r="A28" s="8"/>
      <c r="B28" s="529"/>
      <c r="C28" s="1327"/>
      <c r="D28" s="1327"/>
      <c r="E28" s="530"/>
      <c r="F28" s="530"/>
      <c r="G28" s="25"/>
      <c r="H28" s="25"/>
      <c r="I28" s="25"/>
      <c r="J28" s="8"/>
      <c r="K28" s="8"/>
      <c r="L28" s="9"/>
      <c r="M28" s="9"/>
      <c r="N28" s="9"/>
      <c r="O28" s="9"/>
      <c r="P28" s="1161"/>
      <c r="Q28" s="1161"/>
      <c r="R28" s="1161"/>
      <c r="S28" s="1161"/>
      <c r="T28" s="1161"/>
      <c r="U28" s="1161"/>
      <c r="V28" s="1161"/>
      <c r="W28" s="25"/>
      <c r="X28" s="25"/>
      <c r="Y28" s="25"/>
      <c r="Z28" s="25"/>
      <c r="AA28" s="25"/>
      <c r="AB28" s="8"/>
      <c r="AC28" s="8"/>
      <c r="AD28" s="8"/>
      <c r="AE28" s="8"/>
      <c r="AF28" s="10"/>
      <c r="AG28" s="10"/>
      <c r="AH28" s="10"/>
      <c r="AI28" s="10"/>
      <c r="AJ28" s="10"/>
    </row>
    <row r="29" spans="1:36" x14ac:dyDescent="0.2">
      <c r="A29" s="3"/>
      <c r="B29" s="3"/>
      <c r="C29" s="3"/>
      <c r="D29" s="3"/>
      <c r="E29" s="3"/>
      <c r="F29" s="4"/>
      <c r="G29" s="4"/>
      <c r="H29" s="4"/>
      <c r="I29" s="4"/>
      <c r="J29" s="3"/>
      <c r="K29" s="3"/>
      <c r="L29" s="2"/>
      <c r="M29" s="2"/>
      <c r="N29" s="2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x14ac:dyDescent="0.2">
      <c r="A30" s="3"/>
      <c r="B30" s="3"/>
      <c r="C30" s="3"/>
      <c r="D30" s="3"/>
      <c r="E30" s="3"/>
      <c r="F30" s="4"/>
      <c r="G30" s="4"/>
      <c r="H30" s="4"/>
      <c r="I30" s="4"/>
      <c r="J30" s="3"/>
      <c r="K30" s="3"/>
      <c r="L30" s="2"/>
      <c r="M30" s="2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x14ac:dyDescent="0.2">
      <c r="A31" s="3"/>
      <c r="B31" s="3"/>
      <c r="C31" s="3"/>
      <c r="D31" s="3"/>
      <c r="E31" s="3"/>
      <c r="F31" s="4"/>
      <c r="G31" s="4"/>
      <c r="H31" s="4"/>
      <c r="I31" s="4"/>
      <c r="J31" s="3"/>
      <c r="K31" s="3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x14ac:dyDescent="0.2">
      <c r="A32" s="3"/>
      <c r="B32" s="3"/>
      <c r="C32" s="3"/>
      <c r="D32" s="3"/>
      <c r="E32" s="3"/>
      <c r="F32" s="4"/>
      <c r="G32" s="4"/>
      <c r="H32" s="4"/>
      <c r="I32" s="4"/>
      <c r="J32" s="3"/>
      <c r="K32" s="3"/>
      <c r="L32" s="2"/>
      <c r="M32" s="2"/>
      <c r="N32" s="2"/>
      <c r="O32" s="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x14ac:dyDescent="0.2">
      <c r="A33" s="3"/>
      <c r="B33" s="3"/>
      <c r="C33" s="3"/>
      <c r="D33" s="3"/>
      <c r="E33" s="3"/>
      <c r="F33" s="4"/>
      <c r="G33" s="4"/>
      <c r="H33" s="4"/>
      <c r="I33" s="4"/>
      <c r="J33" s="3"/>
      <c r="K33" s="3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spans="1:36" x14ac:dyDescent="0.2">
      <c r="A34" s="3"/>
      <c r="B34" s="3"/>
      <c r="C34" s="3"/>
      <c r="D34" s="3"/>
      <c r="E34" s="3"/>
      <c r="F34" s="4"/>
      <c r="G34" s="4"/>
      <c r="H34" s="4"/>
      <c r="I34" s="4"/>
      <c r="J34" s="3"/>
      <c r="K34" s="3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45" spans="1:36" x14ac:dyDescent="0.2">
      <c r="A45" s="3"/>
      <c r="B45" s="3"/>
      <c r="C45" s="3"/>
      <c r="D45" s="3"/>
      <c r="E45" s="3"/>
      <c r="F45" s="4"/>
      <c r="G45" s="4"/>
      <c r="H45" s="4"/>
      <c r="I45" s="4"/>
      <c r="J45" s="3"/>
      <c r="K45" s="3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x14ac:dyDescent="0.2">
      <c r="A46" s="3"/>
      <c r="B46" s="3"/>
      <c r="C46" s="3"/>
      <c r="D46" s="3"/>
      <c r="E46" s="3"/>
      <c r="F46" s="4"/>
      <c r="G46" s="4"/>
      <c r="H46" s="4"/>
      <c r="I46" s="4"/>
      <c r="J46" s="3"/>
      <c r="K46" s="3"/>
      <c r="L46" s="2"/>
      <c r="M46" s="2"/>
      <c r="N46" s="2"/>
      <c r="O46" s="2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">
      <c r="A47" s="3"/>
      <c r="B47" s="3"/>
      <c r="C47" s="3"/>
      <c r="D47" s="3"/>
      <c r="E47" s="3"/>
      <c r="F47" s="4"/>
      <c r="G47" s="4"/>
      <c r="H47" s="4"/>
      <c r="I47" s="4"/>
      <c r="J47" s="3"/>
      <c r="K47" s="3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spans="1:36" x14ac:dyDescent="0.2">
      <c r="A48" s="3"/>
      <c r="B48" s="3"/>
      <c r="C48" s="3"/>
      <c r="D48" s="3"/>
      <c r="E48" s="3"/>
      <c r="F48" s="4"/>
      <c r="G48" s="4"/>
      <c r="H48" s="4"/>
      <c r="I48" s="4"/>
      <c r="J48" s="3"/>
      <c r="K48" s="3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</sheetData>
  <mergeCells count="52">
    <mergeCell ref="A12:D12"/>
    <mergeCell ref="C25:F25"/>
    <mergeCell ref="AD8:AD10"/>
    <mergeCell ref="Y8:Y10"/>
    <mergeCell ref="K8:P8"/>
    <mergeCell ref="S8:X8"/>
    <mergeCell ref="AF8:AF10"/>
    <mergeCell ref="AI8:AI10"/>
    <mergeCell ref="C28:D28"/>
    <mergeCell ref="P28:V28"/>
    <mergeCell ref="AG8:AG10"/>
    <mergeCell ref="AH8:AH10"/>
    <mergeCell ref="AB25:AE25"/>
    <mergeCell ref="C26:F26"/>
    <mergeCell ref="L26:X26"/>
    <mergeCell ref="AB26:AE26"/>
    <mergeCell ref="C27:F27"/>
    <mergeCell ref="L27:X27"/>
    <mergeCell ref="AB27:AE27"/>
    <mergeCell ref="V9:V10"/>
    <mergeCell ref="I8:I10"/>
    <mergeCell ref="J8:J10"/>
    <mergeCell ref="AJ8:AJ10"/>
    <mergeCell ref="K9:K10"/>
    <mergeCell ref="L9:L10"/>
    <mergeCell ref="M9:M10"/>
    <mergeCell ref="N9:N10"/>
    <mergeCell ref="O9:O10"/>
    <mergeCell ref="P9:P10"/>
    <mergeCell ref="Q9:Q10"/>
    <mergeCell ref="Z8:Z10"/>
    <mergeCell ref="AA8:AA10"/>
    <mergeCell ref="AB8:AB10"/>
    <mergeCell ref="AC8:AC10"/>
    <mergeCell ref="R9:R10"/>
    <mergeCell ref="S9:S10"/>
    <mergeCell ref="T9:T10"/>
    <mergeCell ref="U9:U10"/>
    <mergeCell ref="A2:AE2"/>
    <mergeCell ref="A3:AE3"/>
    <mergeCell ref="A4:AE4"/>
    <mergeCell ref="A8:A10"/>
    <mergeCell ref="B8:B10"/>
    <mergeCell ref="C8:C10"/>
    <mergeCell ref="D8:D10"/>
    <mergeCell ref="E8:E10"/>
    <mergeCell ref="F8:F10"/>
    <mergeCell ref="G8:G10"/>
    <mergeCell ref="AE8:AE10"/>
    <mergeCell ref="H8:H10"/>
    <mergeCell ref="W9:W10"/>
    <mergeCell ref="X9:X10"/>
  </mergeCells>
  <printOptions horizontalCentered="1" verticalCentered="1"/>
  <pageMargins left="0" right="0" top="0.78740157480314965" bottom="0" header="0" footer="0"/>
  <pageSetup paperSize="5" scale="61" fitToHeight="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10">
    <tabColor theme="6"/>
    <pageSetUpPr fitToPage="1"/>
  </sheetPr>
  <dimension ref="A6:BL28"/>
  <sheetViews>
    <sheetView zoomScale="115" zoomScaleNormal="115" workbookViewId="0">
      <selection activeCell="BK17" sqref="BK17"/>
    </sheetView>
  </sheetViews>
  <sheetFormatPr baseColWidth="10" defaultRowHeight="10.199999999999999" x14ac:dyDescent="0.2"/>
  <cols>
    <col min="1" max="1" width="4.42578125" bestFit="1" customWidth="1"/>
    <col min="2" max="2" width="3.140625" hidden="1" customWidth="1"/>
    <col min="3" max="3" width="13.42578125" customWidth="1"/>
    <col min="4" max="4" width="6" customWidth="1"/>
    <col min="5" max="5" width="4.42578125" customWidth="1"/>
    <col min="6" max="6" width="6.42578125" customWidth="1"/>
    <col min="7" max="7" width="4.85546875" customWidth="1"/>
    <col min="8" max="8" width="6.42578125" customWidth="1"/>
    <col min="9" max="9" width="6.7109375" customWidth="1"/>
    <col min="10" max="10" width="7" bestFit="1" customWidth="1"/>
    <col min="11" max="12" width="6" customWidth="1"/>
    <col min="13" max="13" width="3.42578125" hidden="1" customWidth="1"/>
    <col min="14" max="14" width="3.85546875" customWidth="1"/>
    <col min="15" max="15" width="6.28515625" customWidth="1"/>
    <col min="16" max="16" width="4.85546875" customWidth="1"/>
    <col min="17" max="17" width="6" customWidth="1"/>
    <col min="18" max="18" width="7" customWidth="1"/>
    <col min="19" max="19" width="7" bestFit="1" customWidth="1"/>
    <col min="20" max="20" width="6.42578125" customWidth="1"/>
    <col min="21" max="22" width="7" bestFit="1" customWidth="1"/>
    <col min="23" max="23" width="5" hidden="1" customWidth="1"/>
    <col min="24" max="24" width="4.42578125" hidden="1" customWidth="1"/>
    <col min="25" max="25" width="3.28515625" hidden="1" customWidth="1"/>
    <col min="26" max="26" width="3.140625" customWidth="1"/>
    <col min="27" max="28" width="3.140625" hidden="1" customWidth="1"/>
    <col min="29" max="29" width="3" hidden="1" customWidth="1"/>
    <col min="30" max="30" width="4.7109375" customWidth="1"/>
    <col min="31" max="31" width="4.140625" customWidth="1"/>
    <col min="32" max="32" width="3.7109375" customWidth="1"/>
    <col min="33" max="33" width="3.85546875" customWidth="1"/>
    <col min="34" max="34" width="6.85546875" customWidth="1"/>
    <col min="35" max="35" width="5.28515625" hidden="1" customWidth="1"/>
    <col min="36" max="36" width="5.85546875" hidden="1" customWidth="1"/>
    <col min="37" max="37" width="5.7109375" customWidth="1"/>
    <col min="38" max="39" width="5.85546875" hidden="1" customWidth="1"/>
    <col min="40" max="43" width="3" hidden="1" customWidth="1"/>
    <col min="44" max="51" width="5.85546875" hidden="1" customWidth="1"/>
    <col min="52" max="52" width="4.85546875" customWidth="1"/>
    <col min="53" max="53" width="5.42578125" customWidth="1"/>
    <col min="54" max="56" width="5.42578125" hidden="1" customWidth="1"/>
    <col min="57" max="57" width="5.85546875" customWidth="1"/>
    <col min="58" max="61" width="6.28515625" hidden="1" customWidth="1"/>
    <col min="62" max="62" width="4.42578125" customWidth="1"/>
    <col min="63" max="63" width="14.7109375" customWidth="1"/>
    <col min="64" max="64" width="36.28515625" customWidth="1"/>
  </cols>
  <sheetData>
    <row r="6" spans="1:64" ht="17.399999999999999" x14ac:dyDescent="0.2">
      <c r="A6" s="1183" t="s">
        <v>108</v>
      </c>
      <c r="B6" s="1183"/>
      <c r="C6" s="1183"/>
      <c r="D6" s="1183"/>
      <c r="E6" s="1183"/>
      <c r="F6" s="1183"/>
      <c r="G6" s="1183"/>
      <c r="H6" s="1183"/>
      <c r="I6" s="1183"/>
      <c r="J6" s="1183"/>
      <c r="K6" s="1183"/>
      <c r="L6" s="1183"/>
      <c r="M6" s="1183"/>
      <c r="N6" s="1183"/>
      <c r="O6" s="1183"/>
      <c r="P6" s="1183"/>
      <c r="Q6" s="1183"/>
      <c r="R6" s="1183"/>
      <c r="S6" s="1183"/>
      <c r="T6" s="1183"/>
      <c r="U6" s="1183"/>
      <c r="V6" s="1183"/>
      <c r="W6" s="1183"/>
      <c r="X6" s="1183"/>
      <c r="Y6" s="1183"/>
      <c r="Z6" s="1183"/>
      <c r="AA6" s="1183"/>
      <c r="AB6" s="1183"/>
      <c r="AC6" s="1183"/>
      <c r="AD6" s="1183"/>
      <c r="AE6" s="1183"/>
      <c r="AF6" s="1183"/>
      <c r="AG6" s="1183"/>
      <c r="AH6" s="1183"/>
      <c r="AI6" s="1183"/>
      <c r="AJ6" s="1183"/>
      <c r="AK6" s="1183"/>
      <c r="AL6" s="1183"/>
      <c r="AM6" s="1183"/>
      <c r="AN6" s="1183"/>
      <c r="AO6" s="1183"/>
      <c r="AP6" s="1183"/>
      <c r="AQ6" s="1183"/>
      <c r="AR6" s="1183"/>
      <c r="AS6" s="1183"/>
      <c r="AT6" s="1183"/>
      <c r="AU6" s="1183"/>
      <c r="AV6" s="1183"/>
      <c r="AW6" s="1183"/>
      <c r="AX6" s="1183"/>
      <c r="AY6" s="1183"/>
      <c r="AZ6" s="1183"/>
      <c r="BA6" s="1183"/>
      <c r="BB6" s="1183"/>
      <c r="BC6" s="1183"/>
      <c r="BD6" s="1183"/>
      <c r="BE6" s="1183"/>
      <c r="BF6" s="1183"/>
      <c r="BG6" s="1183"/>
      <c r="BH6" s="1183"/>
      <c r="BI6" s="1183"/>
      <c r="BJ6" s="1183"/>
      <c r="BK6" s="1183"/>
      <c r="BL6" s="1183"/>
    </row>
    <row r="7" spans="1:64" ht="17.399999999999999" x14ac:dyDescent="0.2">
      <c r="A7" s="1183" t="s">
        <v>221</v>
      </c>
      <c r="B7" s="1183"/>
      <c r="C7" s="1183"/>
      <c r="D7" s="1183"/>
      <c r="E7" s="1183"/>
      <c r="F7" s="1183"/>
      <c r="G7" s="1183"/>
      <c r="H7" s="1183"/>
      <c r="I7" s="1183"/>
      <c r="J7" s="1183"/>
      <c r="K7" s="1183"/>
      <c r="L7" s="1183"/>
      <c r="M7" s="1183"/>
      <c r="N7" s="1183"/>
      <c r="O7" s="1183"/>
      <c r="P7" s="1183"/>
      <c r="Q7" s="1183"/>
      <c r="R7" s="1183"/>
      <c r="S7" s="1183"/>
      <c r="T7" s="1183"/>
      <c r="U7" s="1183"/>
      <c r="V7" s="1183"/>
      <c r="W7" s="1183"/>
      <c r="X7" s="1183"/>
      <c r="Y7" s="1183"/>
      <c r="Z7" s="1183"/>
      <c r="AA7" s="1183"/>
      <c r="AB7" s="1183"/>
      <c r="AC7" s="1183"/>
      <c r="AD7" s="1183"/>
      <c r="AE7" s="1183"/>
      <c r="AF7" s="1183"/>
      <c r="AG7" s="1183"/>
      <c r="AH7" s="1183"/>
      <c r="AI7" s="1183"/>
      <c r="AJ7" s="1183"/>
      <c r="AK7" s="1183"/>
      <c r="AL7" s="1183"/>
      <c r="AM7" s="1183"/>
      <c r="AN7" s="1183"/>
      <c r="AO7" s="1183"/>
      <c r="AP7" s="1183"/>
      <c r="AQ7" s="1183"/>
      <c r="AR7" s="1183"/>
      <c r="AS7" s="1183"/>
      <c r="AT7" s="1183"/>
      <c r="AU7" s="1183"/>
      <c r="AV7" s="1183"/>
      <c r="AW7" s="1183"/>
      <c r="AX7" s="1183"/>
      <c r="AY7" s="1183"/>
      <c r="AZ7" s="1183"/>
      <c r="BA7" s="1183"/>
      <c r="BB7" s="1183"/>
      <c r="BC7" s="1183"/>
      <c r="BD7" s="1183"/>
      <c r="BE7" s="1183"/>
      <c r="BF7" s="1183"/>
      <c r="BG7" s="1183"/>
      <c r="BH7" s="1183"/>
      <c r="BI7" s="1183"/>
      <c r="BJ7" s="1183"/>
      <c r="BK7" s="1183"/>
      <c r="BL7" s="1183"/>
    </row>
    <row r="8" spans="1:64" ht="17.399999999999999" x14ac:dyDescent="0.3">
      <c r="A8" s="1249" t="str">
        <f>+TECNICOS!A4</f>
        <v>QUINCENA DEL 16  AL 30  DE ABRIL - 2026</v>
      </c>
      <c r="B8" s="1249"/>
      <c r="C8" s="1249"/>
      <c r="D8" s="1249"/>
      <c r="E8" s="1249"/>
      <c r="F8" s="1249"/>
      <c r="G8" s="1249"/>
      <c r="H8" s="1249"/>
      <c r="I8" s="1249"/>
      <c r="J8" s="1249"/>
      <c r="K8" s="1249"/>
      <c r="L8" s="1249"/>
      <c r="M8" s="1249"/>
      <c r="N8" s="1249"/>
      <c r="O8" s="1249"/>
      <c r="P8" s="1249"/>
      <c r="Q8" s="1249"/>
      <c r="R8" s="1249"/>
      <c r="S8" s="1249"/>
      <c r="T8" s="1249"/>
      <c r="U8" s="1249"/>
      <c r="V8" s="1249"/>
      <c r="W8" s="1249"/>
      <c r="X8" s="1249"/>
      <c r="Y8" s="1249"/>
      <c r="Z8" s="1249"/>
      <c r="AA8" s="1249"/>
      <c r="AB8" s="1249"/>
      <c r="AC8" s="1249"/>
      <c r="AD8" s="1249"/>
      <c r="AE8" s="1249"/>
      <c r="AF8" s="1249"/>
      <c r="AG8" s="1249"/>
      <c r="AH8" s="1249"/>
      <c r="AI8" s="1249"/>
      <c r="AJ8" s="1249"/>
      <c r="AK8" s="1249"/>
      <c r="AL8" s="1249"/>
      <c r="AM8" s="1249"/>
      <c r="AN8" s="1249"/>
      <c r="AO8" s="1249"/>
      <c r="AP8" s="1249"/>
      <c r="AQ8" s="1249"/>
      <c r="AR8" s="1249"/>
      <c r="AS8" s="1249"/>
      <c r="AT8" s="1249"/>
      <c r="AU8" s="1249"/>
      <c r="AV8" s="1249"/>
      <c r="AW8" s="1249"/>
      <c r="AX8" s="1249"/>
      <c r="AY8" s="1249"/>
      <c r="AZ8" s="1249"/>
      <c r="BA8" s="1249"/>
      <c r="BB8" s="1249"/>
      <c r="BC8" s="1249"/>
      <c r="BD8" s="1249"/>
      <c r="BE8" s="1249"/>
      <c r="BF8" s="1249"/>
      <c r="BG8" s="1249"/>
      <c r="BH8" s="1249"/>
      <c r="BI8" s="1249"/>
      <c r="BJ8" s="1249"/>
      <c r="BK8" s="1249"/>
      <c r="BL8" s="1249"/>
    </row>
    <row r="13" spans="1:64" ht="10.8" thickBot="1" x14ac:dyDescent="0.25"/>
    <row r="14" spans="1:64" ht="11.4" thickTop="1" thickBot="1" x14ac:dyDescent="0.25">
      <c r="A14" s="1339" t="s">
        <v>71</v>
      </c>
      <c r="B14" s="1340" t="s">
        <v>128</v>
      </c>
      <c r="C14" s="1341" t="s">
        <v>6</v>
      </c>
      <c r="D14" s="1342" t="s">
        <v>82</v>
      </c>
      <c r="E14" s="1342" t="s">
        <v>45</v>
      </c>
      <c r="F14" s="1338">
        <v>1</v>
      </c>
      <c r="G14" s="1338">
        <v>2</v>
      </c>
      <c r="H14" s="1338">
        <v>3</v>
      </c>
      <c r="I14" s="1338">
        <v>4</v>
      </c>
      <c r="J14" s="1338">
        <v>5</v>
      </c>
      <c r="K14" s="1338">
        <v>6</v>
      </c>
      <c r="L14" s="1338">
        <v>7</v>
      </c>
      <c r="M14" s="1344" t="s">
        <v>129</v>
      </c>
      <c r="N14" s="1345" t="s">
        <v>83</v>
      </c>
      <c r="O14" s="1338">
        <v>8</v>
      </c>
      <c r="P14" s="1338">
        <v>9</v>
      </c>
      <c r="Q14" s="1338">
        <v>10</v>
      </c>
      <c r="R14" s="1338">
        <v>11</v>
      </c>
      <c r="S14" s="1338">
        <v>12</v>
      </c>
      <c r="T14" s="1338">
        <v>13</v>
      </c>
      <c r="U14" s="1338">
        <v>14</v>
      </c>
      <c r="V14" s="1338">
        <v>15</v>
      </c>
      <c r="W14" s="1346">
        <v>31</v>
      </c>
      <c r="X14" s="223"/>
      <c r="Y14" s="1347" t="s">
        <v>130</v>
      </c>
      <c r="Z14" s="1348" t="s">
        <v>83</v>
      </c>
      <c r="AA14" s="1343" t="s">
        <v>131</v>
      </c>
      <c r="AB14" s="1343" t="s">
        <v>132</v>
      </c>
      <c r="AC14" s="224"/>
      <c r="AD14" s="1349" t="s">
        <v>77</v>
      </c>
      <c r="AE14" s="1349" t="s">
        <v>143</v>
      </c>
      <c r="AF14" s="1350" t="s">
        <v>78</v>
      </c>
      <c r="AG14" s="1342" t="s">
        <v>79</v>
      </c>
      <c r="AH14" s="1349" t="s">
        <v>80</v>
      </c>
      <c r="AI14" s="1351"/>
      <c r="AJ14" s="1351"/>
      <c r="AK14" s="1342" t="s">
        <v>83</v>
      </c>
      <c r="AL14" s="1352" t="s">
        <v>144</v>
      </c>
      <c r="AM14" s="1352" t="s">
        <v>145</v>
      </c>
      <c r="AN14" s="1349" t="s">
        <v>146</v>
      </c>
      <c r="AO14" s="1342" t="s">
        <v>93</v>
      </c>
      <c r="AP14" s="1342" t="s">
        <v>107</v>
      </c>
      <c r="AQ14" s="1349" t="s">
        <v>66</v>
      </c>
      <c r="AR14" s="1354" t="s">
        <v>134</v>
      </c>
      <c r="AS14" s="1354" t="s">
        <v>128</v>
      </c>
      <c r="AT14" s="1354" t="s">
        <v>135</v>
      </c>
      <c r="AU14" s="1354" t="s">
        <v>136</v>
      </c>
      <c r="AV14" s="1354" t="s">
        <v>137</v>
      </c>
      <c r="AW14" s="1354" t="s">
        <v>138</v>
      </c>
      <c r="AX14" s="1354" t="s">
        <v>139</v>
      </c>
      <c r="AY14" s="1354" t="s">
        <v>139</v>
      </c>
      <c r="AZ14" s="1246" t="s">
        <v>29</v>
      </c>
      <c r="BA14" s="1355" t="s">
        <v>156</v>
      </c>
      <c r="BB14" s="1353" t="s">
        <v>89</v>
      </c>
      <c r="BC14" s="1360" t="s">
        <v>52</v>
      </c>
      <c r="BD14" s="1360" t="s">
        <v>53</v>
      </c>
      <c r="BE14" s="1361" t="s">
        <v>17</v>
      </c>
      <c r="BF14" s="1362"/>
      <c r="BG14" s="1362"/>
      <c r="BH14" s="1362"/>
      <c r="BI14" s="1363" t="s">
        <v>65</v>
      </c>
      <c r="BJ14" s="1364" t="s">
        <v>180</v>
      </c>
      <c r="BK14" s="1358" t="s">
        <v>73</v>
      </c>
      <c r="BL14" s="1359" t="s">
        <v>38</v>
      </c>
    </row>
    <row r="15" spans="1:64" ht="23.25" customHeight="1" thickTop="1" thickBot="1" x14ac:dyDescent="0.25">
      <c r="A15" s="1339"/>
      <c r="B15" s="1340"/>
      <c r="C15" s="1341"/>
      <c r="D15" s="1342"/>
      <c r="E15" s="1342"/>
      <c r="F15" s="1338"/>
      <c r="G15" s="1338"/>
      <c r="H15" s="1338"/>
      <c r="I15" s="1338"/>
      <c r="J15" s="1338"/>
      <c r="K15" s="1338"/>
      <c r="L15" s="1338"/>
      <c r="M15" s="1344"/>
      <c r="N15" s="1345"/>
      <c r="O15" s="1338"/>
      <c r="P15" s="1338"/>
      <c r="Q15" s="1338"/>
      <c r="R15" s="1338"/>
      <c r="S15" s="1338"/>
      <c r="T15" s="1338"/>
      <c r="U15" s="1338"/>
      <c r="V15" s="1338"/>
      <c r="W15" s="1346"/>
      <c r="X15" s="223"/>
      <c r="Y15" s="1347"/>
      <c r="Z15" s="1348"/>
      <c r="AA15" s="1343"/>
      <c r="AB15" s="1343"/>
      <c r="AC15" s="224"/>
      <c r="AD15" s="1349"/>
      <c r="AE15" s="1349"/>
      <c r="AF15" s="1350"/>
      <c r="AG15" s="1342"/>
      <c r="AH15" s="1349"/>
      <c r="AI15" s="1351"/>
      <c r="AJ15" s="1351"/>
      <c r="AK15" s="1342"/>
      <c r="AL15" s="1352"/>
      <c r="AM15" s="1352"/>
      <c r="AN15" s="1349"/>
      <c r="AO15" s="1342"/>
      <c r="AP15" s="1342"/>
      <c r="AQ15" s="1349"/>
      <c r="AR15" s="1354"/>
      <c r="AS15" s="1354"/>
      <c r="AT15" s="1354"/>
      <c r="AU15" s="1354"/>
      <c r="AV15" s="1354"/>
      <c r="AW15" s="1354"/>
      <c r="AX15" s="1354"/>
      <c r="AY15" s="1354"/>
      <c r="AZ15" s="1247"/>
      <c r="BA15" s="1356"/>
      <c r="BB15" s="1353"/>
      <c r="BC15" s="1360"/>
      <c r="BD15" s="1360"/>
      <c r="BE15" s="1361"/>
      <c r="BF15" s="1362"/>
      <c r="BG15" s="1362"/>
      <c r="BH15" s="1362"/>
      <c r="BI15" s="1363"/>
      <c r="BJ15" s="1364"/>
      <c r="BK15" s="1358"/>
      <c r="BL15" s="1359"/>
    </row>
    <row r="16" spans="1:64" ht="30.75" customHeight="1" thickTop="1" thickBot="1" x14ac:dyDescent="0.25">
      <c r="A16" s="1339"/>
      <c r="B16" s="1340"/>
      <c r="C16" s="1341"/>
      <c r="D16" s="1342"/>
      <c r="E16" s="1342"/>
      <c r="F16" s="373" t="s">
        <v>34</v>
      </c>
      <c r="G16" s="373" t="s">
        <v>37</v>
      </c>
      <c r="H16" s="373" t="s">
        <v>33</v>
      </c>
      <c r="I16" s="373" t="s">
        <v>32</v>
      </c>
      <c r="J16" s="373" t="s">
        <v>32</v>
      </c>
      <c r="K16" s="373" t="s">
        <v>36</v>
      </c>
      <c r="L16" s="373" t="s">
        <v>35</v>
      </c>
      <c r="M16" s="1344"/>
      <c r="N16" s="1345"/>
      <c r="O16" s="169" t="s">
        <v>34</v>
      </c>
      <c r="P16" s="169" t="s">
        <v>37</v>
      </c>
      <c r="Q16" s="169" t="s">
        <v>33</v>
      </c>
      <c r="R16" s="169" t="s">
        <v>32</v>
      </c>
      <c r="S16" s="169" t="s">
        <v>32</v>
      </c>
      <c r="T16" s="169" t="s">
        <v>36</v>
      </c>
      <c r="U16" s="169" t="s">
        <v>35</v>
      </c>
      <c r="V16" s="169" t="s">
        <v>34</v>
      </c>
      <c r="W16" s="169" t="s">
        <v>32</v>
      </c>
      <c r="X16" s="223"/>
      <c r="Y16" s="1347"/>
      <c r="Z16" s="1348"/>
      <c r="AA16" s="1343"/>
      <c r="AB16" s="1343"/>
      <c r="AC16" s="224"/>
      <c r="AD16" s="1349"/>
      <c r="AE16" s="1349"/>
      <c r="AF16" s="1350"/>
      <c r="AG16" s="1342"/>
      <c r="AH16" s="1349"/>
      <c r="AI16" s="1351"/>
      <c r="AJ16" s="1351"/>
      <c r="AK16" s="1342"/>
      <c r="AL16" s="1352"/>
      <c r="AM16" s="1352"/>
      <c r="AN16" s="1349"/>
      <c r="AO16" s="1342"/>
      <c r="AP16" s="1342"/>
      <c r="AQ16" s="1349"/>
      <c r="AR16" s="1354"/>
      <c r="AS16" s="1354"/>
      <c r="AT16" s="1354"/>
      <c r="AU16" s="1354"/>
      <c r="AV16" s="1354"/>
      <c r="AW16" s="1354"/>
      <c r="AX16" s="1354"/>
      <c r="AY16" s="1354"/>
      <c r="AZ16" s="1248"/>
      <c r="BA16" s="1357"/>
      <c r="BB16" s="1353"/>
      <c r="BC16" s="1360"/>
      <c r="BD16" s="1360"/>
      <c r="BE16" s="1361"/>
      <c r="BF16" s="168"/>
      <c r="BG16" s="168"/>
      <c r="BH16" s="168"/>
      <c r="BI16" s="1363"/>
      <c r="BJ16" s="1364"/>
      <c r="BK16" s="1358"/>
      <c r="BL16" s="1359"/>
    </row>
    <row r="17" spans="1:64" ht="42" customHeight="1" thickTop="1" thickBot="1" x14ac:dyDescent="0.25">
      <c r="A17" s="136">
        <v>1</v>
      </c>
      <c r="B17" s="137">
        <v>200</v>
      </c>
      <c r="C17" s="179" t="s">
        <v>231</v>
      </c>
      <c r="D17" s="138">
        <v>157.46</v>
      </c>
      <c r="E17" s="150" t="s">
        <v>30</v>
      </c>
      <c r="F17" s="138">
        <v>157.46</v>
      </c>
      <c r="G17" s="138">
        <v>0</v>
      </c>
      <c r="H17" s="138">
        <v>157.46</v>
      </c>
      <c r="I17" s="138">
        <v>157.46</v>
      </c>
      <c r="J17" s="138">
        <v>157.46</v>
      </c>
      <c r="K17" s="138">
        <v>157.46</v>
      </c>
      <c r="L17" s="138">
        <v>157.46</v>
      </c>
      <c r="M17" s="53">
        <v>7</v>
      </c>
      <c r="N17" s="55">
        <f>COUNTIF(M17,7)</f>
        <v>1</v>
      </c>
      <c r="O17" s="138">
        <v>157.46</v>
      </c>
      <c r="P17" s="138">
        <v>0</v>
      </c>
      <c r="Q17" s="138">
        <v>157.46</v>
      </c>
      <c r="R17" s="138">
        <v>157.46</v>
      </c>
      <c r="S17" s="138">
        <v>157.46</v>
      </c>
      <c r="T17" s="138">
        <v>157.46</v>
      </c>
      <c r="U17" s="138">
        <v>157.46</v>
      </c>
      <c r="V17" s="138">
        <v>157.46</v>
      </c>
      <c r="W17" s="138">
        <v>0</v>
      </c>
      <c r="X17" s="55">
        <v>7</v>
      </c>
      <c r="Y17" s="55">
        <v>7</v>
      </c>
      <c r="Z17" s="55">
        <f>COUNTIF(X17,7)</f>
        <v>1</v>
      </c>
      <c r="AA17" s="221">
        <f>+Z17+N17</f>
        <v>2</v>
      </c>
      <c r="AB17" s="221">
        <f>+Y17+M17-1</f>
        <v>13</v>
      </c>
      <c r="AC17" s="221">
        <f>+AB17+AA17</f>
        <v>15</v>
      </c>
      <c r="AD17" s="142">
        <v>15</v>
      </c>
      <c r="AE17" s="143">
        <f>+H17+Q17</f>
        <v>314.92</v>
      </c>
      <c r="AF17" s="144">
        <v>0</v>
      </c>
      <c r="AG17" s="155">
        <f>+G17+U170</f>
        <v>0</v>
      </c>
      <c r="AH17" s="203">
        <f>+W17+T17+S17+Q17+P17+O17+L17+K17+J17+H17+G17+F17+U17+V17+I17+R17</f>
        <v>2046.9800000000002</v>
      </c>
      <c r="AI17" s="161">
        <v>147.16</v>
      </c>
      <c r="AJ17" s="161">
        <f>D17*Z17</f>
        <v>157.46</v>
      </c>
      <c r="AK17" s="158">
        <f>+AI17*N17+AJ17*Z17</f>
        <v>304.62</v>
      </c>
      <c r="AL17" s="160">
        <f>+D17</f>
        <v>157.46</v>
      </c>
      <c r="AM17" s="145">
        <f>+D17/8</f>
        <v>19.682500000000001</v>
      </c>
      <c r="AN17" s="138">
        <f>+AL17*AG17</f>
        <v>0</v>
      </c>
      <c r="AO17" s="138">
        <f>+AM17*AF17</f>
        <v>0</v>
      </c>
      <c r="AP17" s="138">
        <f>+AE17*D17</f>
        <v>49587.303200000002</v>
      </c>
      <c r="AQ17" s="138">
        <f>+AI17*I17+AJ17*R17</f>
        <v>47965.465200000006</v>
      </c>
      <c r="AR17" s="146">
        <f>+AD17</f>
        <v>15</v>
      </c>
      <c r="AS17" s="146">
        <f>+B17</f>
        <v>200</v>
      </c>
      <c r="AT17" s="146">
        <v>84</v>
      </c>
      <c r="AU17" s="147">
        <v>0.85714199999999996</v>
      </c>
      <c r="AV17" s="146">
        <f>AR17*AS17</f>
        <v>3000</v>
      </c>
      <c r="AW17" s="146">
        <f>+AV17-BD17</f>
        <v>2785.7145</v>
      </c>
      <c r="AX17" s="146">
        <f>AR17*AT17*AU17</f>
        <v>1079.99892</v>
      </c>
      <c r="AY17" s="148">
        <v>0.85714199999999996</v>
      </c>
      <c r="AZ17" s="146">
        <f>+AK17+AH17</f>
        <v>2351.6000000000004</v>
      </c>
      <c r="BA17" s="146">
        <f>+BE17-AZ17</f>
        <v>648.39699999999948</v>
      </c>
      <c r="BB17" s="170">
        <f>+AV17*AY17</f>
        <v>2571.4259999999999</v>
      </c>
      <c r="BC17" s="171">
        <f>+BB17/12</f>
        <v>214.28549999999998</v>
      </c>
      <c r="BD17" s="158">
        <f>+BC17</f>
        <v>214.28549999999998</v>
      </c>
      <c r="BE17" s="172">
        <f>+BD17+BC17+BB17</f>
        <v>2999.9969999999998</v>
      </c>
      <c r="BF17" s="140">
        <f>+BE17-BD17</f>
        <v>2785.7114999999999</v>
      </c>
      <c r="BG17" s="152">
        <v>5</v>
      </c>
      <c r="BH17" s="139">
        <v>0</v>
      </c>
      <c r="BI17" s="170">
        <f>+BE17-BH17</f>
        <v>2999.9969999999998</v>
      </c>
      <c r="BJ17" s="151">
        <v>0</v>
      </c>
      <c r="BK17" s="271">
        <v>0</v>
      </c>
      <c r="BL17" s="72">
        <f>+A17</f>
        <v>1</v>
      </c>
    </row>
    <row r="18" spans="1:64" ht="50.25" customHeight="1" thickTop="1" x14ac:dyDescent="0.2"/>
    <row r="26" spans="1:64" x14ac:dyDescent="0.2">
      <c r="C26" s="156"/>
      <c r="D26" s="1365"/>
      <c r="E26" s="1365"/>
      <c r="F26" s="1365"/>
      <c r="G26" s="1365"/>
      <c r="H26" s="1365"/>
      <c r="I26" s="156"/>
      <c r="J26" s="156"/>
      <c r="K26" s="156"/>
      <c r="O26" t="s">
        <v>150</v>
      </c>
      <c r="AQ26" t="s">
        <v>121</v>
      </c>
    </row>
    <row r="27" spans="1:64" x14ac:dyDescent="0.2">
      <c r="C27" s="1259" t="s">
        <v>101</v>
      </c>
      <c r="D27" s="1259"/>
      <c r="E27" s="1259"/>
      <c r="F27" s="1259"/>
      <c r="G27" s="1259"/>
      <c r="H27" s="1259"/>
      <c r="I27" s="1259"/>
      <c r="J27" s="1259"/>
      <c r="K27" s="156"/>
      <c r="L27" s="34"/>
      <c r="M27" s="34"/>
      <c r="N27" s="34"/>
      <c r="O27" s="34"/>
      <c r="P27" s="1251" t="s">
        <v>102</v>
      </c>
      <c r="Q27" s="1251"/>
      <c r="R27" s="1251"/>
      <c r="S27" s="1251"/>
      <c r="T27" s="1251"/>
      <c r="U27" s="1251"/>
      <c r="V27" s="1251"/>
      <c r="W27" s="1251"/>
      <c r="X27" s="1251"/>
      <c r="Y27" s="1251"/>
      <c r="Z27" s="1251"/>
      <c r="AA27" s="37"/>
      <c r="AB27" s="37"/>
      <c r="AC27" s="37"/>
      <c r="AD27" s="37"/>
      <c r="AE27" s="37"/>
      <c r="AF27" s="37"/>
      <c r="AG27" s="37"/>
      <c r="AH27" s="37"/>
      <c r="AQ27" s="1251" t="s">
        <v>103</v>
      </c>
      <c r="AR27" s="1251"/>
      <c r="AS27" s="1251"/>
      <c r="AT27" s="1251"/>
      <c r="AU27" s="1251"/>
      <c r="AV27" s="1251"/>
      <c r="AW27" s="1251"/>
      <c r="AX27" s="1251"/>
      <c r="AY27" s="1251"/>
      <c r="AZ27" s="1251"/>
      <c r="BA27" s="1251"/>
      <c r="BB27" s="1251"/>
      <c r="BC27" s="1251"/>
      <c r="BD27" s="1251"/>
      <c r="BE27" s="1251"/>
      <c r="BF27" s="1251"/>
      <c r="BG27" s="1251"/>
      <c r="BH27" s="1251"/>
      <c r="BI27" s="1251"/>
    </row>
    <row r="28" spans="1:64" x14ac:dyDescent="0.2">
      <c r="C28" s="1250" t="s">
        <v>247</v>
      </c>
      <c r="D28" s="1250"/>
      <c r="E28" s="1250"/>
      <c r="F28" s="1250"/>
      <c r="G28" s="1250"/>
      <c r="H28" s="1250"/>
      <c r="I28" s="1250"/>
      <c r="J28" s="1250"/>
      <c r="K28" s="156"/>
      <c r="L28" s="34"/>
      <c r="M28" s="34"/>
      <c r="N28" s="34"/>
      <c r="O28" s="34"/>
      <c r="P28" s="37" t="s">
        <v>112</v>
      </c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4"/>
      <c r="AB28" s="34"/>
      <c r="AC28" s="34"/>
      <c r="AD28" s="34"/>
      <c r="AK28" s="1251" t="s">
        <v>104</v>
      </c>
      <c r="AL28" s="1251"/>
      <c r="AM28" s="1251"/>
      <c r="AN28" s="1251"/>
      <c r="AO28" s="1251"/>
      <c r="AP28" s="1251"/>
      <c r="AQ28" s="1251"/>
      <c r="AR28" s="1251"/>
      <c r="AS28" s="1251"/>
      <c r="AT28" s="1251"/>
      <c r="AU28" s="1251"/>
      <c r="AV28" s="1251"/>
      <c r="AW28" s="1251"/>
      <c r="AX28" s="1251"/>
      <c r="AY28" s="1251"/>
      <c r="AZ28" s="1251"/>
      <c r="BA28" s="1251"/>
      <c r="BB28" s="1251"/>
      <c r="BC28" s="1251"/>
      <c r="BD28" s="1251"/>
      <c r="BE28" s="1251"/>
      <c r="BF28" s="1251"/>
      <c r="BG28" s="1251"/>
      <c r="BH28" s="1251"/>
      <c r="BI28" s="1251"/>
      <c r="BJ28" s="1251"/>
      <c r="BK28" s="1251"/>
    </row>
  </sheetData>
  <protectedRanges>
    <protectedRange sqref="AE17:AF17" name="Nomina2_3_1"/>
  </protectedRanges>
  <mergeCells count="69">
    <mergeCell ref="C28:J28"/>
    <mergeCell ref="D26:H26"/>
    <mergeCell ref="C27:J27"/>
    <mergeCell ref="AQ27:BI27"/>
    <mergeCell ref="P27:Z27"/>
    <mergeCell ref="AK28:BK28"/>
    <mergeCell ref="BK14:BK16"/>
    <mergeCell ref="BL14:BL16"/>
    <mergeCell ref="A6:BL6"/>
    <mergeCell ref="A7:BL7"/>
    <mergeCell ref="A8:BL8"/>
    <mergeCell ref="BC14:BC16"/>
    <mergeCell ref="BD14:BD16"/>
    <mergeCell ref="BE14:BE16"/>
    <mergeCell ref="BF14:BH15"/>
    <mergeCell ref="BI14:BI16"/>
    <mergeCell ref="BJ14:BJ16"/>
    <mergeCell ref="AU14:AU16"/>
    <mergeCell ref="AV14:AV16"/>
    <mergeCell ref="AW14:AW16"/>
    <mergeCell ref="AX14:AX16"/>
    <mergeCell ref="AY14:AY16"/>
    <mergeCell ref="BB14:BB16"/>
    <mergeCell ref="AO14:AO16"/>
    <mergeCell ref="AP14:AP16"/>
    <mergeCell ref="AQ14:AQ16"/>
    <mergeCell ref="AR14:AR16"/>
    <mergeCell ref="AS14:AS16"/>
    <mergeCell ref="AT14:AT16"/>
    <mergeCell ref="BA14:BA16"/>
    <mergeCell ref="AZ14:AZ16"/>
    <mergeCell ref="AN14:AN16"/>
    <mergeCell ref="AB14:AB16"/>
    <mergeCell ref="AD14:AD16"/>
    <mergeCell ref="AE14:AE16"/>
    <mergeCell ref="AF14:AF16"/>
    <mergeCell ref="AG14:AG16"/>
    <mergeCell ref="AH14:AH16"/>
    <mergeCell ref="AI14:AI16"/>
    <mergeCell ref="AJ14:AJ16"/>
    <mergeCell ref="AK14:AK16"/>
    <mergeCell ref="AL14:AL16"/>
    <mergeCell ref="AM14:AM16"/>
    <mergeCell ref="AA14:AA16"/>
    <mergeCell ref="M14:M16"/>
    <mergeCell ref="N14:N16"/>
    <mergeCell ref="O14:O15"/>
    <mergeCell ref="P14:P15"/>
    <mergeCell ref="Q14:Q15"/>
    <mergeCell ref="R14:R15"/>
    <mergeCell ref="S14:S15"/>
    <mergeCell ref="T14:T15"/>
    <mergeCell ref="W14:W15"/>
    <mergeCell ref="Y14:Y16"/>
    <mergeCell ref="Z14:Z16"/>
    <mergeCell ref="U14:U15"/>
    <mergeCell ref="V14:V15"/>
    <mergeCell ref="L14:L15"/>
    <mergeCell ref="A14:A16"/>
    <mergeCell ref="B14:B16"/>
    <mergeCell ref="C14:C16"/>
    <mergeCell ref="D14:D16"/>
    <mergeCell ref="E14:E16"/>
    <mergeCell ref="F14:F15"/>
    <mergeCell ref="G14:G15"/>
    <mergeCell ref="H14:H15"/>
    <mergeCell ref="I14:I15"/>
    <mergeCell ref="J14:J15"/>
    <mergeCell ref="K14:K15"/>
  </mergeCells>
  <printOptions horizontalCentered="1" verticalCentered="1"/>
  <pageMargins left="0" right="0" top="0.74803149606299213" bottom="0.74803149606299213" header="0.31496062992125984" footer="0.31496062992125984"/>
  <pageSetup paperSize="5" scale="8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transitionEvaluation="1" codeName="Hoja13">
    <tabColor theme="9" tint="-0.249977111117893"/>
  </sheetPr>
  <dimension ref="A1:AN53"/>
  <sheetViews>
    <sheetView showGridLines="0" topLeftCell="E14" zoomScale="93" zoomScaleNormal="93" workbookViewId="0">
      <selection activeCell="AC11" sqref="AC11"/>
    </sheetView>
  </sheetViews>
  <sheetFormatPr baseColWidth="10" defaultColWidth="9.85546875" defaultRowHeight="14.4" x14ac:dyDescent="0.2"/>
  <cols>
    <col min="1" max="1" width="5.42578125" style="1" bestFit="1" customWidth="1"/>
    <col min="2" max="2" width="6.7109375" style="1" hidden="1" customWidth="1"/>
    <col min="3" max="3" width="7.28515625" style="1" customWidth="1"/>
    <col min="4" max="4" width="30" style="1" customWidth="1"/>
    <col min="5" max="5" width="5.28515625" style="1" customWidth="1"/>
    <col min="6" max="6" width="6.28515625" style="5" customWidth="1"/>
    <col min="7" max="7" width="14.42578125" style="616" customWidth="1"/>
    <col min="8" max="8" width="14.28515625" style="616" customWidth="1"/>
    <col min="9" max="9" width="14.7109375" style="1" customWidth="1"/>
    <col min="10" max="10" width="19.85546875" style="1" customWidth="1"/>
    <col min="11" max="11" width="11.28515625" style="6" customWidth="1"/>
    <col min="12" max="14" width="9.85546875" style="6" hidden="1" customWidth="1"/>
    <col min="15" max="15" width="18.5703125" style="1" customWidth="1"/>
    <col min="16" max="16" width="16.85546875" style="1" customWidth="1"/>
    <col min="17" max="17" width="16" style="1" customWidth="1"/>
    <col min="18" max="18" width="21.5703125" style="1" hidden="1" customWidth="1"/>
    <col min="19" max="19" width="18.28515625" style="1" hidden="1" customWidth="1"/>
    <col min="20" max="20" width="12.42578125" style="1" hidden="1" customWidth="1"/>
    <col min="21" max="21" width="7.7109375" style="1" hidden="1" customWidth="1"/>
    <col min="22" max="22" width="9.42578125" style="1" hidden="1" customWidth="1"/>
    <col min="23" max="23" width="15" style="1" hidden="1" customWidth="1"/>
    <col min="24" max="24" width="24" style="1" customWidth="1"/>
    <col min="25" max="25" width="19.140625" style="1" customWidth="1"/>
    <col min="26" max="26" width="23.28515625" style="1" customWidth="1"/>
    <col min="27" max="27" width="19" style="1" hidden="1" customWidth="1"/>
    <col min="28" max="28" width="21.42578125" style="1" hidden="1" customWidth="1"/>
    <col min="29" max="29" width="40.85546875" style="1" customWidth="1"/>
    <col min="30" max="30" width="10.42578125" style="1" hidden="1" customWidth="1"/>
    <col min="31" max="31" width="10.28515625" style="1" hidden="1" customWidth="1"/>
    <col min="32" max="33" width="1.85546875" style="1" hidden="1" customWidth="1"/>
    <col min="34" max="34" width="13.85546875" style="1" hidden="1" customWidth="1"/>
    <col min="35" max="35" width="6.85546875" style="1" hidden="1" customWidth="1"/>
    <col min="36" max="36" width="5.85546875" style="1" hidden="1" customWidth="1"/>
    <col min="37" max="37" width="7.85546875" style="1" hidden="1" customWidth="1"/>
    <col min="38" max="38" width="1.85546875" style="1" hidden="1" customWidth="1"/>
    <col min="39" max="39" width="38.85546875" style="1" hidden="1" customWidth="1"/>
    <col min="40" max="40" width="3.85546875" style="1" hidden="1" customWidth="1"/>
    <col min="41" max="41" width="8.85546875" style="1" customWidth="1"/>
    <col min="42" max="42" width="1.85546875" style="1" customWidth="1"/>
    <col min="43" max="16384" width="9.85546875" style="1"/>
  </cols>
  <sheetData>
    <row r="1" spans="1:40" x14ac:dyDescent="0.2">
      <c r="G1" s="686"/>
      <c r="H1" s="686"/>
    </row>
    <row r="2" spans="1:40" s="15" customFormat="1" ht="19.2" customHeight="1" x14ac:dyDescent="0.2">
      <c r="A2" s="1370" t="s">
        <v>97</v>
      </c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  <c r="P2" s="1370"/>
      <c r="Q2" s="1370"/>
      <c r="R2" s="1370"/>
      <c r="S2" s="1370"/>
      <c r="T2" s="1370"/>
      <c r="U2" s="1370"/>
      <c r="V2" s="1370"/>
      <c r="W2" s="1370"/>
      <c r="X2" s="1370"/>
      <c r="Y2" s="1370"/>
      <c r="Z2" s="1370"/>
      <c r="AA2" s="1370"/>
      <c r="AB2" s="1370"/>
      <c r="AC2" s="1370"/>
      <c r="AD2" s="1370"/>
      <c r="AE2" s="1370"/>
    </row>
    <row r="3" spans="1:40" s="15" customFormat="1" ht="19.2" customHeight="1" x14ac:dyDescent="0.2">
      <c r="A3" s="1370" t="s">
        <v>221</v>
      </c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0"/>
      <c r="AB3" s="1370"/>
      <c r="AC3" s="1370"/>
      <c r="AD3" s="1370"/>
      <c r="AE3" s="1370"/>
    </row>
    <row r="4" spans="1:40" s="15" customFormat="1" ht="19.2" customHeight="1" x14ac:dyDescent="0.4">
      <c r="A4" s="1366" t="str">
        <f>+ADMON!A5</f>
        <v>QUINCENA DEL 16  AL 30  DE ABRIL - 2026</v>
      </c>
      <c r="B4" s="1366"/>
      <c r="C4" s="1366"/>
      <c r="D4" s="1366"/>
      <c r="E4" s="1366"/>
      <c r="F4" s="1366"/>
      <c r="G4" s="1366"/>
      <c r="H4" s="1366"/>
      <c r="I4" s="1366"/>
      <c r="J4" s="1366"/>
      <c r="K4" s="1366"/>
      <c r="L4" s="1366"/>
      <c r="M4" s="1366"/>
      <c r="N4" s="1366"/>
      <c r="O4" s="1366"/>
      <c r="P4" s="1366"/>
      <c r="Q4" s="1366"/>
      <c r="R4" s="1366"/>
      <c r="S4" s="1366"/>
      <c r="T4" s="1366"/>
      <c r="U4" s="1366"/>
      <c r="V4" s="1366"/>
      <c r="W4" s="1366"/>
      <c r="X4" s="1366"/>
      <c r="Y4" s="1366"/>
      <c r="Z4" s="1366"/>
      <c r="AA4" s="1366"/>
      <c r="AB4" s="1366"/>
      <c r="AC4" s="1366"/>
      <c r="AD4" s="866"/>
      <c r="AE4" s="866"/>
    </row>
    <row r="5" spans="1:40" s="15" customFormat="1" ht="19.2" customHeight="1" x14ac:dyDescent="0.4">
      <c r="A5" s="765"/>
      <c r="B5" s="765"/>
      <c r="C5" s="765"/>
      <c r="D5" s="765"/>
      <c r="E5" s="765"/>
      <c r="F5" s="765"/>
      <c r="G5" s="765"/>
      <c r="H5" s="765"/>
      <c r="I5" s="765"/>
      <c r="J5" s="765"/>
      <c r="K5" s="765"/>
      <c r="L5" s="765"/>
      <c r="M5" s="765"/>
      <c r="N5" s="765"/>
      <c r="O5" s="765"/>
      <c r="P5" s="765"/>
      <c r="Q5" s="765"/>
      <c r="R5" s="765"/>
      <c r="S5" s="765"/>
      <c r="T5" s="765"/>
      <c r="U5" s="765"/>
      <c r="V5" s="765"/>
      <c r="W5" s="765"/>
      <c r="X5" s="765"/>
      <c r="Y5" s="765"/>
      <c r="Z5" s="765"/>
      <c r="AA5" s="765"/>
      <c r="AB5" s="765"/>
      <c r="AC5" s="765"/>
      <c r="AD5" s="765"/>
      <c r="AE5" s="765"/>
    </row>
    <row r="6" spans="1:40" s="15" customFormat="1" ht="18" customHeight="1" thickBot="1" x14ac:dyDescent="0.35">
      <c r="A6" s="74"/>
      <c r="B6" s="75"/>
      <c r="C6" s="74"/>
      <c r="D6" s="74"/>
      <c r="E6" s="74"/>
      <c r="F6" s="74"/>
      <c r="G6" s="74"/>
      <c r="H6" s="74"/>
      <c r="I6" s="74"/>
      <c r="J6" s="74"/>
      <c r="K6" s="74"/>
      <c r="L6" s="74">
        <v>6</v>
      </c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26"/>
      <c r="AD6" s="26"/>
      <c r="AE6" s="26"/>
    </row>
    <row r="7" spans="1:40" s="11" customFormat="1" ht="15" customHeight="1" thickTop="1" thickBot="1" x14ac:dyDescent="0.25">
      <c r="A7" s="1143" t="s">
        <v>2</v>
      </c>
      <c r="B7" s="1143" t="s">
        <v>3</v>
      </c>
      <c r="C7" s="1179" t="s">
        <v>4</v>
      </c>
      <c r="D7" s="1143" t="s">
        <v>6</v>
      </c>
      <c r="E7" s="1371" t="s">
        <v>187</v>
      </c>
      <c r="F7" s="1374" t="s">
        <v>7</v>
      </c>
      <c r="G7" s="1375" t="s">
        <v>125</v>
      </c>
      <c r="H7" s="1376" t="s">
        <v>82</v>
      </c>
      <c r="I7" s="1143" t="s">
        <v>8</v>
      </c>
      <c r="J7" s="1151" t="s">
        <v>9</v>
      </c>
      <c r="K7" s="1151"/>
      <c r="L7" s="1151"/>
      <c r="M7" s="1151"/>
      <c r="N7" s="1151"/>
      <c r="O7" s="1151"/>
      <c r="P7" s="351"/>
      <c r="Q7" s="351"/>
      <c r="R7" s="1143" t="s">
        <v>10</v>
      </c>
      <c r="S7" s="1143"/>
      <c r="T7" s="1143"/>
      <c r="U7" s="1143"/>
      <c r="V7" s="1143"/>
      <c r="W7" s="1143"/>
      <c r="X7" s="1335" t="s">
        <v>29</v>
      </c>
      <c r="Y7" s="1157" t="s">
        <v>114</v>
      </c>
      <c r="Z7" s="1335" t="s">
        <v>388</v>
      </c>
      <c r="AA7" s="1157" t="s">
        <v>99</v>
      </c>
      <c r="AB7" s="1143" t="s">
        <v>11</v>
      </c>
      <c r="AC7" s="1173" t="s">
        <v>12</v>
      </c>
      <c r="AD7" s="1143" t="str">
        <f>+P8</f>
        <v>VACACIONES</v>
      </c>
      <c r="AE7" s="1143" t="str">
        <f>+Q8</f>
        <v>13VO MES</v>
      </c>
    </row>
    <row r="8" spans="1:40" s="13" customFormat="1" ht="31.5" customHeight="1" thickTop="1" thickBot="1" x14ac:dyDescent="0.25">
      <c r="A8" s="1143"/>
      <c r="B8" s="1143"/>
      <c r="C8" s="1180"/>
      <c r="D8" s="1143"/>
      <c r="E8" s="1372"/>
      <c r="F8" s="1374"/>
      <c r="G8" s="1375"/>
      <c r="H8" s="1376"/>
      <c r="I8" s="1143"/>
      <c r="J8" s="1143" t="s">
        <v>177</v>
      </c>
      <c r="K8" s="1155" t="s">
        <v>16</v>
      </c>
      <c r="L8" s="1333" t="s">
        <v>196</v>
      </c>
      <c r="M8" s="1333" t="s">
        <v>197</v>
      </c>
      <c r="N8" s="1333" t="s">
        <v>195</v>
      </c>
      <c r="O8" s="1143" t="s">
        <v>200</v>
      </c>
      <c r="P8" s="1335" t="s">
        <v>199</v>
      </c>
      <c r="Q8" s="1335" t="s">
        <v>53</v>
      </c>
      <c r="R8" s="1143" t="s">
        <v>29</v>
      </c>
      <c r="S8" s="1335"/>
      <c r="T8" s="1335" t="s">
        <v>3</v>
      </c>
      <c r="U8" s="1143" t="s">
        <v>19</v>
      </c>
      <c r="V8" s="1143" t="s">
        <v>94</v>
      </c>
      <c r="W8" s="1143" t="s">
        <v>20</v>
      </c>
      <c r="X8" s="1337"/>
      <c r="Y8" s="1157"/>
      <c r="Z8" s="1337"/>
      <c r="AA8" s="1157"/>
      <c r="AB8" s="1143"/>
      <c r="AC8" s="1173"/>
      <c r="AD8" s="1143"/>
      <c r="AE8" s="1143"/>
      <c r="AF8" s="12"/>
    </row>
    <row r="9" spans="1:40" s="13" customFormat="1" ht="43.65" customHeight="1" thickTop="1" thickBot="1" x14ac:dyDescent="0.25">
      <c r="A9" s="1143"/>
      <c r="B9" s="1143"/>
      <c r="C9" s="1181"/>
      <c r="D9" s="1143"/>
      <c r="E9" s="1373"/>
      <c r="F9" s="1374"/>
      <c r="G9" s="1375"/>
      <c r="H9" s="1376"/>
      <c r="I9" s="1143"/>
      <c r="J9" s="1143"/>
      <c r="K9" s="1155"/>
      <c r="L9" s="1334"/>
      <c r="M9" s="1334"/>
      <c r="N9" s="1334"/>
      <c r="O9" s="1143"/>
      <c r="P9" s="1336"/>
      <c r="Q9" s="1336"/>
      <c r="R9" s="1143"/>
      <c r="S9" s="1336"/>
      <c r="T9" s="1336"/>
      <c r="U9" s="1143"/>
      <c r="V9" s="1143"/>
      <c r="W9" s="1143"/>
      <c r="X9" s="1336"/>
      <c r="Y9" s="1157"/>
      <c r="Z9" s="1336"/>
      <c r="AA9" s="1157"/>
      <c r="AB9" s="1143"/>
      <c r="AC9" s="1173"/>
      <c r="AD9" s="1143"/>
      <c r="AE9" s="1143"/>
    </row>
    <row r="10" spans="1:40" s="326" customFormat="1" ht="81" customHeight="1" thickTop="1" thickBot="1" x14ac:dyDescent="0.25">
      <c r="A10" s="319">
        <v>1</v>
      </c>
      <c r="B10" s="354">
        <v>0</v>
      </c>
      <c r="C10" s="358" t="s">
        <v>248</v>
      </c>
      <c r="D10" s="632" t="s">
        <v>295</v>
      </c>
      <c r="E10" s="211" t="s">
        <v>32</v>
      </c>
      <c r="F10" s="353" t="s">
        <v>249</v>
      </c>
      <c r="G10" s="79">
        <f>+'Cambio del dia'!G34</f>
        <v>36.624299999999998</v>
      </c>
      <c r="H10" s="216">
        <f>+I10/30</f>
        <v>610.40500000000009</v>
      </c>
      <c r="I10" s="321">
        <v>18312.150000000001</v>
      </c>
      <c r="J10" s="631">
        <f>(I10/30)*K10-'ADMON COM. '!J29</f>
        <v>6097.9450000000006</v>
      </c>
      <c r="K10" s="1060">
        <v>15</v>
      </c>
      <c r="L10" s="328">
        <f>+M10*N10</f>
        <v>0</v>
      </c>
      <c r="M10" s="584">
        <f>H10*60%</f>
        <v>366.24300000000005</v>
      </c>
      <c r="N10" s="328">
        <v>0</v>
      </c>
      <c r="O10" s="585">
        <f>+J10-P10-Q10</f>
        <v>5081.6208333333334</v>
      </c>
      <c r="P10" s="585">
        <f>+J10/12</f>
        <v>508.16208333333338</v>
      </c>
      <c r="Q10" s="585">
        <f>+P10</f>
        <v>508.16208333333338</v>
      </c>
      <c r="R10" s="583">
        <f>+Q10+O10+P10</f>
        <v>6097.9450000000006</v>
      </c>
      <c r="S10" s="583">
        <f>O10+P10</f>
        <v>5589.782916666667</v>
      </c>
      <c r="T10" s="583"/>
      <c r="U10" s="583"/>
      <c r="V10" s="583"/>
      <c r="W10" s="585">
        <f>T10</f>
        <v>0</v>
      </c>
      <c r="X10" s="1089">
        <f>-W10+O10+P10+Q10</f>
        <v>6097.9450000000006</v>
      </c>
      <c r="Y10" s="324">
        <v>0</v>
      </c>
      <c r="Z10" s="1056">
        <f>+X10</f>
        <v>6097.9450000000006</v>
      </c>
      <c r="AA10" s="324">
        <v>0</v>
      </c>
      <c r="AB10" s="630">
        <f>X10-Y10-AA10</f>
        <v>6097.9450000000006</v>
      </c>
      <c r="AC10" s="325"/>
      <c r="AD10" s="325">
        <v>0</v>
      </c>
      <c r="AE10" s="325">
        <v>0</v>
      </c>
    </row>
    <row r="11" spans="1:40" s="326" customFormat="1" ht="85.5" customHeight="1" thickTop="1" thickBot="1" x14ac:dyDescent="0.25">
      <c r="A11" s="319">
        <v>2</v>
      </c>
      <c r="B11" s="354">
        <v>0</v>
      </c>
      <c r="C11" s="358"/>
      <c r="D11" s="632" t="s">
        <v>528</v>
      </c>
      <c r="E11" s="211" t="s">
        <v>32</v>
      </c>
      <c r="F11" s="353" t="s">
        <v>394</v>
      </c>
      <c r="G11" s="79">
        <f>+'Cambio del dia'!G35</f>
        <v>36.624299999999998</v>
      </c>
      <c r="H11" s="216">
        <v>500</v>
      </c>
      <c r="I11" s="321">
        <v>15000</v>
      </c>
      <c r="J11" s="321">
        <f>(I11/30)*K11</f>
        <v>7500</v>
      </c>
      <c r="K11" s="1060">
        <v>15</v>
      </c>
      <c r="L11" s="322">
        <f>+M11*N11</f>
        <v>0</v>
      </c>
      <c r="M11" s="323">
        <f>H11*60%</f>
        <v>300</v>
      </c>
      <c r="N11" s="322">
        <v>0</v>
      </c>
      <c r="O11" s="324">
        <f>+J11-P11-Q11</f>
        <v>6250</v>
      </c>
      <c r="P11" s="324">
        <f>+J11/12</f>
        <v>625</v>
      </c>
      <c r="Q11" s="324">
        <f>+P11</f>
        <v>625</v>
      </c>
      <c r="R11" s="583">
        <f>+Q11+O11+P11</f>
        <v>7500</v>
      </c>
      <c r="S11" s="321">
        <f>O11+P11</f>
        <v>6875</v>
      </c>
      <c r="T11" s="321">
        <v>0</v>
      </c>
      <c r="U11" s="321"/>
      <c r="V11" s="321"/>
      <c r="W11" s="324">
        <f>T11</f>
        <v>0</v>
      </c>
      <c r="X11" s="1089">
        <f>-W11+O11+P11+Q11</f>
        <v>7500</v>
      </c>
      <c r="Y11" s="1056">
        <v>2500</v>
      </c>
      <c r="Z11" s="1056">
        <f>X11-Y11</f>
        <v>5000</v>
      </c>
      <c r="AA11" s="630">
        <v>2000</v>
      </c>
      <c r="AB11" s="630">
        <f>+Z11-AA11</f>
        <v>3000</v>
      </c>
      <c r="AC11" s="355">
        <v>0</v>
      </c>
      <c r="AD11" s="355">
        <f>+AA11-AB11</f>
        <v>-1000</v>
      </c>
      <c r="AE11" s="355">
        <v>0</v>
      </c>
      <c r="AF11" s="630">
        <f>X11-AB11-AE11</f>
        <v>4500</v>
      </c>
      <c r="AG11" s="325"/>
      <c r="AH11" s="325">
        <v>0.155</v>
      </c>
      <c r="AI11" s="325">
        <f>+R11-Q11</f>
        <v>6875</v>
      </c>
      <c r="AJ11" s="321">
        <f>AH11*R11</f>
        <v>1162.5</v>
      </c>
      <c r="AK11" s="321"/>
      <c r="AL11" s="321">
        <v>0</v>
      </c>
      <c r="AM11" s="321">
        <f>0.02*AF11</f>
        <v>90</v>
      </c>
      <c r="AN11" s="321">
        <f>AF11+AJ11+AM11</f>
        <v>5752.5</v>
      </c>
    </row>
    <row r="12" spans="1:40" s="326" customFormat="1" ht="81" customHeight="1" thickTop="1" thickBot="1" x14ac:dyDescent="0.25">
      <c r="A12" s="319">
        <v>3</v>
      </c>
      <c r="B12" s="354">
        <v>0</v>
      </c>
      <c r="C12" s="358"/>
      <c r="D12" s="632" t="s">
        <v>392</v>
      </c>
      <c r="E12" s="211" t="s">
        <v>32</v>
      </c>
      <c r="F12" s="353" t="s">
        <v>393</v>
      </c>
      <c r="G12" s="79">
        <f>+'Cambio del dia'!G36</f>
        <v>36.624299999999998</v>
      </c>
      <c r="H12" s="216">
        <v>550</v>
      </c>
      <c r="I12" s="321">
        <v>16500</v>
      </c>
      <c r="J12" s="321">
        <f>(I12/30)*K12</f>
        <v>8250</v>
      </c>
      <c r="K12" s="1060">
        <v>15</v>
      </c>
      <c r="L12" s="328">
        <f>+M12*N12</f>
        <v>0</v>
      </c>
      <c r="M12" s="584">
        <f>H12*60%</f>
        <v>330</v>
      </c>
      <c r="N12" s="328">
        <v>0</v>
      </c>
      <c r="O12" s="585">
        <f>+J12-P12-Q12</f>
        <v>6875</v>
      </c>
      <c r="P12" s="585">
        <f>+J12/12</f>
        <v>687.5</v>
      </c>
      <c r="Q12" s="585">
        <f>+P12</f>
        <v>687.5</v>
      </c>
      <c r="R12" s="583">
        <f>+Q12+O12+P12</f>
        <v>8250</v>
      </c>
      <c r="S12" s="583">
        <f>O12+P12</f>
        <v>7562.5</v>
      </c>
      <c r="T12" s="583"/>
      <c r="U12" s="583"/>
      <c r="V12" s="583"/>
      <c r="W12" s="585">
        <f>T12</f>
        <v>0</v>
      </c>
      <c r="X12" s="1089">
        <f>-W12+O12+P12+Q12</f>
        <v>8250</v>
      </c>
      <c r="Y12" s="324">
        <v>0</v>
      </c>
      <c r="Z12" s="1056">
        <f>X12</f>
        <v>8250</v>
      </c>
      <c r="AA12" s="324">
        <v>0</v>
      </c>
      <c r="AB12" s="630">
        <f>X12-Y12-AA12</f>
        <v>8250</v>
      </c>
      <c r="AC12" s="325"/>
      <c r="AD12" s="325">
        <v>0</v>
      </c>
      <c r="AE12" s="325">
        <v>0</v>
      </c>
    </row>
    <row r="13" spans="1:40" s="326" customFormat="1" ht="85.8" customHeight="1" thickTop="1" thickBot="1" x14ac:dyDescent="0.25">
      <c r="A13" s="319">
        <v>1</v>
      </c>
      <c r="B13" s="354">
        <v>0</v>
      </c>
      <c r="C13" s="358" t="s">
        <v>534</v>
      </c>
      <c r="D13" s="632" t="s">
        <v>533</v>
      </c>
      <c r="E13" s="211" t="s">
        <v>32</v>
      </c>
      <c r="F13" s="353" t="s">
        <v>393</v>
      </c>
      <c r="G13" s="79">
        <f>+'Cambio del dia'!G36</f>
        <v>36.624299999999998</v>
      </c>
      <c r="H13" s="216">
        <v>1000</v>
      </c>
      <c r="I13" s="321">
        <v>30000</v>
      </c>
      <c r="J13" s="321">
        <f>(I13/30)*K13</f>
        <v>13000</v>
      </c>
      <c r="K13" s="1060">
        <v>13</v>
      </c>
      <c r="L13" s="328">
        <f>+M13*N13</f>
        <v>0</v>
      </c>
      <c r="M13" s="584">
        <f>H13*60%</f>
        <v>600</v>
      </c>
      <c r="N13" s="328">
        <v>0</v>
      </c>
      <c r="O13" s="585">
        <f>+J13-P13-Q13</f>
        <v>10833.333333333332</v>
      </c>
      <c r="P13" s="585">
        <f>+J13/12</f>
        <v>1083.3333333333333</v>
      </c>
      <c r="Q13" s="585">
        <f>+P13</f>
        <v>1083.3333333333333</v>
      </c>
      <c r="R13" s="583">
        <f>+Q13+O13+P13</f>
        <v>13000</v>
      </c>
      <c r="S13" s="583">
        <f>O13+P13</f>
        <v>11916.666666666666</v>
      </c>
      <c r="T13" s="583"/>
      <c r="U13" s="583"/>
      <c r="V13" s="583"/>
      <c r="W13" s="585">
        <f>T13</f>
        <v>0</v>
      </c>
      <c r="X13" s="1089">
        <f>-W13+O13+P13+Q13</f>
        <v>13000</v>
      </c>
      <c r="Y13" s="324">
        <v>0</v>
      </c>
      <c r="Z13" s="1056">
        <f>X13</f>
        <v>13000</v>
      </c>
      <c r="AA13" s="324">
        <v>0</v>
      </c>
      <c r="AB13" s="630">
        <f>X13-Y13-AA13</f>
        <v>13000</v>
      </c>
      <c r="AC13" s="325"/>
      <c r="AD13" s="325">
        <v>0</v>
      </c>
      <c r="AE13" s="325">
        <v>0</v>
      </c>
    </row>
    <row r="14" spans="1:40" s="326" customFormat="1" ht="85.8" customHeight="1" thickTop="1" thickBot="1" x14ac:dyDescent="0.25">
      <c r="A14" s="319">
        <v>1</v>
      </c>
      <c r="B14" s="354">
        <v>0</v>
      </c>
      <c r="C14" s="358">
        <v>0</v>
      </c>
      <c r="D14" s="632" t="s">
        <v>536</v>
      </c>
      <c r="E14" s="211" t="s">
        <v>32</v>
      </c>
      <c r="F14" s="353" t="s">
        <v>535</v>
      </c>
      <c r="G14" s="79">
        <f>+'Cambio del dia'!G37</f>
        <v>36.624299999999998</v>
      </c>
      <c r="H14" s="216">
        <v>300</v>
      </c>
      <c r="I14" s="321">
        <v>9000</v>
      </c>
      <c r="J14" s="321">
        <f>(I14/30)*K14</f>
        <v>1800</v>
      </c>
      <c r="K14" s="1060">
        <v>6</v>
      </c>
      <c r="L14" s="328">
        <f>+M14*N14</f>
        <v>0</v>
      </c>
      <c r="M14" s="584">
        <f>H14*60%</f>
        <v>180</v>
      </c>
      <c r="N14" s="328">
        <v>0</v>
      </c>
      <c r="O14" s="585">
        <f>+J14-P14-Q14</f>
        <v>1500</v>
      </c>
      <c r="P14" s="585">
        <f>+J14/12</f>
        <v>150</v>
      </c>
      <c r="Q14" s="585">
        <f>+P14</f>
        <v>150</v>
      </c>
      <c r="R14" s="583">
        <f>+Q14+O14+P14</f>
        <v>1800</v>
      </c>
      <c r="S14" s="583">
        <f>O14+P14</f>
        <v>1650</v>
      </c>
      <c r="T14" s="583"/>
      <c r="U14" s="583"/>
      <c r="V14" s="583"/>
      <c r="W14" s="585">
        <f>T14</f>
        <v>0</v>
      </c>
      <c r="X14" s="1089">
        <f>-W14+O14+P14+Q14</f>
        <v>1800</v>
      </c>
      <c r="Y14" s="324">
        <v>0</v>
      </c>
      <c r="Z14" s="1056">
        <f>X14</f>
        <v>1800</v>
      </c>
      <c r="AA14" s="324">
        <v>0</v>
      </c>
      <c r="AB14" s="630">
        <f>X14-Y14-AA14</f>
        <v>1800</v>
      </c>
      <c r="AC14" s="325"/>
      <c r="AD14" s="325">
        <v>0</v>
      </c>
      <c r="AE14" s="325">
        <v>0</v>
      </c>
    </row>
    <row r="15" spans="1:40" s="7" customFormat="1" ht="75" customHeight="1" thickTop="1" thickBot="1" x14ac:dyDescent="0.25">
      <c r="A15" s="1367" t="s">
        <v>95</v>
      </c>
      <c r="B15" s="1368"/>
      <c r="C15" s="1368"/>
      <c r="D15" s="1369"/>
      <c r="E15" s="663"/>
      <c r="F15" s="663">
        <f>SUM(F14)</f>
        <v>0</v>
      </c>
      <c r="G15" s="663">
        <f t="shared" ref="G15" si="0">SUM(G14:G14)</f>
        <v>36.624299999999998</v>
      </c>
      <c r="H15" s="663">
        <f t="shared" ref="H15:I15" si="1">SUM(H10:H12)</f>
        <v>1660.4050000000002</v>
      </c>
      <c r="I15" s="663">
        <f t="shared" si="1"/>
        <v>49812.15</v>
      </c>
      <c r="J15" s="663">
        <f>SUM(J10:J12)</f>
        <v>21847.945</v>
      </c>
      <c r="K15" s="663">
        <f t="shared" ref="K15:R15" si="2">SUM(K10:K12)</f>
        <v>45</v>
      </c>
      <c r="L15" s="663">
        <f t="shared" si="2"/>
        <v>0</v>
      </c>
      <c r="M15" s="663">
        <f t="shared" si="2"/>
        <v>996.24300000000005</v>
      </c>
      <c r="N15" s="663">
        <f t="shared" si="2"/>
        <v>0</v>
      </c>
      <c r="O15" s="663">
        <f t="shared" si="2"/>
        <v>18206.620833333334</v>
      </c>
      <c r="P15" s="663">
        <f t="shared" si="2"/>
        <v>1820.6620833333334</v>
      </c>
      <c r="Q15" s="663">
        <f t="shared" si="2"/>
        <v>1820.6620833333334</v>
      </c>
      <c r="R15" s="663">
        <f t="shared" si="2"/>
        <v>21847.945</v>
      </c>
      <c r="S15" s="663">
        <f t="shared" ref="S15:W15" si="3">SUM(S12:S14)</f>
        <v>21129.166666666664</v>
      </c>
      <c r="T15" s="663">
        <f t="shared" si="3"/>
        <v>0</v>
      </c>
      <c r="U15" s="663">
        <f t="shared" si="3"/>
        <v>0</v>
      </c>
      <c r="V15" s="663">
        <f t="shared" si="3"/>
        <v>0</v>
      </c>
      <c r="W15" s="663">
        <f t="shared" si="3"/>
        <v>0</v>
      </c>
      <c r="X15" s="317">
        <f>SUM(X10:X14)</f>
        <v>36647.945</v>
      </c>
      <c r="Y15" s="317">
        <f t="shared" ref="Y15:AB15" si="4">SUM(Y10:Y14)</f>
        <v>2500</v>
      </c>
      <c r="Z15" s="317">
        <f>X15-Y15</f>
        <v>34147.945</v>
      </c>
      <c r="AA15" s="317">
        <f t="shared" si="4"/>
        <v>2000</v>
      </c>
      <c r="AB15" s="317">
        <f t="shared" si="4"/>
        <v>32147.945</v>
      </c>
      <c r="AC15" s="1090" t="s">
        <v>105</v>
      </c>
      <c r="AD15" s="86">
        <f>SUM(AD14:AD14)</f>
        <v>0</v>
      </c>
      <c r="AE15" s="86">
        <f>SUM(AE14:AE14)</f>
        <v>0</v>
      </c>
    </row>
    <row r="16" spans="1:40" s="14" customFormat="1" ht="19.5" customHeight="1" thickTop="1" x14ac:dyDescent="0.2">
      <c r="A16" s="27"/>
      <c r="B16" s="27"/>
      <c r="C16" s="27"/>
      <c r="D16" s="27"/>
      <c r="E16" s="27"/>
      <c r="F16" s="28"/>
      <c r="G16" s="28"/>
      <c r="H16" s="28"/>
      <c r="I16" s="27"/>
      <c r="J16" s="27"/>
      <c r="K16" s="29"/>
      <c r="L16" s="29"/>
      <c r="M16" s="29"/>
      <c r="N16" s="29"/>
      <c r="O16" s="27" t="s">
        <v>5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spans="1:31" s="14" customFormat="1" ht="19.5" hidden="1" customHeight="1" thickTop="1" x14ac:dyDescent="0.2">
      <c r="A17" s="27"/>
      <c r="B17" s="27"/>
      <c r="C17" s="27"/>
      <c r="D17" s="27"/>
      <c r="E17" s="27"/>
      <c r="F17" s="28"/>
      <c r="G17" s="28"/>
      <c r="H17" s="28">
        <v>10</v>
      </c>
      <c r="I17" s="27"/>
      <c r="J17" s="27"/>
      <c r="K17" s="29"/>
      <c r="L17" s="29"/>
      <c r="M17" s="29"/>
      <c r="N17" s="29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 spans="1:31" s="14" customFormat="1" ht="19.5" hidden="1" customHeight="1" x14ac:dyDescent="0.2">
      <c r="A18" s="27"/>
      <c r="B18" s="27"/>
      <c r="C18" s="27"/>
      <c r="D18" s="27"/>
      <c r="E18" s="27"/>
      <c r="F18" s="28"/>
      <c r="G18" s="28"/>
      <c r="H18" s="28">
        <v>350</v>
      </c>
      <c r="I18" s="27">
        <v>35.694800000000001</v>
      </c>
      <c r="J18" s="27">
        <f>+H18*I18</f>
        <v>12493.18</v>
      </c>
      <c r="K18" s="29"/>
      <c r="L18" s="29"/>
      <c r="M18" s="29"/>
      <c r="N18" s="29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 spans="1:31" s="14" customFormat="1" ht="19.5" hidden="1" customHeight="1" x14ac:dyDescent="0.2">
      <c r="A19" s="27"/>
      <c r="B19" s="27"/>
      <c r="C19" s="27"/>
      <c r="D19" s="27"/>
      <c r="E19" s="27"/>
      <c r="F19" s="28"/>
      <c r="G19" s="28"/>
      <c r="H19" s="28"/>
      <c r="I19" s="27"/>
      <c r="J19" s="27">
        <f>+H18/I18</f>
        <v>9.8053497988502532</v>
      </c>
      <c r="K19" s="29">
        <f>9.81*30</f>
        <v>294.3</v>
      </c>
      <c r="L19" s="29"/>
      <c r="M19" s="29"/>
      <c r="N19" s="29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 spans="1:31" s="14" customFormat="1" ht="19.5" hidden="1" customHeight="1" x14ac:dyDescent="0.2">
      <c r="A20" s="27"/>
      <c r="B20" s="27"/>
      <c r="C20" s="27"/>
      <c r="D20" s="27"/>
      <c r="E20" s="27"/>
      <c r="F20" s="28"/>
      <c r="G20" s="28"/>
      <c r="H20" s="28"/>
      <c r="I20" s="27"/>
      <c r="J20" s="27"/>
      <c r="K20" s="29"/>
      <c r="L20" s="29"/>
      <c r="M20" s="29"/>
      <c r="N20" s="29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 spans="1:31" s="14" customFormat="1" ht="19.5" hidden="1" customHeight="1" x14ac:dyDescent="0.2">
      <c r="A21" s="27"/>
      <c r="B21" s="27"/>
      <c r="C21" s="27"/>
      <c r="D21" s="27"/>
      <c r="E21" s="27"/>
      <c r="F21" s="28"/>
      <c r="G21" s="28"/>
      <c r="H21" s="28"/>
      <c r="I21" s="27"/>
      <c r="J21" s="27"/>
      <c r="K21" s="29"/>
      <c r="L21" s="29"/>
      <c r="M21" s="29"/>
      <c r="N21" s="29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</row>
    <row r="22" spans="1:31" s="14" customFormat="1" ht="19.5" hidden="1" customHeight="1" x14ac:dyDescent="0.2">
      <c r="A22" s="27"/>
      <c r="B22" s="27"/>
      <c r="C22" s="27"/>
      <c r="D22" s="27"/>
      <c r="E22" s="27"/>
      <c r="F22" s="28"/>
      <c r="G22" s="28"/>
      <c r="H22" s="28"/>
      <c r="I22" s="27"/>
      <c r="J22" s="27"/>
      <c r="K22" s="29"/>
      <c r="L22" s="29"/>
      <c r="M22" s="29"/>
      <c r="N22" s="29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s="14" customFormat="1" ht="19.5" customHeight="1" x14ac:dyDescent="0.2">
      <c r="A23" s="27"/>
      <c r="B23" s="27"/>
      <c r="C23" s="27"/>
      <c r="D23" s="27"/>
      <c r="E23" s="27"/>
      <c r="F23" s="28"/>
      <c r="G23" s="28"/>
      <c r="H23" s="28"/>
      <c r="I23" s="27"/>
      <c r="J23" s="27"/>
      <c r="K23" s="29"/>
      <c r="L23" s="29"/>
      <c r="M23" s="29"/>
      <c r="N23" s="29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</row>
    <row r="24" spans="1:31" s="14" customFormat="1" ht="19.5" customHeight="1" x14ac:dyDescent="0.2">
      <c r="A24" s="27"/>
      <c r="B24" s="27"/>
      <c r="C24" s="27"/>
      <c r="D24" s="27"/>
      <c r="E24" s="27"/>
      <c r="F24" s="28"/>
      <c r="G24" s="28"/>
      <c r="H24" s="67"/>
      <c r="I24" s="1092"/>
      <c r="J24" s="27"/>
      <c r="K24" s="29"/>
      <c r="L24" s="29"/>
      <c r="M24" s="29"/>
      <c r="N24" s="29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</row>
    <row r="25" spans="1:31" s="11" customFormat="1" x14ac:dyDescent="0.2">
      <c r="A25" s="27"/>
      <c r="B25" s="27"/>
      <c r="C25" s="27"/>
      <c r="D25" s="27"/>
      <c r="E25" s="27"/>
      <c r="F25" s="28"/>
      <c r="G25" s="28"/>
      <c r="H25" s="28"/>
      <c r="I25" s="27"/>
      <c r="J25" s="27"/>
      <c r="K25" s="29"/>
      <c r="L25" s="29"/>
      <c r="M25" s="29"/>
      <c r="N25" s="29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</row>
    <row r="26" spans="1:31" s="11" customFormat="1" x14ac:dyDescent="0.2">
      <c r="A26" s="30"/>
      <c r="B26" s="27"/>
      <c r="C26" s="30"/>
      <c r="D26" s="27"/>
      <c r="E26" s="27"/>
      <c r="F26" s="28"/>
      <c r="G26" s="28"/>
      <c r="H26" s="28"/>
      <c r="I26" s="27"/>
      <c r="J26" s="27"/>
      <c r="K26" s="29"/>
      <c r="L26" s="29"/>
      <c r="M26" s="29"/>
      <c r="N26" s="29"/>
      <c r="O26" s="30"/>
      <c r="P26" s="30"/>
      <c r="Q26" s="30"/>
      <c r="R26" s="27"/>
      <c r="S26" s="27"/>
      <c r="T26" s="27"/>
      <c r="U26" s="27"/>
      <c r="V26" s="31"/>
      <c r="W26" s="27"/>
      <c r="X26" s="27"/>
      <c r="Y26" s="27"/>
      <c r="Z26" s="27"/>
      <c r="AA26" s="27"/>
      <c r="AB26" s="30"/>
      <c r="AC26" s="27"/>
      <c r="AD26" s="27"/>
      <c r="AE26" s="27"/>
    </row>
    <row r="27" spans="1:31" s="11" customFormat="1" x14ac:dyDescent="0.2">
      <c r="A27" s="30"/>
      <c r="B27" s="27"/>
      <c r="C27" s="30"/>
      <c r="D27" s="27"/>
      <c r="E27" s="27"/>
      <c r="F27" s="28"/>
      <c r="G27" s="28"/>
      <c r="H27" s="28"/>
      <c r="I27" s="27"/>
      <c r="J27" s="27"/>
      <c r="K27" s="29"/>
      <c r="L27" s="29"/>
      <c r="M27" s="29"/>
      <c r="N27" s="29"/>
      <c r="O27" s="30"/>
      <c r="P27" s="30"/>
      <c r="Q27" s="30"/>
      <c r="R27" s="27"/>
      <c r="S27" s="27"/>
      <c r="T27" s="27"/>
      <c r="U27" s="27"/>
      <c r="V27" s="31"/>
      <c r="W27" s="27"/>
      <c r="X27" s="27"/>
      <c r="Y27" s="27"/>
      <c r="Z27" s="27"/>
      <c r="AA27" s="27"/>
      <c r="AB27" s="30"/>
      <c r="AC27" s="27"/>
      <c r="AD27" s="27"/>
      <c r="AE27" s="27"/>
    </row>
    <row r="28" spans="1:31" s="11" customFormat="1" x14ac:dyDescent="0.2">
      <c r="A28" s="30"/>
      <c r="B28" s="27"/>
      <c r="C28" s="30"/>
      <c r="D28" s="27"/>
      <c r="E28" s="27"/>
      <c r="F28" s="28"/>
      <c r="G28" s="28"/>
      <c r="H28" s="28"/>
      <c r="I28" s="27"/>
      <c r="J28" s="27"/>
      <c r="K28" s="29"/>
      <c r="L28" s="29"/>
      <c r="M28" s="29"/>
      <c r="N28" s="29"/>
      <c r="O28" s="30"/>
      <c r="P28" s="30"/>
      <c r="Q28" s="30"/>
      <c r="R28" s="27"/>
      <c r="S28" s="27"/>
      <c r="T28" s="27"/>
      <c r="U28" s="27"/>
      <c r="V28" s="31"/>
      <c r="W28" s="27"/>
      <c r="X28" s="27"/>
      <c r="Y28" s="27"/>
      <c r="Z28" s="27"/>
      <c r="AA28" s="27"/>
      <c r="AB28" s="30"/>
      <c r="AC28" s="27"/>
      <c r="AD28" s="27"/>
      <c r="AE28" s="27"/>
    </row>
    <row r="29" spans="1:31" s="11" customFormat="1" x14ac:dyDescent="0.2">
      <c r="A29" s="30"/>
      <c r="B29" s="27"/>
      <c r="C29" s="30"/>
      <c r="D29" s="27"/>
      <c r="E29" s="27"/>
      <c r="F29" s="28"/>
      <c r="G29" s="28"/>
      <c r="H29" s="28"/>
      <c r="I29" s="27"/>
      <c r="J29" s="27"/>
      <c r="K29" s="29"/>
      <c r="L29" s="29"/>
      <c r="M29" s="29"/>
      <c r="N29" s="29"/>
      <c r="O29" s="30"/>
      <c r="P29" s="30"/>
      <c r="Q29" s="30"/>
      <c r="R29" s="27"/>
      <c r="S29" s="27"/>
      <c r="T29" s="27"/>
      <c r="U29" s="27"/>
      <c r="V29" s="32"/>
      <c r="W29" s="27"/>
      <c r="X29" s="27"/>
      <c r="Y29" s="27"/>
      <c r="Z29" s="27"/>
      <c r="AA29" s="27"/>
      <c r="AB29" s="30"/>
      <c r="AC29" s="27"/>
      <c r="AD29" s="27"/>
      <c r="AE29" s="27"/>
    </row>
    <row r="30" spans="1:31" s="11" customFormat="1" x14ac:dyDescent="0.2">
      <c r="A30" s="30"/>
      <c r="B30" s="27"/>
      <c r="C30" s="1165"/>
      <c r="D30" s="1165"/>
      <c r="E30" s="1165"/>
      <c r="F30" s="1165"/>
      <c r="G30" s="49"/>
      <c r="H30" s="49"/>
      <c r="I30" s="27"/>
      <c r="J30" s="27"/>
      <c r="K30" s="1166"/>
      <c r="L30" s="1166"/>
      <c r="M30" s="1166"/>
      <c r="N30" s="1166"/>
      <c r="O30" s="1166"/>
      <c r="P30" s="1166"/>
      <c r="Q30" s="1166"/>
      <c r="R30" s="1166"/>
      <c r="S30" s="1166"/>
      <c r="T30" s="1166"/>
      <c r="U30" s="1166"/>
      <c r="V30" s="1166"/>
      <c r="W30" s="1166"/>
      <c r="X30" s="29"/>
      <c r="Y30" s="27"/>
      <c r="Z30" s="27"/>
      <c r="AA30" s="27"/>
      <c r="AB30" s="1165"/>
      <c r="AC30" s="1165"/>
      <c r="AD30" s="1165"/>
      <c r="AE30" s="1165"/>
    </row>
    <row r="31" spans="1:31" s="11" customFormat="1" ht="13.5" customHeight="1" x14ac:dyDescent="0.2">
      <c r="A31" s="27"/>
      <c r="B31" s="27"/>
      <c r="C31" s="1167" t="s">
        <v>23</v>
      </c>
      <c r="D31" s="1167"/>
      <c r="E31" s="1167"/>
      <c r="F31" s="1167"/>
      <c r="G31" s="52"/>
      <c r="H31" s="52"/>
      <c r="I31" s="27"/>
      <c r="J31" s="27"/>
      <c r="K31" s="1167" t="s">
        <v>24</v>
      </c>
      <c r="L31" s="1167"/>
      <c r="M31" s="1167"/>
      <c r="N31" s="1167"/>
      <c r="O31" s="1167"/>
      <c r="P31" s="1167"/>
      <c r="Q31" s="1167"/>
      <c r="R31" s="1167"/>
      <c r="S31" s="1167"/>
      <c r="T31" s="1167"/>
      <c r="U31" s="1167"/>
      <c r="V31" s="1167"/>
      <c r="W31" s="1167"/>
      <c r="X31" s="52"/>
      <c r="Y31" s="27"/>
      <c r="Z31" s="27"/>
      <c r="AA31" s="27"/>
      <c r="AB31" s="1167" t="s">
        <v>25</v>
      </c>
      <c r="AC31" s="1167"/>
      <c r="AD31" s="1167"/>
      <c r="AE31" s="1167"/>
    </row>
    <row r="32" spans="1:31" s="11" customFormat="1" ht="15.6" x14ac:dyDescent="0.2">
      <c r="A32" s="30"/>
      <c r="B32" s="27"/>
      <c r="C32" s="1326" t="s">
        <v>541</v>
      </c>
      <c r="D32" s="1326"/>
      <c r="E32" s="1326"/>
      <c r="F32" s="1326"/>
      <c r="G32" s="48"/>
      <c r="H32" s="48"/>
      <c r="I32" s="27"/>
      <c r="J32" s="30"/>
      <c r="K32" s="1159" t="s">
        <v>350</v>
      </c>
      <c r="L32" s="1159"/>
      <c r="M32" s="1159"/>
      <c r="N32" s="1159"/>
      <c r="O32" s="1159"/>
      <c r="P32" s="1159"/>
      <c r="Q32" s="1159"/>
      <c r="R32" s="1159"/>
      <c r="S32" s="1159"/>
      <c r="T32" s="1159"/>
      <c r="U32" s="1159"/>
      <c r="V32" s="1159"/>
      <c r="W32" s="1159"/>
      <c r="X32" s="48"/>
      <c r="Y32" s="33"/>
      <c r="Z32" s="33"/>
      <c r="AA32" s="33"/>
      <c r="AB32" s="1160" t="s">
        <v>496</v>
      </c>
      <c r="AC32" s="1160"/>
      <c r="AD32" s="1160"/>
      <c r="AE32" s="1160"/>
    </row>
    <row r="33" spans="1:31" s="11" customFormat="1" x14ac:dyDescent="0.2">
      <c r="A33" s="8"/>
      <c r="B33" s="8"/>
      <c r="C33" s="1161"/>
      <c r="D33" s="1161"/>
      <c r="E33" s="25"/>
      <c r="F33" s="25"/>
      <c r="G33" s="25"/>
      <c r="H33" s="25"/>
      <c r="I33" s="8"/>
      <c r="J33" s="8"/>
      <c r="K33" s="9"/>
      <c r="L33" s="9"/>
      <c r="M33" s="9"/>
      <c r="N33" s="9"/>
      <c r="O33" s="1161"/>
      <c r="P33" s="1161"/>
      <c r="Q33" s="1161"/>
      <c r="R33" s="1161"/>
      <c r="S33" s="1161"/>
      <c r="T33" s="1161"/>
      <c r="U33" s="1161"/>
      <c r="V33" s="25"/>
      <c r="W33" s="25"/>
      <c r="X33" s="25"/>
      <c r="Y33" s="25"/>
      <c r="Z33" s="25"/>
      <c r="AA33" s="25"/>
      <c r="AB33" s="8"/>
      <c r="AC33" s="8"/>
      <c r="AD33" s="8"/>
      <c r="AE33" s="8"/>
    </row>
    <row r="34" spans="1:31" s="11" customFormat="1" x14ac:dyDescent="0.2">
      <c r="A34" s="10"/>
      <c r="B34" s="10"/>
      <c r="C34" s="10"/>
      <c r="D34" s="10"/>
      <c r="E34" s="10"/>
      <c r="F34" s="685"/>
      <c r="G34" s="685"/>
      <c r="H34" s="685"/>
      <c r="I34" s="10"/>
      <c r="J34" s="10"/>
      <c r="K34" s="9"/>
      <c r="L34" s="9"/>
      <c r="M34" s="9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s="11" customFormat="1" x14ac:dyDescent="0.2">
      <c r="A35" s="10"/>
      <c r="B35" s="10"/>
      <c r="C35" s="10"/>
      <c r="D35" s="10"/>
      <c r="E35" s="10"/>
      <c r="F35" s="685"/>
      <c r="G35" s="685"/>
      <c r="H35" s="685"/>
      <c r="I35" s="10"/>
      <c r="J35" s="10"/>
      <c r="K35" s="9"/>
      <c r="L35" s="9"/>
      <c r="M35" s="9"/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s="11" customFormat="1" x14ac:dyDescent="0.2">
      <c r="A36" s="10"/>
      <c r="B36" s="10"/>
      <c r="C36" s="10"/>
      <c r="D36" s="10"/>
      <c r="E36" s="10"/>
      <c r="F36" s="685"/>
      <c r="G36" s="685"/>
      <c r="H36" s="685"/>
      <c r="I36" s="10"/>
      <c r="J36" s="10"/>
      <c r="K36" s="9"/>
      <c r="L36" s="9"/>
      <c r="M36" s="9"/>
      <c r="N36" s="9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 spans="1:31" s="11" customFormat="1" x14ac:dyDescent="0.2">
      <c r="A37" s="10"/>
      <c r="B37" s="10"/>
      <c r="C37" s="10"/>
      <c r="D37" s="10"/>
      <c r="E37" s="10"/>
      <c r="F37" s="685"/>
      <c r="G37" s="685"/>
      <c r="H37" s="685"/>
      <c r="I37" s="10"/>
      <c r="J37" s="10"/>
      <c r="K37" s="9"/>
      <c r="L37" s="9"/>
      <c r="M37" s="9"/>
      <c r="N37" s="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 spans="1:31" s="11" customFormat="1" x14ac:dyDescent="0.2">
      <c r="A38" s="10"/>
      <c r="B38" s="10"/>
      <c r="C38" s="10"/>
      <c r="D38" s="10"/>
      <c r="E38" s="10"/>
      <c r="F38" s="685"/>
      <c r="G38" s="685"/>
      <c r="H38" s="685"/>
      <c r="I38" s="10"/>
      <c r="J38" s="10"/>
      <c r="K38" s="9"/>
      <c r="L38" s="9"/>
      <c r="M38" s="9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s="11" customFormat="1" x14ac:dyDescent="0.2">
      <c r="A39" s="10"/>
      <c r="B39" s="10"/>
      <c r="C39" s="10"/>
      <c r="D39" s="10"/>
      <c r="E39" s="10"/>
      <c r="F39" s="685"/>
      <c r="G39" s="685"/>
      <c r="H39" s="685"/>
      <c r="I39" s="10"/>
      <c r="J39" s="10"/>
      <c r="K39" s="9"/>
      <c r="L39" s="9"/>
      <c r="M39" s="9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s="11" customFormat="1" x14ac:dyDescent="0.2">
      <c r="F40" s="686"/>
      <c r="G40" s="686"/>
      <c r="H40" s="686"/>
      <c r="K40" s="687"/>
      <c r="L40" s="687"/>
      <c r="M40" s="687"/>
      <c r="N40" s="687"/>
    </row>
    <row r="41" spans="1:31" s="11" customFormat="1" x14ac:dyDescent="0.2">
      <c r="F41" s="686"/>
      <c r="G41" s="686"/>
      <c r="H41" s="686"/>
      <c r="K41" s="687"/>
      <c r="L41" s="687"/>
      <c r="M41" s="687"/>
      <c r="N41" s="687"/>
    </row>
    <row r="42" spans="1:31" s="11" customFormat="1" x14ac:dyDescent="0.2">
      <c r="F42" s="686"/>
      <c r="G42" s="686"/>
      <c r="H42" s="686"/>
      <c r="K42" s="687"/>
      <c r="L42" s="687"/>
      <c r="M42" s="687"/>
      <c r="N42" s="687"/>
    </row>
    <row r="43" spans="1:31" s="11" customFormat="1" x14ac:dyDescent="0.2">
      <c r="F43" s="686"/>
      <c r="G43" s="686"/>
      <c r="H43" s="686"/>
      <c r="K43" s="687"/>
      <c r="L43" s="687"/>
      <c r="M43" s="687"/>
      <c r="N43" s="687"/>
    </row>
    <row r="44" spans="1:31" s="11" customFormat="1" x14ac:dyDescent="0.2">
      <c r="F44" s="686"/>
      <c r="G44" s="686"/>
      <c r="H44" s="686"/>
      <c r="K44" s="687"/>
      <c r="L44" s="687"/>
      <c r="M44" s="687"/>
      <c r="N44" s="687"/>
    </row>
    <row r="45" spans="1:31" s="11" customFormat="1" x14ac:dyDescent="0.2">
      <c r="F45" s="686"/>
      <c r="G45" s="686"/>
      <c r="H45" s="686"/>
      <c r="K45" s="687"/>
      <c r="L45" s="687"/>
      <c r="M45" s="687"/>
      <c r="N45" s="687"/>
    </row>
    <row r="46" spans="1:31" s="11" customFormat="1" x14ac:dyDescent="0.2">
      <c r="F46" s="686"/>
      <c r="G46" s="686"/>
      <c r="H46" s="686"/>
      <c r="K46" s="687"/>
      <c r="L46" s="687"/>
      <c r="M46" s="687"/>
      <c r="N46" s="687"/>
    </row>
    <row r="47" spans="1:31" s="11" customFormat="1" x14ac:dyDescent="0.2">
      <c r="F47" s="686"/>
      <c r="G47" s="686"/>
      <c r="H47" s="686"/>
      <c r="K47" s="687"/>
      <c r="L47" s="687"/>
      <c r="M47" s="687"/>
      <c r="N47" s="687"/>
    </row>
    <row r="48" spans="1:31" s="11" customFormat="1" x14ac:dyDescent="0.2">
      <c r="F48" s="686"/>
      <c r="G48" s="686"/>
      <c r="H48" s="686"/>
      <c r="K48" s="687"/>
      <c r="L48" s="687"/>
      <c r="M48" s="687"/>
      <c r="N48" s="687"/>
    </row>
    <row r="49" spans="1:31" s="11" customFormat="1" x14ac:dyDescent="0.2">
      <c r="F49" s="686"/>
      <c r="G49" s="686"/>
      <c r="H49" s="686"/>
      <c r="K49" s="687"/>
      <c r="L49" s="687"/>
      <c r="M49" s="687"/>
      <c r="N49" s="687"/>
    </row>
    <row r="50" spans="1:31" x14ac:dyDescent="0.2">
      <c r="A50" s="3"/>
      <c r="B50" s="3"/>
      <c r="C50" s="3"/>
      <c r="D50" s="3"/>
      <c r="E50" s="3"/>
      <c r="F50" s="4"/>
      <c r="G50" s="615"/>
      <c r="H50" s="685"/>
      <c r="I50" s="3"/>
      <c r="J50" s="3"/>
      <c r="K50" s="2"/>
      <c r="L50" s="2"/>
      <c r="M50" s="2"/>
      <c r="N50" s="2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spans="1:31" x14ac:dyDescent="0.2">
      <c r="A51" s="3"/>
      <c r="B51" s="3"/>
      <c r="C51" s="3"/>
      <c r="D51" s="3"/>
      <c r="E51" s="3"/>
      <c r="F51" s="4"/>
      <c r="G51" s="615"/>
      <c r="H51" s="685"/>
      <c r="I51" s="3"/>
      <c r="J51" s="3"/>
      <c r="K51" s="2"/>
      <c r="L51" s="2"/>
      <c r="M51" s="2"/>
      <c r="N51" s="2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31" x14ac:dyDescent="0.2">
      <c r="A52" s="3"/>
      <c r="B52" s="3"/>
      <c r="C52" s="3"/>
      <c r="D52" s="3"/>
      <c r="E52" s="3"/>
      <c r="F52" s="4"/>
      <c r="G52" s="615"/>
      <c r="H52" s="685"/>
      <c r="I52" s="3"/>
      <c r="J52" s="3"/>
      <c r="K52" s="2"/>
      <c r="L52" s="2"/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spans="1:31" x14ac:dyDescent="0.2">
      <c r="A53" s="3"/>
      <c r="B53" s="3"/>
      <c r="C53" s="3"/>
      <c r="D53" s="3"/>
      <c r="E53" s="3"/>
      <c r="F53" s="4"/>
      <c r="G53" s="615"/>
      <c r="H53" s="685"/>
      <c r="I53" s="3"/>
      <c r="J53" s="3"/>
      <c r="K53" s="2"/>
      <c r="L53" s="2"/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</sheetData>
  <protectedRanges>
    <protectedRange sqref="D10:D14" name="Nomina_2_1_2"/>
  </protectedRanges>
  <mergeCells count="48">
    <mergeCell ref="A2:AE2"/>
    <mergeCell ref="A3:AE3"/>
    <mergeCell ref="A7:A9"/>
    <mergeCell ref="B7:B9"/>
    <mergeCell ref="C7:C9"/>
    <mergeCell ref="D7:D9"/>
    <mergeCell ref="E7:E9"/>
    <mergeCell ref="F7:F9"/>
    <mergeCell ref="AE7:AE9"/>
    <mergeCell ref="G7:G9"/>
    <mergeCell ref="H7:H9"/>
    <mergeCell ref="I7:I9"/>
    <mergeCell ref="J7:O7"/>
    <mergeCell ref="R7:W7"/>
    <mergeCell ref="X7:X9"/>
    <mergeCell ref="AB7:AB9"/>
    <mergeCell ref="P8:P9"/>
    <mergeCell ref="V8:V9"/>
    <mergeCell ref="W8:W9"/>
    <mergeCell ref="Y7:Y9"/>
    <mergeCell ref="AA7:AA9"/>
    <mergeCell ref="Q8:Q9"/>
    <mergeCell ref="R8:R9"/>
    <mergeCell ref="S8:S9"/>
    <mergeCell ref="T8:T9"/>
    <mergeCell ref="U8:U9"/>
    <mergeCell ref="Z7:Z9"/>
    <mergeCell ref="K8:K9"/>
    <mergeCell ref="L8:L9"/>
    <mergeCell ref="M8:M9"/>
    <mergeCell ref="N8:N9"/>
    <mergeCell ref="O8:O9"/>
    <mergeCell ref="A4:AC4"/>
    <mergeCell ref="C33:D33"/>
    <mergeCell ref="O33:U33"/>
    <mergeCell ref="AB30:AE30"/>
    <mergeCell ref="C31:F31"/>
    <mergeCell ref="K31:W31"/>
    <mergeCell ref="AB31:AE31"/>
    <mergeCell ref="C32:F32"/>
    <mergeCell ref="K32:W32"/>
    <mergeCell ref="AB32:AE32"/>
    <mergeCell ref="AC7:AC9"/>
    <mergeCell ref="AD7:AD9"/>
    <mergeCell ref="A15:D15"/>
    <mergeCell ref="C30:F30"/>
    <mergeCell ref="K30:W30"/>
    <mergeCell ref="J8:J9"/>
  </mergeCells>
  <printOptions horizontalCentered="1" verticalCentered="1"/>
  <pageMargins left="0" right="0" top="0" bottom="0" header="0" footer="0"/>
  <pageSetup scale="60" fitToWidth="0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4FF1-8E0B-4D2B-84B7-8B54278E93DE}">
  <sheetPr transitionEvaluation="1">
    <tabColor theme="3" tint="0.39997558519241921"/>
    <pageSetUpPr fitToPage="1"/>
  </sheetPr>
  <dimension ref="A1:AM78"/>
  <sheetViews>
    <sheetView showGridLines="0" topLeftCell="A4" zoomScale="90" zoomScaleNormal="90" zoomScaleSheetLayoutView="70" workbookViewId="0">
      <selection activeCell="I11" sqref="I11"/>
    </sheetView>
  </sheetViews>
  <sheetFormatPr baseColWidth="10" defaultColWidth="9.85546875" defaultRowHeight="14.4" x14ac:dyDescent="0.2"/>
  <cols>
    <col min="1" max="1" width="5.140625" style="1" customWidth="1"/>
    <col min="2" max="2" width="5" style="1" customWidth="1"/>
    <col min="3" max="3" width="7" style="1" customWidth="1"/>
    <col min="4" max="4" width="28.28515625" style="1" customWidth="1"/>
    <col min="5" max="5" width="5.28515625" style="1" customWidth="1"/>
    <col min="6" max="6" width="7.42578125" style="5" customWidth="1"/>
    <col min="7" max="7" width="17.7109375" style="575" customWidth="1"/>
    <col min="8" max="8" width="21.140625" style="1" customWidth="1"/>
    <col min="9" max="9" width="20" style="1" customWidth="1"/>
    <col min="10" max="10" width="16.7109375" style="6" customWidth="1"/>
    <col min="11" max="11" width="10.7109375" style="6" customWidth="1"/>
    <col min="12" max="12" width="18.140625" style="6" customWidth="1"/>
    <col min="13" max="13" width="11.7109375" style="6" customWidth="1"/>
    <col min="14" max="14" width="19.42578125" style="1" customWidth="1"/>
    <col min="15" max="16" width="18" style="1" customWidth="1"/>
    <col min="17" max="17" width="20" style="1" customWidth="1"/>
    <col min="18" max="18" width="13" style="1" hidden="1" customWidth="1"/>
    <col min="19" max="19" width="16.42578125" style="1" customWidth="1"/>
    <col min="20" max="20" width="9.85546875" style="1" hidden="1" customWidth="1"/>
    <col min="21" max="21" width="9.42578125" style="619" hidden="1" customWidth="1"/>
    <col min="22" max="22" width="16.42578125" style="1" customWidth="1"/>
    <col min="23" max="23" width="20.42578125" style="1" customWidth="1"/>
    <col min="24" max="24" width="19.140625" style="1" hidden="1" customWidth="1"/>
    <col min="25" max="25" width="19.7109375" style="1" customWidth="1"/>
    <col min="26" max="27" width="19.85546875" style="1" hidden="1" customWidth="1"/>
    <col min="28" max="28" width="19.85546875" style="1" customWidth="1"/>
    <col min="29" max="29" width="19" style="1" hidden="1" customWidth="1"/>
    <col min="30" max="30" width="25.28515625" style="1" hidden="1" customWidth="1"/>
    <col min="31" max="31" width="25.28515625" style="1" customWidth="1"/>
    <col min="32" max="32" width="14" style="1" hidden="1" customWidth="1"/>
    <col min="33" max="33" width="20" style="1" hidden="1" customWidth="1"/>
    <col min="34" max="34" width="19.7109375" style="1" hidden="1" customWidth="1"/>
    <col min="35" max="35" width="14.42578125" style="1" hidden="1" customWidth="1"/>
    <col min="36" max="36" width="12.42578125" style="1" hidden="1" customWidth="1"/>
    <col min="37" max="37" width="16.140625" style="1" hidden="1" customWidth="1"/>
    <col min="38" max="38" width="17.85546875" style="1" hidden="1" customWidth="1"/>
    <col min="39" max="40" width="1.85546875" style="1" customWidth="1"/>
    <col min="41" max="41" width="13.85546875" style="1" customWidth="1"/>
    <col min="42" max="42" width="6.85546875" style="1" customWidth="1"/>
    <col min="43" max="43" width="5.85546875" style="1" customWidth="1"/>
    <col min="44" max="44" width="7.85546875" style="1" customWidth="1"/>
    <col min="45" max="45" width="1.85546875" style="1" customWidth="1"/>
    <col min="46" max="46" width="38.85546875" style="1" customWidth="1"/>
    <col min="47" max="47" width="3.85546875" style="1" customWidth="1"/>
    <col min="48" max="48" width="8.85546875" style="1" customWidth="1"/>
    <col min="49" max="49" width="1.85546875" style="1" customWidth="1"/>
    <col min="50" max="16384" width="9.85546875" style="1"/>
  </cols>
  <sheetData>
    <row r="1" spans="1:39" ht="0.6" customHeight="1" x14ac:dyDescent="0.2"/>
    <row r="2" spans="1:39" s="15" customFormat="1" ht="17.25" customHeight="1" x14ac:dyDescent="0.2">
      <c r="A2" s="930" t="s">
        <v>97</v>
      </c>
      <c r="B2" s="930"/>
      <c r="C2" s="930"/>
      <c r="D2" s="930"/>
      <c r="E2" s="930"/>
      <c r="F2" s="930"/>
      <c r="G2" s="930"/>
      <c r="H2" s="930"/>
      <c r="I2" s="910"/>
      <c r="J2" s="910"/>
      <c r="K2" s="910"/>
      <c r="L2" s="910"/>
      <c r="M2" s="910"/>
      <c r="N2" s="910"/>
      <c r="O2" s="910"/>
      <c r="P2" s="910"/>
      <c r="Q2" s="933"/>
      <c r="R2" s="930"/>
      <c r="S2" s="930"/>
      <c r="T2" s="930"/>
      <c r="U2" s="930"/>
      <c r="V2" s="930"/>
      <c r="W2" s="930"/>
      <c r="X2" s="930"/>
      <c r="Y2" s="930"/>
      <c r="Z2" s="930"/>
      <c r="AA2" s="930"/>
      <c r="AB2" s="930"/>
      <c r="AC2" s="930"/>
      <c r="AD2" s="930"/>
      <c r="AE2" s="930"/>
      <c r="AF2" s="930"/>
      <c r="AG2" s="930"/>
      <c r="AH2" s="931" t="s">
        <v>508</v>
      </c>
      <c r="AI2" s="931"/>
      <c r="AJ2" s="931"/>
      <c r="AK2" s="931"/>
      <c r="AL2" s="931"/>
    </row>
    <row r="3" spans="1:39" s="15" customFormat="1" ht="17.25" customHeight="1" x14ac:dyDescent="0.2">
      <c r="A3" s="930" t="s">
        <v>221</v>
      </c>
      <c r="B3" s="930"/>
      <c r="C3" s="930"/>
      <c r="D3" s="930"/>
      <c r="E3" s="930"/>
      <c r="F3" s="930"/>
      <c r="G3" s="930"/>
      <c r="H3" s="930"/>
      <c r="I3" s="910"/>
      <c r="J3" s="910"/>
      <c r="K3" s="910"/>
      <c r="L3" s="910"/>
      <c r="M3" s="910"/>
      <c r="N3" s="910"/>
      <c r="O3" s="910"/>
      <c r="P3" s="910"/>
      <c r="Q3" s="933"/>
      <c r="R3" s="930"/>
      <c r="S3" s="930"/>
      <c r="T3" s="930"/>
      <c r="U3" s="930"/>
      <c r="V3" s="930"/>
      <c r="W3" s="930"/>
      <c r="X3" s="930"/>
      <c r="Y3" s="930"/>
      <c r="Z3" s="930"/>
      <c r="AA3" s="930"/>
      <c r="AB3" s="930"/>
      <c r="AC3" s="930"/>
      <c r="AD3" s="930"/>
      <c r="AE3" s="930"/>
      <c r="AF3" s="930"/>
      <c r="AG3" s="930"/>
      <c r="AH3" s="931"/>
      <c r="AI3" s="931"/>
      <c r="AJ3" s="931"/>
      <c r="AK3" s="931"/>
      <c r="AL3" s="931"/>
    </row>
    <row r="4" spans="1:39" s="909" customFormat="1" ht="17.25" customHeight="1" x14ac:dyDescent="0.35">
      <c r="A4" s="932" t="str">
        <f>+ADMON!A5</f>
        <v>QUINCENA DEL 16  AL 30  DE ABRIL - 2026</v>
      </c>
      <c r="B4" s="932"/>
      <c r="C4" s="932"/>
      <c r="D4" s="932"/>
      <c r="E4" s="932"/>
      <c r="F4" s="932"/>
      <c r="G4" s="932"/>
      <c r="H4" s="932"/>
      <c r="I4" s="910"/>
      <c r="J4" s="910"/>
      <c r="K4" s="910"/>
      <c r="L4" s="910"/>
      <c r="M4" s="910"/>
      <c r="N4" s="910"/>
      <c r="O4" s="910"/>
      <c r="P4" s="910"/>
      <c r="Q4" s="933"/>
      <c r="R4" s="932"/>
      <c r="S4" s="932"/>
      <c r="T4" s="932"/>
      <c r="U4" s="932"/>
      <c r="V4" s="932"/>
      <c r="W4" s="932"/>
      <c r="X4" s="932"/>
      <c r="Y4" s="932"/>
      <c r="Z4" s="932"/>
      <c r="AA4" s="932"/>
      <c r="AB4" s="932"/>
      <c r="AC4" s="932"/>
      <c r="AD4" s="932"/>
      <c r="AE4" s="932"/>
      <c r="AF4" s="932"/>
      <c r="AG4" s="932"/>
      <c r="AH4" s="932"/>
      <c r="AI4" s="932"/>
      <c r="AJ4" s="932"/>
      <c r="AK4" s="932"/>
      <c r="AL4" s="932"/>
    </row>
    <row r="5" spans="1:39" s="908" customFormat="1" ht="17.25" customHeight="1" x14ac:dyDescent="0.35">
      <c r="A5" s="932"/>
      <c r="B5" s="932"/>
      <c r="C5" s="932"/>
      <c r="D5" s="932"/>
      <c r="E5" s="932"/>
      <c r="F5" s="932"/>
      <c r="G5" s="932"/>
      <c r="H5" s="932"/>
      <c r="I5" s="910"/>
      <c r="J5" s="910"/>
      <c r="K5" s="910"/>
      <c r="L5" s="910"/>
      <c r="M5" s="910"/>
      <c r="N5" s="910"/>
      <c r="O5" s="910"/>
      <c r="P5" s="910"/>
      <c r="Q5" s="933"/>
      <c r="R5" s="932"/>
      <c r="S5" s="932"/>
      <c r="T5" s="932"/>
      <c r="U5" s="932"/>
      <c r="V5" s="932"/>
      <c r="W5" s="932"/>
      <c r="X5" s="932"/>
      <c r="Y5" s="932"/>
      <c r="Z5" s="932"/>
      <c r="AA5" s="932"/>
      <c r="AB5" s="932"/>
      <c r="AC5" s="932"/>
      <c r="AD5" s="932"/>
      <c r="AE5" s="932"/>
      <c r="AF5" s="932"/>
      <c r="AG5" s="932"/>
      <c r="AH5" s="931"/>
      <c r="AI5" s="931"/>
      <c r="AJ5" s="931"/>
      <c r="AK5" s="931"/>
      <c r="AL5" s="931"/>
    </row>
    <row r="6" spans="1:39" s="15" customFormat="1" ht="17.25" customHeight="1" x14ac:dyDescent="0.35">
      <c r="A6" s="932"/>
      <c r="B6" s="932"/>
      <c r="C6" s="932"/>
      <c r="D6" s="932"/>
      <c r="E6" s="932"/>
      <c r="F6" s="932"/>
      <c r="G6" s="932"/>
      <c r="H6" s="932"/>
      <c r="I6" s="933"/>
      <c r="J6" s="933"/>
      <c r="K6" s="933"/>
      <c r="L6" s="933"/>
      <c r="M6" s="933"/>
      <c r="N6" s="933"/>
      <c r="O6" s="933"/>
      <c r="P6" s="933"/>
      <c r="Q6" s="933"/>
      <c r="R6" s="932"/>
      <c r="S6" s="932"/>
      <c r="T6" s="932"/>
      <c r="U6" s="932"/>
      <c r="V6" s="932"/>
      <c r="W6" s="932"/>
      <c r="X6" s="932"/>
      <c r="Y6" s="932"/>
      <c r="Z6" s="932"/>
      <c r="AA6" s="932"/>
      <c r="AB6" s="932"/>
      <c r="AC6" s="932"/>
      <c r="AD6" s="932"/>
      <c r="AE6" s="932"/>
      <c r="AF6" s="932"/>
      <c r="AG6" s="932"/>
      <c r="AH6" s="931"/>
      <c r="AI6" s="931"/>
      <c r="AJ6" s="931"/>
      <c r="AK6" s="931"/>
      <c r="AL6" s="931"/>
    </row>
    <row r="7" spans="1:39" s="15" customFormat="1" ht="34.950000000000003" customHeight="1" thickBot="1" x14ac:dyDescent="0.45">
      <c r="A7" s="547"/>
      <c r="B7" s="548"/>
      <c r="C7" s="547"/>
      <c r="D7" s="547"/>
      <c r="E7" s="547"/>
      <c r="F7" s="547"/>
      <c r="G7" s="547"/>
      <c r="H7" s="547"/>
      <c r="I7" s="866"/>
      <c r="J7" s="866"/>
      <c r="K7" s="866"/>
      <c r="L7" s="866"/>
      <c r="M7" s="866"/>
      <c r="N7" s="866"/>
      <c r="O7" s="866"/>
      <c r="P7" s="866"/>
      <c r="Q7" s="547"/>
      <c r="R7" s="547"/>
      <c r="S7" s="547"/>
      <c r="T7" s="547"/>
      <c r="U7" s="668"/>
      <c r="V7" s="547"/>
      <c r="W7" s="547"/>
      <c r="X7" s="547"/>
      <c r="Y7" s="547"/>
      <c r="Z7" s="547"/>
      <c r="AA7" s="547"/>
      <c r="AB7" s="547"/>
      <c r="AC7" s="547"/>
      <c r="AD7" s="547"/>
      <c r="AE7" s="549"/>
      <c r="AF7" s="549"/>
      <c r="AG7" s="549"/>
      <c r="AH7" s="26"/>
      <c r="AI7" s="26"/>
      <c r="AJ7" s="26"/>
      <c r="AK7" s="26"/>
      <c r="AL7" s="26"/>
    </row>
    <row r="8" spans="1:39" s="11" customFormat="1" ht="25.5" customHeight="1" thickTop="1" thickBot="1" x14ac:dyDescent="0.25">
      <c r="A8" s="1143" t="s">
        <v>2</v>
      </c>
      <c r="B8" s="1143" t="s">
        <v>3</v>
      </c>
      <c r="C8" s="1179" t="s">
        <v>4</v>
      </c>
      <c r="D8" s="1143" t="s">
        <v>6</v>
      </c>
      <c r="E8" s="1371" t="s">
        <v>187</v>
      </c>
      <c r="F8" s="1374" t="s">
        <v>7</v>
      </c>
      <c r="G8" s="1386" t="s">
        <v>82</v>
      </c>
      <c r="H8" s="1143" t="s">
        <v>8</v>
      </c>
      <c r="I8" s="1151" t="s">
        <v>9</v>
      </c>
      <c r="J8" s="1151"/>
      <c r="K8" s="1151"/>
      <c r="L8" s="1151"/>
      <c r="M8" s="1151"/>
      <c r="N8" s="1151"/>
      <c r="O8" s="351"/>
      <c r="P8" s="351"/>
      <c r="Q8" s="1143" t="s">
        <v>10</v>
      </c>
      <c r="R8" s="1143"/>
      <c r="S8" s="1143"/>
      <c r="T8" s="1143"/>
      <c r="U8" s="1143"/>
      <c r="V8" s="1143"/>
      <c r="W8" s="1335" t="s">
        <v>29</v>
      </c>
      <c r="X8" s="762"/>
      <c r="Y8" s="762"/>
      <c r="Z8" s="1157" t="s">
        <v>114</v>
      </c>
      <c r="AA8" s="944"/>
      <c r="AB8" s="1377" t="s">
        <v>73</v>
      </c>
      <c r="AC8" s="1170" t="s">
        <v>99</v>
      </c>
      <c r="AD8" s="1143" t="s">
        <v>11</v>
      </c>
      <c r="AE8" s="1173" t="s">
        <v>12</v>
      </c>
      <c r="AF8" s="1143"/>
      <c r="AG8" s="1143"/>
      <c r="AH8" s="1143" t="s">
        <v>13</v>
      </c>
      <c r="AI8" s="1143" t="s">
        <v>199</v>
      </c>
      <c r="AJ8" s="1143" t="s">
        <v>53</v>
      </c>
      <c r="AK8" s="1143" t="s">
        <v>14</v>
      </c>
      <c r="AL8" s="1143" t="s">
        <v>15</v>
      </c>
    </row>
    <row r="9" spans="1:39" s="13" customFormat="1" ht="24" customHeight="1" thickTop="1" thickBot="1" x14ac:dyDescent="0.25">
      <c r="A9" s="1143"/>
      <c r="B9" s="1143"/>
      <c r="C9" s="1180"/>
      <c r="D9" s="1143"/>
      <c r="E9" s="1372"/>
      <c r="F9" s="1374"/>
      <c r="G9" s="1386"/>
      <c r="H9" s="1143"/>
      <c r="I9" s="1143" t="s">
        <v>177</v>
      </c>
      <c r="J9" s="1155" t="s">
        <v>16</v>
      </c>
      <c r="K9" s="1168" t="s">
        <v>196</v>
      </c>
      <c r="L9" s="1168" t="s">
        <v>197</v>
      </c>
      <c r="M9" s="1333" t="s">
        <v>195</v>
      </c>
      <c r="N9" s="1143" t="s">
        <v>200</v>
      </c>
      <c r="O9" s="1335" t="s">
        <v>199</v>
      </c>
      <c r="P9" s="1335" t="s">
        <v>53</v>
      </c>
      <c r="Q9" s="1143" t="s">
        <v>29</v>
      </c>
      <c r="R9" s="1170"/>
      <c r="S9" s="1335" t="s">
        <v>3</v>
      </c>
      <c r="T9" s="1143" t="s">
        <v>19</v>
      </c>
      <c r="U9" s="1157" t="s">
        <v>94</v>
      </c>
      <c r="V9" s="1143" t="s">
        <v>20</v>
      </c>
      <c r="W9" s="1337"/>
      <c r="X9" s="763" t="s">
        <v>31</v>
      </c>
      <c r="Y9" s="763" t="s">
        <v>388</v>
      </c>
      <c r="Z9" s="1157"/>
      <c r="AA9" s="944" t="s">
        <v>29</v>
      </c>
      <c r="AB9" s="1378"/>
      <c r="AC9" s="1171"/>
      <c r="AD9" s="1143"/>
      <c r="AE9" s="1173"/>
      <c r="AF9" s="1143"/>
      <c r="AG9" s="1143"/>
      <c r="AH9" s="1143"/>
      <c r="AI9" s="1143"/>
      <c r="AJ9" s="1143"/>
      <c r="AK9" s="1143"/>
      <c r="AL9" s="1143"/>
      <c r="AM9" s="12"/>
    </row>
    <row r="10" spans="1:39" s="13" customFormat="1" ht="28.5" customHeight="1" thickTop="1" thickBot="1" x14ac:dyDescent="0.25">
      <c r="A10" s="1143"/>
      <c r="B10" s="1143"/>
      <c r="C10" s="1181"/>
      <c r="D10" s="1143"/>
      <c r="E10" s="1373"/>
      <c r="F10" s="1374"/>
      <c r="G10" s="1386"/>
      <c r="H10" s="1143"/>
      <c r="I10" s="1143"/>
      <c r="J10" s="1155"/>
      <c r="K10" s="1169"/>
      <c r="L10" s="1169"/>
      <c r="M10" s="1334"/>
      <c r="N10" s="1143"/>
      <c r="O10" s="1336"/>
      <c r="P10" s="1336"/>
      <c r="Q10" s="1143"/>
      <c r="R10" s="1172"/>
      <c r="S10" s="1336"/>
      <c r="T10" s="1143"/>
      <c r="U10" s="1157"/>
      <c r="V10" s="1143"/>
      <c r="W10" s="1336"/>
      <c r="X10" s="764"/>
      <c r="Y10" s="764"/>
      <c r="Z10" s="1157"/>
      <c r="AA10" s="944"/>
      <c r="AB10" s="1379"/>
      <c r="AC10" s="1172"/>
      <c r="AD10" s="1143"/>
      <c r="AE10" s="1173"/>
      <c r="AF10" s="1143"/>
      <c r="AG10" s="1143"/>
      <c r="AH10" s="1143"/>
      <c r="AI10" s="1143"/>
      <c r="AJ10" s="1143"/>
      <c r="AK10" s="1143"/>
      <c r="AL10" s="1143"/>
    </row>
    <row r="11" spans="1:39" s="326" customFormat="1" ht="94.5" customHeight="1" thickTop="1" thickBot="1" x14ac:dyDescent="0.25">
      <c r="A11" s="319">
        <v>1</v>
      </c>
      <c r="B11" s="354">
        <v>23724864</v>
      </c>
      <c r="C11" s="358" t="s">
        <v>473</v>
      </c>
      <c r="D11" s="356" t="s">
        <v>400</v>
      </c>
      <c r="E11" s="211" t="s">
        <v>32</v>
      </c>
      <c r="F11" s="353" t="s">
        <v>394</v>
      </c>
      <c r="G11" s="567">
        <v>400</v>
      </c>
      <c r="H11" s="321">
        <v>12000</v>
      </c>
      <c r="I11" s="321">
        <f>(H11/30)*J11</f>
        <v>0</v>
      </c>
      <c r="J11" s="1063">
        <v>0</v>
      </c>
      <c r="K11" s="322">
        <f>+L11*M11</f>
        <v>0</v>
      </c>
      <c r="L11" s="323">
        <f>G11*60%</f>
        <v>240</v>
      </c>
      <c r="M11" s="322">
        <v>0</v>
      </c>
      <c r="N11" s="324">
        <f>+I11-O11-P11</f>
        <v>0</v>
      </c>
      <c r="O11" s="324">
        <f>+I11/12</f>
        <v>0</v>
      </c>
      <c r="P11" s="324">
        <f>+O11</f>
        <v>0</v>
      </c>
      <c r="Q11" s="321">
        <f>+P11+N11+O11</f>
        <v>0</v>
      </c>
      <c r="R11" s="359">
        <f>N11+O11</f>
        <v>0</v>
      </c>
      <c r="S11" s="321">
        <f>+R11*5%</f>
        <v>0</v>
      </c>
      <c r="T11" s="321"/>
      <c r="U11" s="359"/>
      <c r="V11" s="324">
        <f>S11</f>
        <v>0</v>
      </c>
      <c r="W11" s="630">
        <f>-V11+N11+O11+P11</f>
        <v>0</v>
      </c>
      <c r="X11" s="630"/>
      <c r="Y11" s="630">
        <f>W11</f>
        <v>0</v>
      </c>
      <c r="Z11" s="355">
        <v>0</v>
      </c>
      <c r="AA11" s="355">
        <v>0</v>
      </c>
      <c r="AB11" s="355">
        <f>+Y11-Z11</f>
        <v>0</v>
      </c>
      <c r="AC11" s="355">
        <v>195</v>
      </c>
      <c r="AD11" s="630">
        <f>W11-Z11-AC11</f>
        <v>-195</v>
      </c>
      <c r="AE11" s="325"/>
      <c r="AF11" s="325">
        <v>0.155</v>
      </c>
      <c r="AG11" s="325">
        <f>+Q11-P11</f>
        <v>0</v>
      </c>
      <c r="AH11" s="321">
        <f>AF11*Q11</f>
        <v>0</v>
      </c>
      <c r="AI11" s="321"/>
      <c r="AJ11" s="321">
        <v>0</v>
      </c>
      <c r="AK11" s="321">
        <f>0.02*AD11</f>
        <v>-3.9</v>
      </c>
      <c r="AL11" s="321">
        <f>AD11+AH11+AK11</f>
        <v>-198.9</v>
      </c>
    </row>
    <row r="12" spans="1:39" s="326" customFormat="1" ht="95.4" customHeight="1" thickTop="1" thickBot="1" x14ac:dyDescent="0.25">
      <c r="A12" s="319">
        <v>2</v>
      </c>
      <c r="B12" s="354">
        <v>12762134</v>
      </c>
      <c r="C12" s="358"/>
      <c r="D12" s="356" t="s">
        <v>474</v>
      </c>
      <c r="E12" s="211" t="s">
        <v>32</v>
      </c>
      <c r="F12" s="353" t="s">
        <v>335</v>
      </c>
      <c r="G12" s="567">
        <v>241</v>
      </c>
      <c r="H12" s="321">
        <v>6960</v>
      </c>
      <c r="I12" s="321">
        <f>(H12/30)*J12</f>
        <v>0</v>
      </c>
      <c r="J12" s="1063">
        <v>0</v>
      </c>
      <c r="K12" s="322">
        <f>+L12*M12</f>
        <v>0</v>
      </c>
      <c r="L12" s="323">
        <f>G12*60%</f>
        <v>144.6</v>
      </c>
      <c r="M12" s="322">
        <v>0</v>
      </c>
      <c r="N12" s="324">
        <f>+I12-O12-P12</f>
        <v>0</v>
      </c>
      <c r="O12" s="324">
        <f>I12/12</f>
        <v>0</v>
      </c>
      <c r="P12" s="324">
        <f>O12</f>
        <v>0</v>
      </c>
      <c r="Q12" s="321">
        <f>+P12+N12+O12</f>
        <v>0</v>
      </c>
      <c r="R12" s="359">
        <f>N12+O12</f>
        <v>0</v>
      </c>
      <c r="S12" s="321">
        <f>+R12*5%</f>
        <v>0</v>
      </c>
      <c r="T12" s="321"/>
      <c r="U12" s="359"/>
      <c r="V12" s="324">
        <f>S12</f>
        <v>0</v>
      </c>
      <c r="W12" s="630">
        <f>-V12+N12+O12+P12</f>
        <v>0</v>
      </c>
      <c r="X12" s="630">
        <v>0</v>
      </c>
      <c r="Y12" s="630">
        <f>W12+X12</f>
        <v>0</v>
      </c>
      <c r="Z12" s="355">
        <v>0</v>
      </c>
      <c r="AA12" s="355">
        <v>0</v>
      </c>
      <c r="AB12" s="355">
        <f>+Y12-Z12</f>
        <v>0</v>
      </c>
      <c r="AC12" s="355">
        <v>0</v>
      </c>
      <c r="AD12" s="630">
        <f>+Y12-Z12-AC12</f>
        <v>0</v>
      </c>
      <c r="AE12" s="325"/>
      <c r="AF12" s="325">
        <v>0.155</v>
      </c>
      <c r="AG12" s="325">
        <f>+Q12-P12</f>
        <v>0</v>
      </c>
      <c r="AH12" s="321">
        <f>AF12*Q12</f>
        <v>0</v>
      </c>
      <c r="AI12" s="321"/>
      <c r="AJ12" s="321">
        <v>0</v>
      </c>
      <c r="AK12" s="321">
        <f>0.02*AD12</f>
        <v>0</v>
      </c>
      <c r="AL12" s="321">
        <f>AD12+AH12+AK12</f>
        <v>0</v>
      </c>
    </row>
    <row r="13" spans="1:39" s="326" customFormat="1" ht="45" hidden="1" customHeight="1" thickTop="1" thickBot="1" x14ac:dyDescent="0.25">
      <c r="A13" s="319">
        <v>3</v>
      </c>
      <c r="B13" s="354">
        <v>12762134</v>
      </c>
      <c r="C13" s="358"/>
      <c r="D13" s="356" t="s">
        <v>391</v>
      </c>
      <c r="E13" s="211" t="s">
        <v>32</v>
      </c>
      <c r="F13" s="353" t="s">
        <v>394</v>
      </c>
      <c r="G13" s="567">
        <v>350</v>
      </c>
      <c r="H13" s="321">
        <v>10500</v>
      </c>
      <c r="I13" s="321">
        <f>(H13/30)*J13</f>
        <v>0</v>
      </c>
      <c r="J13" s="677">
        <v>0</v>
      </c>
      <c r="K13" s="322">
        <f>+L13*M13</f>
        <v>0</v>
      </c>
      <c r="L13" s="323">
        <f>G13*60%</f>
        <v>210</v>
      </c>
      <c r="M13" s="322">
        <v>0</v>
      </c>
      <c r="N13" s="324">
        <f>+I13-O13-P13</f>
        <v>0</v>
      </c>
      <c r="O13" s="324">
        <f>+I13/12</f>
        <v>0</v>
      </c>
      <c r="P13" s="324">
        <f>+O13</f>
        <v>0</v>
      </c>
      <c r="Q13" s="321">
        <f>+P13+N13+O13</f>
        <v>0</v>
      </c>
      <c r="R13" s="359">
        <f>N13+O13</f>
        <v>0</v>
      </c>
      <c r="S13" s="321">
        <f>+R13*5%</f>
        <v>0</v>
      </c>
      <c r="T13" s="321"/>
      <c r="U13" s="359"/>
      <c r="V13" s="324">
        <f>S13</f>
        <v>0</v>
      </c>
      <c r="W13" s="630">
        <f>-V13+N13+O13+P13</f>
        <v>0</v>
      </c>
      <c r="X13" s="630">
        <v>750</v>
      </c>
      <c r="Y13" s="630">
        <f t="shared" ref="Y13:Y15" si="0">W13</f>
        <v>0</v>
      </c>
      <c r="Z13" s="324">
        <v>0</v>
      </c>
      <c r="AA13" s="324"/>
      <c r="AB13" s="324"/>
      <c r="AC13" s="324">
        <v>0</v>
      </c>
      <c r="AD13" s="630">
        <f>W13-Z13-AC13</f>
        <v>0</v>
      </c>
      <c r="AE13" s="325"/>
      <c r="AF13" s="325">
        <v>0.155</v>
      </c>
      <c r="AG13" s="325">
        <f>+Q13-P13</f>
        <v>0</v>
      </c>
      <c r="AH13" s="321">
        <f>AF13*Q13</f>
        <v>0</v>
      </c>
      <c r="AI13" s="321"/>
      <c r="AJ13" s="321">
        <v>0</v>
      </c>
      <c r="AK13" s="321">
        <f>0.02*AD13</f>
        <v>0</v>
      </c>
      <c r="AL13" s="321">
        <f>AD13+AH13+AK13</f>
        <v>0</v>
      </c>
    </row>
    <row r="14" spans="1:39" s="326" customFormat="1" ht="45" hidden="1" customHeight="1" thickTop="1" thickBot="1" x14ac:dyDescent="0.25">
      <c r="A14" s="319">
        <v>4</v>
      </c>
      <c r="B14" s="354">
        <v>0</v>
      </c>
      <c r="C14" s="358"/>
      <c r="D14" s="356" t="s">
        <v>398</v>
      </c>
      <c r="E14" s="211" t="s">
        <v>188</v>
      </c>
      <c r="F14" s="353" t="s">
        <v>396</v>
      </c>
      <c r="G14" s="567">
        <v>350</v>
      </c>
      <c r="H14" s="321">
        <v>10500</v>
      </c>
      <c r="I14" s="321">
        <f>(H14/30)*J14</f>
        <v>0</v>
      </c>
      <c r="J14" s="677">
        <v>0</v>
      </c>
      <c r="K14" s="322">
        <f>+L14*M14</f>
        <v>0</v>
      </c>
      <c r="L14" s="323">
        <f>G14*60%</f>
        <v>210</v>
      </c>
      <c r="M14" s="322">
        <v>0</v>
      </c>
      <c r="N14" s="324">
        <f>+I14-O14-P14</f>
        <v>0</v>
      </c>
      <c r="O14" s="324">
        <f>+I14/12</f>
        <v>0</v>
      </c>
      <c r="P14" s="324">
        <f>+O14</f>
        <v>0</v>
      </c>
      <c r="Q14" s="321">
        <f>+P14+N14+O14</f>
        <v>0</v>
      </c>
      <c r="R14" s="359">
        <f>N14+O14</f>
        <v>0</v>
      </c>
      <c r="S14" s="321">
        <f>+R14*5%</f>
        <v>0</v>
      </c>
      <c r="T14" s="321"/>
      <c r="U14" s="359"/>
      <c r="V14" s="324">
        <f>S14</f>
        <v>0</v>
      </c>
      <c r="W14" s="630">
        <f>-V14+N14+O14+P14</f>
        <v>0</v>
      </c>
      <c r="X14" s="630">
        <v>750</v>
      </c>
      <c r="Y14" s="630">
        <f t="shared" si="0"/>
        <v>0</v>
      </c>
      <c r="Z14" s="324">
        <v>0</v>
      </c>
      <c r="AA14" s="324"/>
      <c r="AB14" s="324"/>
      <c r="AC14" s="324">
        <v>0</v>
      </c>
      <c r="AD14" s="630">
        <f>W14-Z14-AC14</f>
        <v>0</v>
      </c>
      <c r="AE14" s="325"/>
      <c r="AF14" s="325">
        <v>0.155</v>
      </c>
      <c r="AG14" s="325">
        <f>+Q14-P14</f>
        <v>0</v>
      </c>
      <c r="AH14" s="321">
        <f>AF14*Q14</f>
        <v>0</v>
      </c>
      <c r="AI14" s="321"/>
      <c r="AJ14" s="321">
        <v>0</v>
      </c>
      <c r="AK14" s="321">
        <f>0.02*AD14</f>
        <v>0</v>
      </c>
      <c r="AL14" s="321">
        <f>AD14+AH14+AK14</f>
        <v>0</v>
      </c>
    </row>
    <row r="15" spans="1:39" s="326" customFormat="1" ht="1.5" customHeight="1" thickTop="1" thickBot="1" x14ac:dyDescent="0.25">
      <c r="A15" s="737">
        <v>2</v>
      </c>
      <c r="B15" s="738">
        <v>23724864</v>
      </c>
      <c r="C15" s="739"/>
      <c r="D15" s="740">
        <v>0</v>
      </c>
      <c r="E15" s="741" t="s">
        <v>32</v>
      </c>
      <c r="F15" s="742" t="s">
        <v>335</v>
      </c>
      <c r="G15" s="567">
        <v>0</v>
      </c>
      <c r="H15" s="321">
        <v>6960</v>
      </c>
      <c r="I15" s="321">
        <v>0</v>
      </c>
      <c r="J15" s="677">
        <v>0</v>
      </c>
      <c r="K15" s="322">
        <f>+L15*M15</f>
        <v>0</v>
      </c>
      <c r="L15" s="323">
        <f>G15*60%</f>
        <v>0</v>
      </c>
      <c r="M15" s="322" t="s">
        <v>5</v>
      </c>
      <c r="N15" s="324">
        <f>+I15-O15-P15</f>
        <v>0</v>
      </c>
      <c r="O15" s="324">
        <f>+I15/12</f>
        <v>0</v>
      </c>
      <c r="P15" s="324">
        <f>+O15</f>
        <v>0</v>
      </c>
      <c r="Q15" s="321">
        <f>+P15+N15+O15</f>
        <v>0</v>
      </c>
      <c r="R15" s="359">
        <f>N15+O15</f>
        <v>0</v>
      </c>
      <c r="S15" s="321">
        <f>+R15*5%</f>
        <v>0</v>
      </c>
      <c r="T15" s="321"/>
      <c r="U15" s="359"/>
      <c r="V15" s="324">
        <f>S15</f>
        <v>0</v>
      </c>
      <c r="W15" s="630">
        <f>-V15+N15+O15+P15</f>
        <v>0</v>
      </c>
      <c r="X15" s="630">
        <v>750</v>
      </c>
      <c r="Y15" s="630">
        <f t="shared" si="0"/>
        <v>0</v>
      </c>
      <c r="Z15" s="355">
        <v>0</v>
      </c>
      <c r="AA15" s="355"/>
      <c r="AB15" s="355"/>
      <c r="AC15" s="324">
        <v>0</v>
      </c>
      <c r="AD15" s="630">
        <v>0</v>
      </c>
      <c r="AE15" s="325"/>
      <c r="AF15" s="325">
        <v>0.155</v>
      </c>
      <c r="AG15" s="325">
        <f>+Q15-P15</f>
        <v>0</v>
      </c>
      <c r="AH15" s="321">
        <f>AF15*Q15</f>
        <v>0</v>
      </c>
      <c r="AI15" s="321"/>
      <c r="AJ15" s="321">
        <v>0</v>
      </c>
      <c r="AK15" s="321">
        <f>0.02*AD15</f>
        <v>0</v>
      </c>
      <c r="AL15" s="321">
        <f>AD15+AH15+AK15</f>
        <v>0</v>
      </c>
    </row>
    <row r="16" spans="1:39" s="326" customFormat="1" ht="37.5" customHeight="1" thickTop="1" thickBot="1" x14ac:dyDescent="0.25">
      <c r="A16" s="1383" t="s">
        <v>365</v>
      </c>
      <c r="B16" s="1384"/>
      <c r="C16" s="1384"/>
      <c r="D16" s="1384"/>
      <c r="E16" s="1384"/>
      <c r="F16" s="1385"/>
      <c r="G16" s="743">
        <f>+G11+G12+G15</f>
        <v>641</v>
      </c>
      <c r="H16" s="744">
        <f>+H11+H12+H15</f>
        <v>25920</v>
      </c>
      <c r="I16" s="744">
        <f>SUM(I11:I15)</f>
        <v>0</v>
      </c>
      <c r="J16" s="744">
        <f t="shared" ref="J16:AL16" si="1">SUM(J11:J15)</f>
        <v>0</v>
      </c>
      <c r="K16" s="744">
        <f t="shared" si="1"/>
        <v>0</v>
      </c>
      <c r="L16" s="744">
        <f t="shared" si="1"/>
        <v>804.6</v>
      </c>
      <c r="M16" s="744">
        <f t="shared" si="1"/>
        <v>0</v>
      </c>
      <c r="N16" s="744">
        <f t="shared" si="1"/>
        <v>0</v>
      </c>
      <c r="O16" s="744">
        <f t="shared" si="1"/>
        <v>0</v>
      </c>
      <c r="P16" s="744">
        <f t="shared" si="1"/>
        <v>0</v>
      </c>
      <c r="Q16" s="744">
        <f t="shared" si="1"/>
        <v>0</v>
      </c>
      <c r="R16" s="744">
        <f t="shared" si="1"/>
        <v>0</v>
      </c>
      <c r="S16" s="744">
        <f t="shared" si="1"/>
        <v>0</v>
      </c>
      <c r="T16" s="744">
        <f t="shared" si="1"/>
        <v>0</v>
      </c>
      <c r="U16" s="744">
        <f t="shared" si="1"/>
        <v>0</v>
      </c>
      <c r="V16" s="744">
        <f t="shared" si="1"/>
        <v>0</v>
      </c>
      <c r="W16" s="744">
        <f t="shared" si="1"/>
        <v>0</v>
      </c>
      <c r="X16" s="630">
        <v>0</v>
      </c>
      <c r="Y16" s="744">
        <f>W16+X16</f>
        <v>0</v>
      </c>
      <c r="Z16" s="744">
        <f t="shared" si="1"/>
        <v>0</v>
      </c>
      <c r="AA16" s="355">
        <v>0</v>
      </c>
      <c r="AB16" s="355">
        <f>+Y16-Z16</f>
        <v>0</v>
      </c>
      <c r="AC16" s="744">
        <f t="shared" si="1"/>
        <v>195</v>
      </c>
      <c r="AD16" s="745">
        <f>SUM(AD10:AD14)</f>
        <v>-195</v>
      </c>
      <c r="AE16" s="744"/>
      <c r="AF16" s="744"/>
      <c r="AG16" s="744">
        <f>+AG11+AG12</f>
        <v>0</v>
      </c>
      <c r="AH16" s="744">
        <f t="shared" si="1"/>
        <v>0</v>
      </c>
      <c r="AI16" s="744">
        <f t="shared" si="1"/>
        <v>0</v>
      </c>
      <c r="AJ16" s="744">
        <f t="shared" si="1"/>
        <v>0</v>
      </c>
      <c r="AK16" s="744">
        <f t="shared" si="1"/>
        <v>-3.9</v>
      </c>
      <c r="AL16" s="744">
        <f t="shared" si="1"/>
        <v>-198.9</v>
      </c>
    </row>
    <row r="17" spans="1:38" s="7" customFormat="1" ht="75" customHeight="1" thickTop="1" thickBot="1" x14ac:dyDescent="0.25">
      <c r="A17" s="1380" t="s">
        <v>95</v>
      </c>
      <c r="B17" s="1381"/>
      <c r="C17" s="1381"/>
      <c r="D17" s="1382"/>
      <c r="E17" s="211"/>
      <c r="F17" s="210"/>
      <c r="G17" s="745">
        <f t="shared" ref="G17:W17" si="2">+G16</f>
        <v>641</v>
      </c>
      <c r="H17" s="745">
        <f t="shared" si="2"/>
        <v>25920</v>
      </c>
      <c r="I17" s="745">
        <f t="shared" si="2"/>
        <v>0</v>
      </c>
      <c r="J17" s="745">
        <f t="shared" si="2"/>
        <v>0</v>
      </c>
      <c r="K17" s="745">
        <f t="shared" si="2"/>
        <v>0</v>
      </c>
      <c r="L17" s="745">
        <f t="shared" si="2"/>
        <v>804.6</v>
      </c>
      <c r="M17" s="745">
        <f t="shared" si="2"/>
        <v>0</v>
      </c>
      <c r="N17" s="745">
        <f t="shared" si="2"/>
        <v>0</v>
      </c>
      <c r="O17" s="745">
        <f t="shared" si="2"/>
        <v>0</v>
      </c>
      <c r="P17" s="745">
        <f t="shared" si="2"/>
        <v>0</v>
      </c>
      <c r="Q17" s="745">
        <f t="shared" si="2"/>
        <v>0</v>
      </c>
      <c r="R17" s="745">
        <f t="shared" si="2"/>
        <v>0</v>
      </c>
      <c r="S17" s="745">
        <f t="shared" si="2"/>
        <v>0</v>
      </c>
      <c r="T17" s="745">
        <f t="shared" si="2"/>
        <v>0</v>
      </c>
      <c r="U17" s="745">
        <f t="shared" si="2"/>
        <v>0</v>
      </c>
      <c r="V17" s="745">
        <f t="shared" si="2"/>
        <v>0</v>
      </c>
      <c r="W17" s="1073">
        <f t="shared" si="2"/>
        <v>0</v>
      </c>
      <c r="X17" s="745">
        <f t="shared" ref="X17:Y17" si="3">+X16</f>
        <v>0</v>
      </c>
      <c r="Y17" s="767">
        <f t="shared" si="3"/>
        <v>0</v>
      </c>
      <c r="Z17" s="1073">
        <f>+Z16</f>
        <v>0</v>
      </c>
      <c r="AA17" s="745">
        <v>0</v>
      </c>
      <c r="AB17" s="1073">
        <f>+W17-Z17</f>
        <v>0</v>
      </c>
      <c r="AC17" s="1081">
        <f>AC16</f>
        <v>195</v>
      </c>
      <c r="AD17" s="767">
        <f>+AB17-AC17</f>
        <v>-195</v>
      </c>
      <c r="AE17" s="587" t="s">
        <v>105</v>
      </c>
      <c r="AF17" s="721" t="e">
        <f>SUM(#REF!)</f>
        <v>#REF!</v>
      </c>
      <c r="AG17" s="721">
        <f t="shared" ref="AG17:AL17" si="4">+AG16</f>
        <v>0</v>
      </c>
      <c r="AH17" s="745">
        <f t="shared" si="4"/>
        <v>0</v>
      </c>
      <c r="AI17" s="745">
        <f t="shared" si="4"/>
        <v>0</v>
      </c>
      <c r="AJ17" s="745">
        <f t="shared" si="4"/>
        <v>0</v>
      </c>
      <c r="AK17" s="745">
        <f t="shared" si="4"/>
        <v>-3.9</v>
      </c>
      <c r="AL17" s="745">
        <f t="shared" si="4"/>
        <v>-198.9</v>
      </c>
    </row>
    <row r="18" spans="1:38" s="14" customFormat="1" ht="19.5" customHeight="1" thickTop="1" x14ac:dyDescent="0.2">
      <c r="A18" s="27"/>
      <c r="B18" s="27"/>
      <c r="C18" s="27"/>
      <c r="D18" s="27"/>
      <c r="E18" s="27"/>
      <c r="F18" s="28"/>
      <c r="G18" s="28"/>
      <c r="H18" s="27"/>
      <c r="I18" s="27"/>
      <c r="J18" s="29"/>
      <c r="K18" s="29"/>
      <c r="L18" s="29"/>
      <c r="M18" s="29"/>
      <c r="N18" s="27" t="s">
        <v>5</v>
      </c>
      <c r="O18" s="27"/>
      <c r="P18" s="27"/>
      <c r="Q18" s="27"/>
      <c r="R18" s="27"/>
      <c r="S18" s="27"/>
      <c r="T18" s="27"/>
      <c r="U18" s="61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</row>
    <row r="19" spans="1:38" s="14" customFormat="1" ht="19.5" hidden="1" customHeight="1" thickTop="1" x14ac:dyDescent="0.2">
      <c r="A19" s="27"/>
      <c r="B19" s="27"/>
      <c r="C19" s="27"/>
      <c r="D19" s="27"/>
      <c r="E19" s="27"/>
      <c r="F19" s="28"/>
      <c r="G19" s="28">
        <v>10</v>
      </c>
      <c r="H19" s="27"/>
      <c r="I19" s="27"/>
      <c r="J19" s="29"/>
      <c r="K19" s="29"/>
      <c r="L19" s="29"/>
      <c r="M19" s="29"/>
      <c r="N19" s="27"/>
      <c r="O19" s="27"/>
      <c r="P19" s="27"/>
      <c r="Q19" s="27"/>
      <c r="R19" s="27"/>
      <c r="S19" s="27"/>
      <c r="T19" s="27"/>
      <c r="U19" s="61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</row>
    <row r="20" spans="1:38" s="14" customFormat="1" ht="19.5" hidden="1" customHeight="1" x14ac:dyDescent="0.2">
      <c r="A20" s="27"/>
      <c r="B20" s="27"/>
      <c r="C20" s="27"/>
      <c r="D20" s="27"/>
      <c r="E20" s="27"/>
      <c r="F20" s="28"/>
      <c r="G20" s="28">
        <v>350</v>
      </c>
      <c r="H20" s="27">
        <v>35.694800000000001</v>
      </c>
      <c r="I20" s="27">
        <f>+G20*H20</f>
        <v>12493.18</v>
      </c>
      <c r="J20" s="29"/>
      <c r="K20" s="29"/>
      <c r="L20" s="29"/>
      <c r="M20" s="29"/>
      <c r="N20" s="27"/>
      <c r="O20" s="27"/>
      <c r="P20" s="27"/>
      <c r="Q20" s="27"/>
      <c r="R20" s="27"/>
      <c r="S20" s="27"/>
      <c r="T20" s="27"/>
      <c r="U20" s="61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</row>
    <row r="21" spans="1:38" s="14" customFormat="1" ht="19.5" hidden="1" customHeight="1" x14ac:dyDescent="0.2">
      <c r="A21" s="27"/>
      <c r="B21" s="27"/>
      <c r="C21" s="27"/>
      <c r="D21" s="27"/>
      <c r="E21" s="27"/>
      <c r="F21" s="28"/>
      <c r="G21" s="28"/>
      <c r="H21" s="27"/>
      <c r="I21" s="27">
        <f>+G20/H20</f>
        <v>9.8053497988502532</v>
      </c>
      <c r="J21" s="29">
        <f>9.81*30</f>
        <v>294.3</v>
      </c>
      <c r="K21" s="29"/>
      <c r="L21" s="29"/>
      <c r="M21" s="29"/>
      <c r="N21" s="27"/>
      <c r="O21" s="27"/>
      <c r="P21" s="27"/>
      <c r="Q21" s="27"/>
      <c r="R21" s="27"/>
      <c r="S21" s="27"/>
      <c r="T21" s="27"/>
      <c r="U21" s="61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</row>
    <row r="22" spans="1:38" s="14" customFormat="1" ht="19.5" hidden="1" customHeight="1" x14ac:dyDescent="0.2">
      <c r="A22" s="27"/>
      <c r="B22" s="27"/>
      <c r="C22" s="27"/>
      <c r="D22" s="27"/>
      <c r="E22" s="27"/>
      <c r="F22" s="28"/>
      <c r="G22" s="28"/>
      <c r="H22" s="27"/>
      <c r="I22" s="27"/>
      <c r="J22" s="29"/>
      <c r="K22" s="29"/>
      <c r="L22" s="29"/>
      <c r="M22" s="29"/>
      <c r="N22" s="27"/>
      <c r="O22" s="27"/>
      <c r="P22" s="27"/>
      <c r="Q22" s="27"/>
      <c r="R22" s="27"/>
      <c r="S22" s="27"/>
      <c r="T22" s="27"/>
      <c r="U22" s="61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</row>
    <row r="23" spans="1:38" s="14" customFormat="1" ht="19.5" hidden="1" customHeight="1" x14ac:dyDescent="0.2">
      <c r="A23" s="27"/>
      <c r="B23" s="27"/>
      <c r="C23" s="27"/>
      <c r="D23" s="27"/>
      <c r="E23" s="27"/>
      <c r="F23" s="28"/>
      <c r="G23" s="28"/>
      <c r="H23" s="27"/>
      <c r="I23" s="27"/>
      <c r="J23" s="29"/>
      <c r="K23" s="29"/>
      <c r="L23" s="29"/>
      <c r="M23" s="29"/>
      <c r="N23" s="27"/>
      <c r="O23" s="27"/>
      <c r="P23" s="27"/>
      <c r="Q23" s="27"/>
      <c r="R23" s="27"/>
      <c r="S23" s="27"/>
      <c r="T23" s="27"/>
      <c r="U23" s="61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</row>
    <row r="24" spans="1:38" s="14" customFormat="1" ht="19.5" hidden="1" customHeight="1" x14ac:dyDescent="0.2">
      <c r="A24" s="27"/>
      <c r="B24" s="27"/>
      <c r="C24" s="27"/>
      <c r="D24" s="27"/>
      <c r="E24" s="27"/>
      <c r="F24" s="28"/>
      <c r="G24" s="28"/>
      <c r="H24" s="27"/>
      <c r="I24" s="27"/>
      <c r="J24" s="29"/>
      <c r="K24" s="29"/>
      <c r="L24" s="29"/>
      <c r="M24" s="29"/>
      <c r="N24" s="27"/>
      <c r="O24" s="27"/>
      <c r="P24" s="27"/>
      <c r="Q24" s="27"/>
      <c r="R24" s="27"/>
      <c r="S24" s="27"/>
      <c r="T24" s="27"/>
      <c r="U24" s="61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</row>
    <row r="25" spans="1:38" s="14" customFormat="1" ht="19.5" hidden="1" customHeight="1" x14ac:dyDescent="0.2">
      <c r="A25" s="27"/>
      <c r="B25" s="27"/>
      <c r="C25" s="27"/>
      <c r="D25" s="27"/>
      <c r="E25" s="27"/>
      <c r="F25" s="28"/>
      <c r="G25" s="28"/>
      <c r="H25" s="27">
        <v>0</v>
      </c>
      <c r="I25" s="27"/>
      <c r="J25" s="29"/>
      <c r="K25" s="29"/>
      <c r="L25" s="29"/>
      <c r="M25" s="29"/>
      <c r="N25" s="27"/>
      <c r="O25" s="27"/>
      <c r="P25" s="27"/>
      <c r="Q25" s="27"/>
      <c r="R25" s="27"/>
      <c r="S25" s="27"/>
      <c r="T25" s="27"/>
      <c r="U25" s="61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</row>
    <row r="26" spans="1:38" s="14" customFormat="1" ht="19.5" customHeight="1" x14ac:dyDescent="0.2">
      <c r="A26" s="27"/>
      <c r="B26" s="27"/>
      <c r="C26" s="27"/>
      <c r="D26" s="27"/>
      <c r="E26" s="27"/>
      <c r="F26" s="28"/>
      <c r="G26" s="67"/>
      <c r="H26" s="338"/>
      <c r="I26" s="27"/>
      <c r="J26" s="29"/>
      <c r="K26" s="29"/>
      <c r="L26" s="29"/>
      <c r="M26" s="29"/>
      <c r="N26" s="27"/>
      <c r="O26" s="27"/>
      <c r="P26" s="27"/>
      <c r="Q26" s="27"/>
      <c r="R26" s="27"/>
      <c r="S26" s="27"/>
      <c r="T26" s="27"/>
      <c r="U26" s="61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</row>
    <row r="27" spans="1:38" s="11" customFormat="1" x14ac:dyDescent="0.2">
      <c r="A27" s="27"/>
      <c r="B27" s="27"/>
      <c r="C27" s="27"/>
      <c r="D27" s="27"/>
      <c r="E27" s="27"/>
      <c r="F27" s="28"/>
      <c r="G27" s="28"/>
      <c r="H27" s="27"/>
      <c r="I27" s="27"/>
      <c r="J27" s="29"/>
      <c r="K27" s="29"/>
      <c r="L27" s="29"/>
      <c r="M27" s="29"/>
      <c r="N27" s="27"/>
      <c r="O27" s="27"/>
      <c r="P27" s="27"/>
      <c r="Q27" s="27"/>
      <c r="R27" s="27"/>
      <c r="S27" s="27"/>
      <c r="T27" s="27"/>
      <c r="U27" s="61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</row>
    <row r="28" spans="1:38" s="11" customFormat="1" x14ac:dyDescent="0.2">
      <c r="A28" s="30"/>
      <c r="B28" s="27"/>
      <c r="C28" s="30"/>
      <c r="D28" s="27"/>
      <c r="E28" s="27"/>
      <c r="F28" s="28"/>
      <c r="G28" s="28"/>
      <c r="H28" s="27"/>
      <c r="I28" s="27"/>
      <c r="J28" s="29"/>
      <c r="K28" s="29"/>
      <c r="L28" s="29"/>
      <c r="M28" s="29"/>
      <c r="N28" s="30"/>
      <c r="O28" s="30"/>
      <c r="P28" s="30"/>
      <c r="Q28" s="27"/>
      <c r="R28" s="27"/>
      <c r="S28" s="27"/>
      <c r="T28" s="27"/>
      <c r="U28" s="669"/>
      <c r="V28" s="27"/>
      <c r="W28" s="27"/>
      <c r="X28" s="27"/>
      <c r="Y28" s="27"/>
      <c r="Z28" s="27"/>
      <c r="AA28" s="27"/>
      <c r="AB28" s="27"/>
      <c r="AC28" s="27"/>
      <c r="AD28" s="30"/>
      <c r="AE28" s="27"/>
      <c r="AF28" s="27"/>
      <c r="AG28" s="27"/>
      <c r="AH28" s="27"/>
      <c r="AI28" s="27"/>
      <c r="AJ28" s="27"/>
      <c r="AK28" s="27"/>
      <c r="AL28" s="27"/>
    </row>
    <row r="29" spans="1:38" s="11" customFormat="1" x14ac:dyDescent="0.2">
      <c r="A29" s="30"/>
      <c r="B29" s="27"/>
      <c r="C29" s="30"/>
      <c r="D29" s="27"/>
      <c r="E29" s="27"/>
      <c r="F29" s="28"/>
      <c r="G29" s="28"/>
      <c r="H29" s="27"/>
      <c r="I29" s="27"/>
      <c r="J29" s="29"/>
      <c r="K29" s="29"/>
      <c r="L29" s="29"/>
      <c r="M29" s="29"/>
      <c r="N29" s="30"/>
      <c r="O29" s="30"/>
      <c r="P29" s="30"/>
      <c r="Q29" s="27"/>
      <c r="R29" s="27"/>
      <c r="S29" s="27"/>
      <c r="T29" s="27"/>
      <c r="U29" s="669"/>
      <c r="V29" s="27"/>
      <c r="W29" s="27"/>
      <c r="X29" s="27"/>
      <c r="Y29" s="27"/>
      <c r="Z29" s="27"/>
      <c r="AA29" s="27"/>
      <c r="AB29" s="27"/>
      <c r="AC29" s="27"/>
      <c r="AD29" s="30"/>
      <c r="AE29" s="27"/>
      <c r="AF29" s="27"/>
      <c r="AG29" s="27"/>
      <c r="AH29" s="27"/>
      <c r="AI29" s="27"/>
      <c r="AJ29" s="27"/>
      <c r="AK29" s="27"/>
      <c r="AL29" s="27"/>
    </row>
    <row r="30" spans="1:38" s="11" customFormat="1" x14ac:dyDescent="0.2">
      <c r="A30" s="30"/>
      <c r="B30" s="27"/>
      <c r="C30" s="30"/>
      <c r="D30" s="27"/>
      <c r="E30" s="27"/>
      <c r="F30" s="28"/>
      <c r="G30" s="28"/>
      <c r="H30" s="27"/>
      <c r="I30" s="27"/>
      <c r="J30" s="29"/>
      <c r="K30" s="29"/>
      <c r="L30" s="29"/>
      <c r="M30" s="29"/>
      <c r="N30" s="30"/>
      <c r="O30" s="30"/>
      <c r="P30" s="30"/>
      <c r="Q30" s="27"/>
      <c r="R30" s="27"/>
      <c r="S30" s="27"/>
      <c r="T30" s="27"/>
      <c r="U30" s="670"/>
      <c r="V30" s="27"/>
      <c r="W30" s="27"/>
      <c r="X30" s="27"/>
      <c r="Y30" s="27"/>
      <c r="Z30" s="27"/>
      <c r="AA30" s="27"/>
      <c r="AB30" s="27"/>
      <c r="AC30" s="27"/>
      <c r="AD30" s="30"/>
      <c r="AE30" s="27"/>
      <c r="AF30" s="27"/>
      <c r="AG30" s="27"/>
      <c r="AH30" s="27"/>
      <c r="AI30" s="27"/>
      <c r="AJ30" s="27"/>
      <c r="AK30" s="27"/>
      <c r="AL30" s="27"/>
    </row>
    <row r="31" spans="1:38" s="11" customFormat="1" x14ac:dyDescent="0.2">
      <c r="A31" s="30"/>
      <c r="B31" s="27"/>
      <c r="C31" s="30"/>
      <c r="D31" s="27"/>
      <c r="E31" s="27"/>
      <c r="F31" s="28"/>
      <c r="G31" s="28"/>
      <c r="H31" s="27"/>
      <c r="I31" s="27"/>
      <c r="J31" s="29"/>
      <c r="K31" s="29"/>
      <c r="L31" s="29"/>
      <c r="M31" s="29"/>
      <c r="N31" s="30"/>
      <c r="O31" s="30"/>
      <c r="P31" s="30"/>
      <c r="Q31" s="27"/>
      <c r="R31" s="27"/>
      <c r="S31" s="27"/>
      <c r="T31" s="27"/>
      <c r="U31" s="670"/>
      <c r="V31" s="27"/>
      <c r="W31" s="27"/>
      <c r="X31" s="27"/>
      <c r="Y31" s="27"/>
      <c r="Z31" s="27"/>
      <c r="AA31" s="27"/>
      <c r="AB31" s="27"/>
      <c r="AC31" s="27"/>
      <c r="AD31" s="30"/>
      <c r="AE31" s="27"/>
      <c r="AF31" s="27"/>
      <c r="AG31" s="27"/>
      <c r="AH31" s="27"/>
      <c r="AI31" s="27"/>
      <c r="AJ31" s="27"/>
      <c r="AK31" s="27"/>
      <c r="AL31" s="27"/>
    </row>
    <row r="32" spans="1:38" s="11" customFormat="1" x14ac:dyDescent="0.2">
      <c r="A32" s="30"/>
      <c r="B32" s="27"/>
      <c r="C32" s="30"/>
      <c r="D32" s="27"/>
      <c r="E32" s="27"/>
      <c r="F32" s="28"/>
      <c r="G32" s="28"/>
      <c r="H32" s="27"/>
      <c r="I32" s="27"/>
      <c r="J32" s="29"/>
      <c r="K32" s="29"/>
      <c r="L32" s="29"/>
      <c r="M32" s="29"/>
      <c r="N32" s="30"/>
      <c r="O32" s="30"/>
      <c r="P32" s="30"/>
      <c r="Q32" s="27"/>
      <c r="R32" s="27"/>
      <c r="S32" s="27"/>
      <c r="T32" s="27"/>
      <c r="U32" s="670"/>
      <c r="V32" s="27"/>
      <c r="W32" s="27"/>
      <c r="X32" s="27"/>
      <c r="Y32" s="27"/>
      <c r="Z32" s="27"/>
      <c r="AA32" s="27"/>
      <c r="AB32" s="27"/>
      <c r="AC32" s="27"/>
      <c r="AD32" s="30"/>
      <c r="AE32" s="27"/>
      <c r="AF32" s="27"/>
      <c r="AG32" s="27"/>
      <c r="AH32" s="27"/>
      <c r="AI32" s="27"/>
      <c r="AJ32" s="27"/>
      <c r="AK32" s="27"/>
      <c r="AL32" s="27"/>
    </row>
    <row r="33" spans="1:38" s="11" customFormat="1" x14ac:dyDescent="0.2">
      <c r="A33" s="30"/>
      <c r="B33" s="27"/>
      <c r="C33" s="30"/>
      <c r="D33" s="27"/>
      <c r="E33" s="27"/>
      <c r="F33" s="28"/>
      <c r="G33" s="28"/>
      <c r="H33" s="27"/>
      <c r="I33" s="27"/>
      <c r="J33" s="29"/>
      <c r="K33" s="29"/>
      <c r="L33" s="29"/>
      <c r="M33" s="29"/>
      <c r="N33" s="30"/>
      <c r="O33" s="30"/>
      <c r="P33" s="30"/>
      <c r="Q33" s="27"/>
      <c r="R33" s="27"/>
      <c r="S33" s="27"/>
      <c r="T33" s="27"/>
      <c r="U33" s="670"/>
      <c r="V33" s="27"/>
      <c r="W33" s="27"/>
      <c r="X33" s="27"/>
      <c r="Y33" s="27"/>
      <c r="Z33" s="27"/>
      <c r="AA33" s="27"/>
      <c r="AB33" s="27"/>
      <c r="AC33" s="27"/>
      <c r="AD33" s="30"/>
      <c r="AE33" s="27"/>
      <c r="AF33" s="27"/>
      <c r="AG33" s="27"/>
      <c r="AH33" s="27"/>
      <c r="AI33" s="27"/>
      <c r="AJ33" s="27"/>
      <c r="AK33" s="27"/>
      <c r="AL33" s="27"/>
    </row>
    <row r="34" spans="1:38" s="11" customFormat="1" x14ac:dyDescent="0.2">
      <c r="A34" s="30"/>
      <c r="B34" s="27"/>
      <c r="C34" s="30"/>
      <c r="D34" s="27"/>
      <c r="E34" s="27"/>
      <c r="F34" s="28"/>
      <c r="G34" s="28"/>
      <c r="H34" s="27"/>
      <c r="I34" s="27"/>
      <c r="J34" s="29"/>
      <c r="K34" s="29"/>
      <c r="L34" s="29"/>
      <c r="M34" s="29"/>
      <c r="N34" s="30"/>
      <c r="O34" s="30"/>
      <c r="P34" s="30"/>
      <c r="Q34" s="27"/>
      <c r="R34" s="27"/>
      <c r="S34" s="27"/>
      <c r="T34" s="27"/>
      <c r="U34" s="670"/>
      <c r="V34" s="27"/>
      <c r="W34" s="27"/>
      <c r="X34" s="27"/>
      <c r="Y34" s="27"/>
      <c r="Z34" s="27"/>
      <c r="AA34" s="27"/>
      <c r="AB34" s="27"/>
      <c r="AC34" s="27"/>
      <c r="AD34" s="30"/>
      <c r="AE34" s="27"/>
      <c r="AF34" s="27"/>
      <c r="AG34" s="27"/>
      <c r="AH34" s="27"/>
      <c r="AI34" s="27"/>
      <c r="AJ34" s="27"/>
      <c r="AK34" s="27"/>
      <c r="AL34" s="27"/>
    </row>
    <row r="35" spans="1:38" s="11" customFormat="1" x14ac:dyDescent="0.2">
      <c r="A35" s="30"/>
      <c r="B35" s="27"/>
      <c r="C35" s="30"/>
      <c r="D35" s="27"/>
      <c r="E35" s="27"/>
      <c r="F35" s="28"/>
      <c r="G35" s="28"/>
      <c r="H35" s="27"/>
      <c r="I35" s="27"/>
      <c r="J35" s="29"/>
      <c r="K35" s="29"/>
      <c r="L35" s="29"/>
      <c r="M35" s="29"/>
      <c r="N35" s="30"/>
      <c r="O35" s="30"/>
      <c r="P35" s="30"/>
      <c r="Q35" s="27"/>
      <c r="R35" s="27"/>
      <c r="S35" s="27"/>
      <c r="T35" s="27"/>
      <c r="U35" s="670"/>
      <c r="V35" s="27"/>
      <c r="W35" s="27"/>
      <c r="X35" s="27"/>
      <c r="Y35" s="27"/>
      <c r="Z35" s="27"/>
      <c r="AA35" s="27"/>
      <c r="AB35" s="27"/>
      <c r="AC35" s="27"/>
      <c r="AD35" s="30"/>
      <c r="AE35" s="27"/>
      <c r="AF35" s="27"/>
      <c r="AG35" s="27"/>
      <c r="AH35" s="27"/>
      <c r="AI35" s="27"/>
      <c r="AJ35" s="27"/>
      <c r="AK35" s="27"/>
      <c r="AL35" s="27"/>
    </row>
    <row r="36" spans="1:38" s="11" customFormat="1" x14ac:dyDescent="0.2">
      <c r="A36" s="30"/>
      <c r="B36" s="27"/>
      <c r="C36" s="30"/>
      <c r="D36" s="27"/>
      <c r="E36" s="27"/>
      <c r="F36" s="28"/>
      <c r="G36" s="28"/>
      <c r="H36" s="27"/>
      <c r="I36" s="27"/>
      <c r="J36" s="29"/>
      <c r="K36" s="29"/>
      <c r="L36" s="29"/>
      <c r="M36" s="29"/>
      <c r="N36" s="30"/>
      <c r="O36" s="30"/>
      <c r="P36" s="30"/>
      <c r="Q36" s="27"/>
      <c r="R36" s="27"/>
      <c r="S36" s="27"/>
      <c r="T36" s="27"/>
      <c r="U36" s="670"/>
      <c r="V36" s="27"/>
      <c r="W36" s="27"/>
      <c r="X36" s="27"/>
      <c r="Y36" s="27"/>
      <c r="Z36" s="27"/>
      <c r="AA36" s="27"/>
      <c r="AB36" s="27"/>
      <c r="AC36" s="27"/>
      <c r="AD36" s="30"/>
      <c r="AE36" s="27"/>
      <c r="AF36" s="27"/>
      <c r="AG36" s="27"/>
      <c r="AH36" s="27"/>
      <c r="AI36" s="27"/>
      <c r="AJ36" s="27"/>
      <c r="AK36" s="27"/>
      <c r="AL36" s="27"/>
    </row>
    <row r="37" spans="1:38" s="11" customFormat="1" x14ac:dyDescent="0.2">
      <c r="A37" s="30"/>
      <c r="B37" s="27"/>
      <c r="C37" s="30"/>
      <c r="D37" s="27"/>
      <c r="E37" s="27"/>
      <c r="F37" s="28"/>
      <c r="G37" s="28"/>
      <c r="H37" s="27"/>
      <c r="I37" s="27"/>
      <c r="J37" s="29"/>
      <c r="K37" s="29"/>
      <c r="L37" s="29"/>
      <c r="M37" s="29"/>
      <c r="N37" s="30"/>
      <c r="O37" s="30"/>
      <c r="P37" s="30"/>
      <c r="Q37" s="27"/>
      <c r="R37" s="27"/>
      <c r="S37" s="27"/>
      <c r="T37" s="27"/>
      <c r="U37" s="670"/>
      <c r="V37" s="27"/>
      <c r="W37" s="27"/>
      <c r="X37" s="27"/>
      <c r="Y37" s="27"/>
      <c r="Z37" s="27"/>
      <c r="AA37" s="27"/>
      <c r="AB37" s="27"/>
      <c r="AC37" s="27"/>
      <c r="AD37" s="30"/>
      <c r="AE37" s="27"/>
      <c r="AF37" s="27"/>
      <c r="AG37" s="27"/>
      <c r="AH37" s="27"/>
      <c r="AI37" s="27"/>
      <c r="AJ37" s="27"/>
      <c r="AK37" s="27"/>
      <c r="AL37" s="27"/>
    </row>
    <row r="38" spans="1:38" s="11" customFormat="1" x14ac:dyDescent="0.2">
      <c r="A38" s="30"/>
      <c r="B38" s="27"/>
      <c r="C38" s="1387"/>
      <c r="D38" s="1387"/>
      <c r="E38" s="1387"/>
      <c r="F38" s="1387"/>
      <c r="G38" s="49"/>
      <c r="H38" s="27"/>
      <c r="I38" s="27"/>
      <c r="J38" s="1388"/>
      <c r="K38" s="1388"/>
      <c r="L38" s="1388"/>
      <c r="M38" s="1388"/>
      <c r="N38" s="1388"/>
      <c r="O38" s="1388"/>
      <c r="P38" s="1388"/>
      <c r="Q38" s="1388"/>
      <c r="R38" s="1388"/>
      <c r="S38" s="1388"/>
      <c r="T38" s="1388"/>
      <c r="U38" s="1388"/>
      <c r="V38" s="1388"/>
      <c r="W38" s="29"/>
      <c r="X38" s="29"/>
      <c r="Y38" s="29"/>
      <c r="Z38" s="27"/>
      <c r="AA38" s="27"/>
      <c r="AB38" s="27"/>
      <c r="AC38" s="27"/>
      <c r="AD38" s="1387"/>
      <c r="AE38" s="1387"/>
      <c r="AF38" s="1387"/>
      <c r="AG38" s="1387"/>
      <c r="AJ38" s="27"/>
      <c r="AK38" s="27"/>
      <c r="AL38" s="27"/>
    </row>
    <row r="39" spans="1:38" s="11" customFormat="1" x14ac:dyDescent="0.2">
      <c r="A39" s="30"/>
      <c r="B39" s="27"/>
      <c r="C39" s="49"/>
      <c r="D39" s="49"/>
      <c r="E39" s="49"/>
      <c r="F39" s="49"/>
      <c r="G39" s="49"/>
      <c r="H39" s="27"/>
      <c r="I39" s="27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7"/>
      <c r="AA39" s="27"/>
      <c r="AB39" s="27"/>
      <c r="AC39" s="27"/>
      <c r="AD39" s="49"/>
      <c r="AE39" s="49"/>
      <c r="AF39" s="49"/>
      <c r="AG39" s="49"/>
      <c r="AJ39" s="27"/>
      <c r="AK39" s="27"/>
      <c r="AL39" s="27"/>
    </row>
    <row r="40" spans="1:38" s="11" customFormat="1" ht="13.2" customHeight="1" x14ac:dyDescent="0.2">
      <c r="A40" s="27"/>
      <c r="B40" s="27"/>
      <c r="C40" s="1167" t="s">
        <v>23</v>
      </c>
      <c r="D40" s="1167"/>
      <c r="E40" s="1167"/>
      <c r="F40" s="1167"/>
      <c r="G40" s="52"/>
      <c r="H40" s="27"/>
      <c r="I40" s="27"/>
      <c r="J40" s="1167" t="s">
        <v>24</v>
      </c>
      <c r="K40" s="1167"/>
      <c r="L40" s="1167"/>
      <c r="M40" s="1167"/>
      <c r="N40" s="1167"/>
      <c r="O40" s="1167"/>
      <c r="P40" s="1167"/>
      <c r="Q40" s="1167"/>
      <c r="R40" s="1167"/>
      <c r="S40" s="1167"/>
      <c r="T40" s="1167"/>
      <c r="U40" s="1167"/>
      <c r="V40" s="1167"/>
      <c r="W40" s="52"/>
      <c r="X40" s="52"/>
      <c r="Y40" s="52"/>
      <c r="Z40" s="27"/>
      <c r="AA40" s="27"/>
      <c r="AB40" s="27"/>
      <c r="AC40" s="27"/>
      <c r="AD40" s="1167" t="s">
        <v>25</v>
      </c>
      <c r="AE40" s="1167"/>
      <c r="AF40" s="1167"/>
      <c r="AG40" s="1167"/>
      <c r="AJ40" s="27"/>
      <c r="AK40" s="27"/>
      <c r="AL40" s="27"/>
    </row>
    <row r="41" spans="1:38" s="11" customFormat="1" ht="15.6" x14ac:dyDescent="0.2">
      <c r="A41" s="30"/>
      <c r="B41" s="27"/>
      <c r="C41" s="1326" t="s">
        <v>400</v>
      </c>
      <c r="D41" s="1326"/>
      <c r="E41" s="1326"/>
      <c r="F41" s="1326"/>
      <c r="G41" s="1326"/>
      <c r="H41" s="27"/>
      <c r="I41" s="30"/>
      <c r="J41" s="1159" t="s">
        <v>350</v>
      </c>
      <c r="K41" s="1159"/>
      <c r="L41" s="1159"/>
      <c r="M41" s="1159"/>
      <c r="N41" s="1159"/>
      <c r="O41" s="1159"/>
      <c r="P41" s="1159"/>
      <c r="Q41" s="1159"/>
      <c r="R41" s="1159"/>
      <c r="S41" s="1159"/>
      <c r="T41" s="1159"/>
      <c r="U41" s="1159"/>
      <c r="V41" s="1159"/>
      <c r="W41" s="48"/>
      <c r="X41" s="48"/>
      <c r="Y41" s="48"/>
      <c r="Z41" s="33"/>
      <c r="AA41" s="33"/>
      <c r="AB41" s="33"/>
      <c r="AC41" s="33"/>
      <c r="AD41" s="1160" t="s">
        <v>496</v>
      </c>
      <c r="AE41" s="1160"/>
      <c r="AF41" s="1160"/>
      <c r="AG41" s="1160"/>
      <c r="AJ41" s="27"/>
      <c r="AK41" s="27"/>
      <c r="AL41" s="27"/>
    </row>
    <row r="42" spans="1:38" s="11" customFormat="1" x14ac:dyDescent="0.2">
      <c r="A42" s="8"/>
      <c r="B42" s="8"/>
      <c r="C42" s="1161"/>
      <c r="D42" s="1161"/>
      <c r="E42" s="25"/>
      <c r="F42" s="25"/>
      <c r="G42" s="25"/>
      <c r="H42" s="8"/>
      <c r="I42" s="8"/>
      <c r="J42" s="9"/>
      <c r="K42" s="9"/>
      <c r="L42" s="9"/>
      <c r="M42" s="9"/>
      <c r="N42" s="1161"/>
      <c r="O42" s="1161"/>
      <c r="P42" s="1161"/>
      <c r="Q42" s="1161"/>
      <c r="R42" s="1161"/>
      <c r="S42" s="1161"/>
      <c r="T42" s="1161"/>
      <c r="U42" s="671"/>
      <c r="V42" s="25"/>
      <c r="W42" s="25"/>
      <c r="X42" s="25"/>
      <c r="Y42" s="25"/>
      <c r="Z42" s="25"/>
      <c r="AA42" s="25"/>
      <c r="AB42" s="25"/>
      <c r="AC42" s="25"/>
      <c r="AD42" s="8"/>
      <c r="AE42" s="8"/>
      <c r="AF42" s="8"/>
      <c r="AG42" s="8"/>
      <c r="AH42" s="10"/>
      <c r="AI42" s="10"/>
      <c r="AJ42" s="10"/>
      <c r="AK42" s="10"/>
      <c r="AL42" s="10"/>
    </row>
    <row r="43" spans="1:38" x14ac:dyDescent="0.2">
      <c r="A43" s="3"/>
      <c r="B43" s="3"/>
      <c r="C43" s="3"/>
      <c r="D43" s="3"/>
      <c r="E43" s="3"/>
      <c r="F43" s="4"/>
      <c r="G43" s="685"/>
      <c r="H43" s="3"/>
      <c r="I43" s="3"/>
      <c r="J43" s="2"/>
      <c r="K43" s="2"/>
      <c r="L43" s="2"/>
      <c r="M43" s="2"/>
      <c r="N43" s="3"/>
      <c r="O43" s="3"/>
      <c r="P43" s="3"/>
      <c r="Q43" s="3"/>
      <c r="R43" s="3"/>
      <c r="S43" s="3"/>
      <c r="T43" s="3"/>
      <c r="U43" s="618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spans="1:38" x14ac:dyDescent="0.2">
      <c r="A44" s="3"/>
      <c r="B44" s="3"/>
      <c r="C44" s="3"/>
      <c r="D44" s="3"/>
      <c r="E44" s="3"/>
      <c r="F44" s="4"/>
      <c r="G44" s="685"/>
      <c r="H44" s="3"/>
      <c r="I44" s="3"/>
      <c r="J44" s="2"/>
      <c r="K44" s="2"/>
      <c r="L44" s="2"/>
      <c r="M44" s="2"/>
      <c r="N44" s="3"/>
      <c r="O44" s="3"/>
      <c r="P44" s="3"/>
      <c r="Q44" s="3"/>
      <c r="R44" s="3"/>
      <c r="S44" s="3"/>
      <c r="T44" s="3"/>
      <c r="U44" s="618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x14ac:dyDescent="0.2">
      <c r="A45" s="3"/>
      <c r="B45" s="3"/>
      <c r="C45" s="3"/>
      <c r="D45" s="3"/>
      <c r="E45" s="3"/>
      <c r="F45" s="4"/>
      <c r="G45" s="685"/>
      <c r="H45" s="3"/>
      <c r="I45" s="3"/>
      <c r="J45" s="2"/>
      <c r="K45" s="2"/>
      <c r="L45" s="2"/>
      <c r="M45" s="2"/>
      <c r="N45" s="3"/>
      <c r="O45" s="3"/>
      <c r="P45" s="3"/>
      <c r="Q45" s="3"/>
      <c r="R45" s="3"/>
      <c r="S45" s="3"/>
      <c r="T45" s="3"/>
      <c r="U45" s="618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x14ac:dyDescent="0.2">
      <c r="A46" s="3"/>
      <c r="B46" s="3"/>
      <c r="C46" s="3"/>
      <c r="D46" s="3"/>
      <c r="E46" s="3"/>
      <c r="F46" s="4"/>
      <c r="G46" s="685"/>
      <c r="H46" s="3"/>
      <c r="I46" s="3"/>
      <c r="J46" s="2"/>
      <c r="K46" s="2"/>
      <c r="L46" s="2"/>
      <c r="M46" s="2"/>
      <c r="N46" s="3"/>
      <c r="O46" s="3"/>
      <c r="P46" s="3"/>
      <c r="Q46" s="3"/>
      <c r="R46" s="3"/>
      <c r="S46" s="3"/>
      <c r="T46" s="3"/>
      <c r="U46" s="618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x14ac:dyDescent="0.2">
      <c r="A47" s="3"/>
      <c r="B47" s="3"/>
      <c r="C47" s="3"/>
      <c r="D47" s="3"/>
      <c r="E47" s="3"/>
      <c r="F47" s="4"/>
      <c r="G47" s="685"/>
      <c r="H47" s="3"/>
      <c r="I47" s="3"/>
      <c r="J47" s="2"/>
      <c r="K47" s="2"/>
      <c r="L47" s="2"/>
      <c r="M47" s="2"/>
      <c r="N47" s="3"/>
      <c r="O47" s="3"/>
      <c r="P47" s="3"/>
      <c r="Q47" s="3"/>
      <c r="R47" s="3"/>
      <c r="S47" s="3"/>
      <c r="T47" s="3"/>
      <c r="U47" s="618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8" x14ac:dyDescent="0.2">
      <c r="A48" s="3"/>
      <c r="B48" s="3"/>
      <c r="C48" s="3"/>
      <c r="D48" s="3"/>
      <c r="E48" s="3"/>
      <c r="F48" s="4"/>
      <c r="G48" s="685"/>
      <c r="H48" s="3"/>
      <c r="I48" s="3"/>
      <c r="J48" s="2"/>
      <c r="K48" s="2"/>
      <c r="L48" s="2"/>
      <c r="M48" s="2"/>
      <c r="N48" s="3"/>
      <c r="O48" s="3"/>
      <c r="P48" s="3"/>
      <c r="Q48" s="3"/>
      <c r="R48" s="3"/>
      <c r="S48" s="3"/>
      <c r="T48" s="3"/>
      <c r="U48" s="618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8" x14ac:dyDescent="0.2">
      <c r="G49" s="686"/>
    </row>
    <row r="50" spans="1:38" x14ac:dyDescent="0.2">
      <c r="G50" s="686"/>
    </row>
    <row r="51" spans="1:38" x14ac:dyDescent="0.2">
      <c r="G51" s="686"/>
    </row>
    <row r="52" spans="1:38" x14ac:dyDescent="0.2">
      <c r="G52" s="686"/>
    </row>
    <row r="53" spans="1:38" x14ac:dyDescent="0.2">
      <c r="G53" s="686"/>
    </row>
    <row r="54" spans="1:38" x14ac:dyDescent="0.2">
      <c r="G54" s="686"/>
    </row>
    <row r="55" spans="1:38" x14ac:dyDescent="0.2">
      <c r="G55" s="686"/>
    </row>
    <row r="56" spans="1:38" x14ac:dyDescent="0.2">
      <c r="G56" s="686"/>
    </row>
    <row r="57" spans="1:38" x14ac:dyDescent="0.2">
      <c r="G57" s="686"/>
    </row>
    <row r="58" spans="1:38" x14ac:dyDescent="0.2">
      <c r="G58" s="686"/>
    </row>
    <row r="59" spans="1:38" x14ac:dyDescent="0.2">
      <c r="A59" s="3"/>
      <c r="B59" s="3"/>
      <c r="C59" s="3"/>
      <c r="D59" s="3"/>
      <c r="E59" s="3"/>
      <c r="F59" s="4"/>
      <c r="G59" s="685"/>
      <c r="H59" s="3"/>
      <c r="I59" s="3"/>
      <c r="J59" s="2"/>
      <c r="K59" s="2"/>
      <c r="L59" s="2"/>
      <c r="M59" s="2"/>
      <c r="N59" s="3"/>
      <c r="O59" s="3"/>
      <c r="P59" s="3"/>
      <c r="Q59" s="3"/>
      <c r="R59" s="3"/>
      <c r="S59" s="3"/>
      <c r="T59" s="3"/>
      <c r="U59" s="618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x14ac:dyDescent="0.2">
      <c r="A60" s="3"/>
      <c r="B60" s="3"/>
      <c r="C60" s="3"/>
      <c r="D60" s="3"/>
      <c r="E60" s="3"/>
      <c r="F60" s="4"/>
      <c r="G60" s="685"/>
      <c r="H60" s="3"/>
      <c r="I60" s="3"/>
      <c r="J60" s="2"/>
      <c r="K60" s="2"/>
      <c r="L60" s="2"/>
      <c r="M60" s="2"/>
      <c r="N60" s="3"/>
      <c r="O60" s="3"/>
      <c r="P60" s="3"/>
      <c r="Q60" s="3"/>
      <c r="R60" s="3"/>
      <c r="S60" s="3"/>
      <c r="T60" s="3"/>
      <c r="U60" s="618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x14ac:dyDescent="0.2">
      <c r="A61" s="3"/>
      <c r="B61" s="3"/>
      <c r="C61" s="3"/>
      <c r="D61" s="3"/>
      <c r="E61" s="3"/>
      <c r="F61" s="4"/>
      <c r="G61" s="685"/>
      <c r="H61" s="3"/>
      <c r="I61" s="3"/>
      <c r="J61" s="2"/>
      <c r="K61" s="2"/>
      <c r="L61" s="2"/>
      <c r="M61" s="2"/>
      <c r="N61" s="3"/>
      <c r="O61" s="3"/>
      <c r="P61" s="3"/>
      <c r="Q61" s="3"/>
      <c r="R61" s="3"/>
      <c r="S61" s="3"/>
      <c r="T61" s="3"/>
      <c r="U61" s="618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8" x14ac:dyDescent="0.2">
      <c r="A62" s="3"/>
      <c r="B62" s="3"/>
      <c r="C62" s="3"/>
      <c r="D62" s="3"/>
      <c r="E62" s="3"/>
      <c r="F62" s="4"/>
      <c r="G62" s="685"/>
      <c r="H62" s="3"/>
      <c r="I62" s="3"/>
      <c r="J62" s="2"/>
      <c r="K62" s="2"/>
      <c r="L62" s="2"/>
      <c r="M62" s="2"/>
      <c r="N62" s="3"/>
      <c r="O62" s="3"/>
      <c r="P62" s="3"/>
      <c r="Q62" s="3"/>
      <c r="R62" s="3"/>
      <c r="S62" s="3"/>
      <c r="T62" s="3"/>
      <c r="U62" s="618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8" x14ac:dyDescent="0.2">
      <c r="G63" s="686"/>
    </row>
    <row r="64" spans="1:38" x14ac:dyDescent="0.2">
      <c r="G64" s="686"/>
    </row>
    <row r="65" spans="7:7" x14ac:dyDescent="0.2">
      <c r="G65" s="686"/>
    </row>
    <row r="66" spans="7:7" x14ac:dyDescent="0.2">
      <c r="G66" s="686"/>
    </row>
    <row r="67" spans="7:7" x14ac:dyDescent="0.2">
      <c r="G67" s="686"/>
    </row>
    <row r="68" spans="7:7" x14ac:dyDescent="0.2">
      <c r="G68" s="686"/>
    </row>
    <row r="69" spans="7:7" x14ac:dyDescent="0.2">
      <c r="G69" s="686"/>
    </row>
    <row r="70" spans="7:7" x14ac:dyDescent="0.2">
      <c r="G70" s="686"/>
    </row>
    <row r="71" spans="7:7" x14ac:dyDescent="0.2">
      <c r="G71" s="686"/>
    </row>
    <row r="72" spans="7:7" x14ac:dyDescent="0.2">
      <c r="G72" s="686"/>
    </row>
    <row r="73" spans="7:7" x14ac:dyDescent="0.2">
      <c r="G73" s="686"/>
    </row>
    <row r="74" spans="7:7" x14ac:dyDescent="0.2">
      <c r="G74" s="686"/>
    </row>
    <row r="75" spans="7:7" x14ac:dyDescent="0.2">
      <c r="G75" s="686"/>
    </row>
    <row r="76" spans="7:7" x14ac:dyDescent="0.2">
      <c r="G76" s="686"/>
    </row>
    <row r="77" spans="7:7" x14ac:dyDescent="0.2">
      <c r="G77" s="686"/>
    </row>
    <row r="78" spans="7:7" x14ac:dyDescent="0.2">
      <c r="G78" s="686"/>
    </row>
  </sheetData>
  <mergeCells count="50">
    <mergeCell ref="AL8:AL10"/>
    <mergeCell ref="I9:I10"/>
    <mergeCell ref="J9:J10"/>
    <mergeCell ref="AD8:AD10"/>
    <mergeCell ref="AE8:AE10"/>
    <mergeCell ref="AF8:AF10"/>
    <mergeCell ref="AG8:AG10"/>
    <mergeCell ref="AC8:AC10"/>
    <mergeCell ref="Z8:Z10"/>
    <mergeCell ref="AH8:AH10"/>
    <mergeCell ref="AI8:AI10"/>
    <mergeCell ref="AJ8:AJ10"/>
    <mergeCell ref="AK8:AK10"/>
    <mergeCell ref="U9:U10"/>
    <mergeCell ref="W8:W10"/>
    <mergeCell ref="O9:O10"/>
    <mergeCell ref="P9:P10"/>
    <mergeCell ref="Q9:Q10"/>
    <mergeCell ref="R9:R10"/>
    <mergeCell ref="Q8:V8"/>
    <mergeCell ref="V9:V10"/>
    <mergeCell ref="T9:T10"/>
    <mergeCell ref="S9:S10"/>
    <mergeCell ref="J41:V41"/>
    <mergeCell ref="AD41:AG41"/>
    <mergeCell ref="C42:D42"/>
    <mergeCell ref="N42:T42"/>
    <mergeCell ref="C41:G41"/>
    <mergeCell ref="C38:F38"/>
    <mergeCell ref="J38:V38"/>
    <mergeCell ref="AD38:AG38"/>
    <mergeCell ref="C40:F40"/>
    <mergeCell ref="J40:V40"/>
    <mergeCell ref="AD40:AG40"/>
    <mergeCell ref="AB8:AB10"/>
    <mergeCell ref="A17:D17"/>
    <mergeCell ref="A16:F16"/>
    <mergeCell ref="K9:K10"/>
    <mergeCell ref="L9:L10"/>
    <mergeCell ref="M9:M10"/>
    <mergeCell ref="G8:G10"/>
    <mergeCell ref="I8:N8"/>
    <mergeCell ref="F8:F10"/>
    <mergeCell ref="A8:A10"/>
    <mergeCell ref="B8:B10"/>
    <mergeCell ref="C8:C10"/>
    <mergeCell ref="D8:D10"/>
    <mergeCell ref="E8:E10"/>
    <mergeCell ref="H8:H10"/>
    <mergeCell ref="N9:N10"/>
  </mergeCells>
  <printOptions horizontalCentered="1" verticalCentered="1"/>
  <pageMargins left="0" right="0" top="0.59055118110236227" bottom="0.59055118110236227" header="0.59055118110236227" footer="0.59055118110236227"/>
  <pageSetup scale="6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C108D-ABF8-47EE-8881-1D7B62127C4C}">
  <sheetPr>
    <tabColor theme="7" tint="-0.249977111117893"/>
  </sheetPr>
  <dimension ref="A1:AF21"/>
  <sheetViews>
    <sheetView zoomScale="80" zoomScaleNormal="80" workbookViewId="0">
      <selection activeCell="K21" sqref="K21"/>
    </sheetView>
  </sheetViews>
  <sheetFormatPr baseColWidth="10" defaultRowHeight="10.199999999999999" x14ac:dyDescent="0.2"/>
  <cols>
    <col min="1" max="1" width="3.28515625" bestFit="1" customWidth="1"/>
    <col min="2" max="2" width="5" bestFit="1" customWidth="1"/>
    <col min="4" max="4" width="33.140625" customWidth="1"/>
    <col min="5" max="5" width="5.85546875" customWidth="1"/>
    <col min="6" max="6" width="9.7109375" customWidth="1"/>
    <col min="7" max="7" width="12" hidden="1" customWidth="1"/>
    <col min="8" max="8" width="14.140625" customWidth="1"/>
    <col min="9" max="9" width="16" customWidth="1"/>
    <col min="10" max="10" width="18.42578125" customWidth="1"/>
    <col min="11" max="11" width="12" customWidth="1"/>
    <col min="12" max="14" width="12" hidden="1" customWidth="1"/>
    <col min="15" max="15" width="16.7109375" customWidth="1"/>
    <col min="16" max="16" width="15" customWidth="1"/>
    <col min="17" max="17" width="15.42578125" customWidth="1"/>
    <col min="18" max="18" width="17.42578125" customWidth="1"/>
    <col min="19" max="19" width="13.42578125" hidden="1" customWidth="1"/>
    <col min="20" max="23" width="12" hidden="1" customWidth="1"/>
    <col min="24" max="24" width="18.85546875" hidden="1" customWidth="1"/>
    <col min="25" max="25" width="17" customWidth="1"/>
    <col min="26" max="26" width="19" customWidth="1"/>
    <col min="27" max="27" width="17.140625" hidden="1" customWidth="1"/>
    <col min="28" max="28" width="20.28515625" hidden="1" customWidth="1"/>
    <col min="29" max="29" width="56.28515625" customWidth="1"/>
    <col min="30" max="30" width="0" hidden="1" customWidth="1"/>
    <col min="31" max="31" width="4.7109375" hidden="1" customWidth="1"/>
  </cols>
  <sheetData>
    <row r="1" spans="1:31" ht="14.4" x14ac:dyDescent="0.2">
      <c r="A1" s="1"/>
      <c r="B1" s="1"/>
      <c r="C1" s="1"/>
      <c r="D1" s="1"/>
      <c r="E1" s="1"/>
      <c r="F1" s="5"/>
      <c r="G1" s="616"/>
      <c r="H1" s="686"/>
      <c r="I1" s="1"/>
      <c r="J1" s="1"/>
      <c r="K1" s="6"/>
      <c r="L1" s="6"/>
      <c r="M1" s="6"/>
      <c r="N1" s="6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2.8" x14ac:dyDescent="0.2">
      <c r="A2" s="1370" t="s">
        <v>97</v>
      </c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  <c r="P2" s="1370"/>
      <c r="Q2" s="1370"/>
      <c r="R2" s="1370"/>
      <c r="S2" s="1370"/>
      <c r="T2" s="1370"/>
      <c r="U2" s="1370"/>
      <c r="V2" s="1370"/>
      <c r="W2" s="1370"/>
      <c r="X2" s="1370"/>
      <c r="Y2" s="1370"/>
      <c r="Z2" s="1370"/>
      <c r="AA2" s="1370"/>
      <c r="AB2" s="1370"/>
      <c r="AC2" s="1370"/>
      <c r="AD2" s="1370"/>
      <c r="AE2" s="1370"/>
    </row>
    <row r="3" spans="1:31" ht="22.8" x14ac:dyDescent="0.2">
      <c r="A3" s="1370" t="s">
        <v>483</v>
      </c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0"/>
      <c r="AB3" s="1370"/>
      <c r="AC3" s="1370"/>
      <c r="AD3" s="1370"/>
      <c r="AE3" s="1370"/>
    </row>
    <row r="4" spans="1:31" ht="22.8" x14ac:dyDescent="0.4">
      <c r="A4" s="1366" t="str">
        <f>+ADMON!A5</f>
        <v>QUINCENA DEL 16  AL 30  DE ABRIL - 2026</v>
      </c>
      <c r="B4" s="1366"/>
      <c r="C4" s="1366"/>
      <c r="D4" s="1366"/>
      <c r="E4" s="1366"/>
      <c r="F4" s="1366"/>
      <c r="G4" s="1366"/>
      <c r="H4" s="1366"/>
      <c r="I4" s="1366"/>
      <c r="J4" s="1366"/>
      <c r="K4" s="1366"/>
      <c r="L4" s="1366"/>
      <c r="M4" s="1366"/>
      <c r="N4" s="1366"/>
      <c r="O4" s="1366"/>
      <c r="P4" s="1366"/>
      <c r="Q4" s="1366"/>
      <c r="R4" s="1366"/>
      <c r="S4" s="1366"/>
      <c r="T4" s="1366"/>
      <c r="U4" s="1366"/>
      <c r="V4" s="1366"/>
      <c r="W4" s="1366"/>
      <c r="X4" s="1366"/>
      <c r="Y4" s="1366"/>
      <c r="Z4" s="1366"/>
      <c r="AA4" s="1366"/>
      <c r="AB4" s="1366"/>
      <c r="AC4" s="1366"/>
      <c r="AD4" s="866"/>
      <c r="AE4" s="866"/>
    </row>
    <row r="5" spans="1:31" ht="22.8" x14ac:dyDescent="0.4">
      <c r="A5" s="765"/>
      <c r="B5" s="765"/>
      <c r="C5" s="765"/>
      <c r="D5" s="765"/>
      <c r="E5" s="765"/>
      <c r="F5" s="765"/>
      <c r="G5" s="765"/>
      <c r="H5" s="765"/>
      <c r="I5" s="765"/>
      <c r="J5" s="765"/>
      <c r="K5" s="765"/>
      <c r="L5" s="765"/>
      <c r="M5" s="765"/>
      <c r="N5" s="765"/>
      <c r="O5" s="765"/>
      <c r="P5" s="765"/>
      <c r="Q5" s="765"/>
      <c r="R5" s="765"/>
      <c r="S5" s="765"/>
      <c r="T5" s="765"/>
      <c r="U5" s="765"/>
      <c r="V5" s="765"/>
      <c r="W5" s="765"/>
      <c r="X5" s="765"/>
      <c r="Y5" s="765"/>
      <c r="Z5" s="765"/>
      <c r="AA5" s="765"/>
      <c r="AB5" s="765"/>
      <c r="AC5" s="765"/>
      <c r="AD5" s="765"/>
      <c r="AE5" s="765"/>
    </row>
    <row r="6" spans="1:31" ht="17.399999999999999" x14ac:dyDescent="0.3">
      <c r="A6" s="74"/>
      <c r="B6" s="75"/>
      <c r="C6" s="74"/>
      <c r="D6" s="74"/>
      <c r="E6" s="74"/>
      <c r="F6" s="74"/>
      <c r="G6" s="672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26"/>
      <c r="AD6" s="26"/>
      <c r="AE6" s="26"/>
    </row>
    <row r="7" spans="1:31" ht="18" thickBot="1" x14ac:dyDescent="0.35">
      <c r="A7" s="74"/>
      <c r="B7" s="75"/>
      <c r="C7" s="74"/>
      <c r="D7" s="74"/>
      <c r="E7" s="74"/>
      <c r="F7" s="74"/>
      <c r="G7" s="672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26"/>
      <c r="AD7" s="26"/>
      <c r="AE7" s="26"/>
    </row>
    <row r="8" spans="1:31" ht="24" customHeight="1" thickTop="1" thickBot="1" x14ac:dyDescent="0.25">
      <c r="A8" s="1335" t="s">
        <v>2</v>
      </c>
      <c r="B8" s="1335" t="s">
        <v>3</v>
      </c>
      <c r="C8" s="1179" t="s">
        <v>4</v>
      </c>
      <c r="D8" s="1335" t="s">
        <v>6</v>
      </c>
      <c r="E8" s="1371" t="s">
        <v>187</v>
      </c>
      <c r="F8" s="1371" t="s">
        <v>7</v>
      </c>
      <c r="G8" s="1174" t="s">
        <v>125</v>
      </c>
      <c r="H8" s="1390" t="s">
        <v>82</v>
      </c>
      <c r="I8" s="1335" t="s">
        <v>8</v>
      </c>
      <c r="J8" s="1393" t="s">
        <v>9</v>
      </c>
      <c r="K8" s="1394"/>
      <c r="L8" s="1394"/>
      <c r="M8" s="1394"/>
      <c r="N8" s="1394"/>
      <c r="O8" s="1395"/>
      <c r="P8" s="351"/>
      <c r="Q8" s="351"/>
      <c r="R8" s="1399" t="s">
        <v>10</v>
      </c>
      <c r="S8" s="1400"/>
      <c r="T8" s="1400"/>
      <c r="U8" s="1400"/>
      <c r="V8" s="1400"/>
      <c r="W8" s="1401"/>
      <c r="X8" s="1335" t="s">
        <v>29</v>
      </c>
      <c r="Y8" s="1170" t="s">
        <v>114</v>
      </c>
      <c r="Z8" s="1170" t="s">
        <v>73</v>
      </c>
      <c r="AA8" s="1170" t="s">
        <v>99</v>
      </c>
      <c r="AB8" s="1335" t="s">
        <v>11</v>
      </c>
      <c r="AC8" s="1396" t="s">
        <v>345</v>
      </c>
      <c r="AD8" s="1335" t="str">
        <f>+P9</f>
        <v>VACACIONES</v>
      </c>
      <c r="AE8" s="1335" t="str">
        <f>+Q9</f>
        <v>13VO MES</v>
      </c>
    </row>
    <row r="9" spans="1:31" ht="21.75" customHeight="1" thickTop="1" x14ac:dyDescent="0.2">
      <c r="A9" s="1337"/>
      <c r="B9" s="1337"/>
      <c r="C9" s="1180"/>
      <c r="D9" s="1337"/>
      <c r="E9" s="1372"/>
      <c r="F9" s="1372"/>
      <c r="G9" s="1175"/>
      <c r="H9" s="1391"/>
      <c r="I9" s="1337"/>
      <c r="J9" s="1335" t="s">
        <v>177</v>
      </c>
      <c r="K9" s="1333" t="s">
        <v>16</v>
      </c>
      <c r="L9" s="1168" t="s">
        <v>196</v>
      </c>
      <c r="M9" s="1168" t="s">
        <v>197</v>
      </c>
      <c r="N9" s="1333" t="s">
        <v>195</v>
      </c>
      <c r="O9" s="1335" t="s">
        <v>200</v>
      </c>
      <c r="P9" s="1335" t="s">
        <v>199</v>
      </c>
      <c r="Q9" s="1335" t="s">
        <v>53</v>
      </c>
      <c r="R9" s="1335" t="s">
        <v>29</v>
      </c>
      <c r="S9" s="1170"/>
      <c r="T9" s="1335" t="s">
        <v>3</v>
      </c>
      <c r="U9" s="1335" t="s">
        <v>19</v>
      </c>
      <c r="V9" s="1335" t="s">
        <v>94</v>
      </c>
      <c r="W9" s="1335" t="s">
        <v>20</v>
      </c>
      <c r="X9" s="1337"/>
      <c r="Y9" s="1171"/>
      <c r="Z9" s="1171"/>
      <c r="AA9" s="1171"/>
      <c r="AB9" s="1337"/>
      <c r="AC9" s="1397"/>
      <c r="AD9" s="1337"/>
      <c r="AE9" s="1337"/>
    </row>
    <row r="10" spans="1:31" ht="24" customHeight="1" thickBot="1" x14ac:dyDescent="0.25">
      <c r="A10" s="1336"/>
      <c r="B10" s="1336"/>
      <c r="C10" s="1181"/>
      <c r="D10" s="1336"/>
      <c r="E10" s="1373"/>
      <c r="F10" s="1373"/>
      <c r="G10" s="1176"/>
      <c r="H10" s="1392"/>
      <c r="I10" s="1336"/>
      <c r="J10" s="1336"/>
      <c r="K10" s="1334"/>
      <c r="L10" s="1169"/>
      <c r="M10" s="1169"/>
      <c r="N10" s="1334"/>
      <c r="O10" s="1336"/>
      <c r="P10" s="1336"/>
      <c r="Q10" s="1336"/>
      <c r="R10" s="1336"/>
      <c r="S10" s="1172"/>
      <c r="T10" s="1336"/>
      <c r="U10" s="1336"/>
      <c r="V10" s="1336"/>
      <c r="W10" s="1336"/>
      <c r="X10" s="1336"/>
      <c r="Y10" s="1172"/>
      <c r="Z10" s="1172"/>
      <c r="AA10" s="1172"/>
      <c r="AB10" s="1336"/>
      <c r="AC10" s="1398"/>
      <c r="AD10" s="1336"/>
      <c r="AE10" s="1336"/>
    </row>
    <row r="11" spans="1:31" ht="99.75" hidden="1" customHeight="1" thickTop="1" thickBot="1" x14ac:dyDescent="0.25">
      <c r="A11" s="319">
        <v>1</v>
      </c>
      <c r="B11" s="738">
        <v>0</v>
      </c>
      <c r="C11" s="739" t="s">
        <v>406</v>
      </c>
      <c r="D11" s="632" t="s">
        <v>392</v>
      </c>
      <c r="E11" s="211" t="s">
        <v>32</v>
      </c>
      <c r="F11" s="353" t="s">
        <v>405</v>
      </c>
      <c r="G11" s="612">
        <f>+'Cambio del dia'!G31</f>
        <v>36.624299999999998</v>
      </c>
      <c r="H11" s="216">
        <v>500</v>
      </c>
      <c r="I11" s="321">
        <f>+H11*30</f>
        <v>15000</v>
      </c>
      <c r="J11" s="631">
        <f>(I11)/30*K11</f>
        <v>0</v>
      </c>
      <c r="K11" s="1001">
        <v>0</v>
      </c>
      <c r="L11" s="328">
        <f>+M11*N11</f>
        <v>0</v>
      </c>
      <c r="M11" s="584">
        <v>0</v>
      </c>
      <c r="N11" s="328">
        <v>0</v>
      </c>
      <c r="O11" s="585">
        <f>+J11-P11-Q11</f>
        <v>0</v>
      </c>
      <c r="P11" s="585">
        <f>+J11/12</f>
        <v>0</v>
      </c>
      <c r="Q11" s="585">
        <f>+P11</f>
        <v>0</v>
      </c>
      <c r="R11" s="583">
        <f>+Q11+O11+P11</f>
        <v>0</v>
      </c>
      <c r="S11" s="588">
        <f>O11+P11</f>
        <v>0</v>
      </c>
      <c r="T11" s="583"/>
      <c r="U11" s="583"/>
      <c r="V11" s="583"/>
      <c r="W11" s="585">
        <f>T11</f>
        <v>0</v>
      </c>
      <c r="X11" s="585">
        <f>-W11+O11+P11+Q11</f>
        <v>0</v>
      </c>
      <c r="Y11" s="324">
        <v>0</v>
      </c>
      <c r="Z11" s="324">
        <f>+R11-Y11</f>
        <v>0</v>
      </c>
      <c r="AA11" s="324">
        <v>0</v>
      </c>
      <c r="AB11" s="630">
        <f>X11-Y11-AA11</f>
        <v>0</v>
      </c>
      <c r="AC11" s="325"/>
      <c r="AD11" s="325">
        <v>0</v>
      </c>
      <c r="AE11" s="325">
        <v>0</v>
      </c>
    </row>
    <row r="12" spans="1:31" ht="89.25" customHeight="1" thickTop="1" thickBot="1" x14ac:dyDescent="0.25">
      <c r="A12" s="904"/>
      <c r="B12" s="941"/>
      <c r="C12" s="923"/>
      <c r="D12" s="907" t="s">
        <v>488</v>
      </c>
      <c r="E12" s="211" t="s">
        <v>32</v>
      </c>
      <c r="F12" s="353" t="s">
        <v>489</v>
      </c>
      <c r="G12" s="612"/>
      <c r="H12" s="216">
        <v>500</v>
      </c>
      <c r="I12" s="321">
        <f>+H12*30</f>
        <v>15000</v>
      </c>
      <c r="J12" s="631">
        <f>(I12)/30*K12</f>
        <v>0</v>
      </c>
      <c r="K12" s="1063">
        <v>0</v>
      </c>
      <c r="L12" s="328"/>
      <c r="M12" s="584"/>
      <c r="N12" s="328"/>
      <c r="O12" s="585">
        <f>+J12-P12-Q12</f>
        <v>0</v>
      </c>
      <c r="P12" s="585">
        <f>+J12/12</f>
        <v>0</v>
      </c>
      <c r="Q12" s="585">
        <f>+P12</f>
        <v>0</v>
      </c>
      <c r="R12" s="583">
        <f>+Q12+O12+P12</f>
        <v>0</v>
      </c>
      <c r="S12" s="588"/>
      <c r="T12" s="583"/>
      <c r="U12" s="583"/>
      <c r="V12" s="583"/>
      <c r="W12" s="585"/>
      <c r="X12" s="585">
        <f>-W12+O12+P12+Q12</f>
        <v>0</v>
      </c>
      <c r="Y12" s="324">
        <v>0</v>
      </c>
      <c r="Z12" s="324">
        <f>+R12-Y12</f>
        <v>0</v>
      </c>
      <c r="AA12" s="324">
        <v>1994</v>
      </c>
      <c r="AB12" s="630">
        <f>X12-Y12-AA12</f>
        <v>-1994</v>
      </c>
      <c r="AC12" s="325"/>
      <c r="AD12" s="325"/>
      <c r="AE12" s="325"/>
    </row>
    <row r="13" spans="1:31" ht="27.6" thickTop="1" thickBot="1" x14ac:dyDescent="0.25">
      <c r="A13" s="1162" t="s">
        <v>95</v>
      </c>
      <c r="B13" s="1389"/>
      <c r="C13" s="1389"/>
      <c r="D13" s="1164"/>
      <c r="E13" s="215"/>
      <c r="F13" s="215"/>
      <c r="G13" s="663" t="e">
        <f>SUM(#REF!)</f>
        <v>#REF!</v>
      </c>
      <c r="H13" s="86">
        <f t="shared" ref="H13:AA13" si="0">SUM(H11:H12)</f>
        <v>1000</v>
      </c>
      <c r="I13" s="86">
        <f t="shared" si="0"/>
        <v>30000</v>
      </c>
      <c r="J13" s="86">
        <f t="shared" si="0"/>
        <v>0</v>
      </c>
      <c r="K13" s="86">
        <f t="shared" si="0"/>
        <v>0</v>
      </c>
      <c r="L13" s="725">
        <f t="shared" si="0"/>
        <v>0</v>
      </c>
      <c r="M13" s="725">
        <f t="shared" si="0"/>
        <v>0</v>
      </c>
      <c r="N13" s="725">
        <f t="shared" si="0"/>
        <v>0</v>
      </c>
      <c r="O13" s="86">
        <f t="shared" si="0"/>
        <v>0</v>
      </c>
      <c r="P13" s="86">
        <f t="shared" si="0"/>
        <v>0</v>
      </c>
      <c r="Q13" s="86">
        <f t="shared" si="0"/>
        <v>0</v>
      </c>
      <c r="R13" s="163">
        <f t="shared" si="0"/>
        <v>0</v>
      </c>
      <c r="S13" s="725">
        <f t="shared" si="0"/>
        <v>0</v>
      </c>
      <c r="T13" s="725">
        <f t="shared" si="0"/>
        <v>0</v>
      </c>
      <c r="U13" s="725">
        <f t="shared" si="0"/>
        <v>0</v>
      </c>
      <c r="V13" s="725">
        <f t="shared" si="0"/>
        <v>0</v>
      </c>
      <c r="W13" s="725">
        <f t="shared" si="0"/>
        <v>0</v>
      </c>
      <c r="X13" s="86">
        <f t="shared" si="0"/>
        <v>0</v>
      </c>
      <c r="Y13" s="725">
        <f t="shared" si="0"/>
        <v>0</v>
      </c>
      <c r="Z13" s="317">
        <f>+R13-Y13</f>
        <v>0</v>
      </c>
      <c r="AA13" s="1082">
        <f t="shared" si="0"/>
        <v>1994</v>
      </c>
      <c r="AB13" s="1082">
        <f>SUM(AB11:AB12)</f>
        <v>-1994</v>
      </c>
      <c r="AC13" s="87" t="s">
        <v>105</v>
      </c>
      <c r="AD13" s="86" t="e">
        <f>SUM(#REF!)</f>
        <v>#REF!</v>
      </c>
      <c r="AE13" s="86" t="e">
        <f>SUM(#REF!)</f>
        <v>#REF!</v>
      </c>
    </row>
    <row r="14" spans="1:31" ht="18" thickTop="1" x14ac:dyDescent="0.2">
      <c r="A14" s="948"/>
      <c r="B14" s="948"/>
      <c r="C14" s="948"/>
      <c r="D14" s="948"/>
      <c r="E14" s="949"/>
      <c r="F14" s="949"/>
      <c r="G14" s="950"/>
      <c r="H14" s="951"/>
      <c r="I14" s="951"/>
      <c r="J14" s="951"/>
      <c r="K14" s="951"/>
      <c r="L14" s="952"/>
      <c r="M14" s="952"/>
      <c r="N14" s="952"/>
      <c r="O14" s="951"/>
      <c r="P14" s="951"/>
      <c r="Q14" s="951"/>
      <c r="R14" s="951"/>
      <c r="S14" s="952"/>
      <c r="T14" s="952"/>
      <c r="U14" s="952"/>
      <c r="V14" s="952"/>
      <c r="W14" s="952"/>
      <c r="X14" s="951"/>
      <c r="Y14" s="952"/>
      <c r="Z14" s="952"/>
      <c r="AA14" s="952"/>
      <c r="AB14" s="952"/>
      <c r="AC14" s="953"/>
      <c r="AD14" s="951"/>
      <c r="AE14" s="951"/>
    </row>
    <row r="15" spans="1:31" ht="17.399999999999999" x14ac:dyDescent="0.2">
      <c r="A15" s="948"/>
      <c r="B15" s="948"/>
      <c r="C15" s="948"/>
      <c r="D15" s="948"/>
      <c r="E15" s="949"/>
      <c r="F15" s="949"/>
      <c r="G15" s="950"/>
      <c r="H15" s="951"/>
      <c r="I15" s="951"/>
      <c r="J15" s="951"/>
      <c r="K15" s="951"/>
      <c r="L15" s="952"/>
      <c r="M15" s="952"/>
      <c r="N15" s="952"/>
      <c r="O15" s="951"/>
      <c r="P15" s="951"/>
      <c r="Q15" s="951"/>
      <c r="R15" s="951"/>
      <c r="S15" s="952"/>
      <c r="T15" s="952"/>
      <c r="U15" s="952"/>
      <c r="V15" s="952"/>
      <c r="W15" s="952"/>
      <c r="X15" s="951"/>
      <c r="Y15" s="952"/>
      <c r="Z15" s="952"/>
      <c r="AA15" s="952"/>
      <c r="AB15" s="952"/>
      <c r="AC15" s="953"/>
      <c r="AD15" s="951"/>
      <c r="AE15" s="951"/>
    </row>
    <row r="16" spans="1:31" ht="17.399999999999999" x14ac:dyDescent="0.2">
      <c r="A16" s="948"/>
      <c r="B16" s="948"/>
      <c r="C16" s="948"/>
      <c r="D16" s="948"/>
      <c r="E16" s="949"/>
      <c r="F16" s="949"/>
      <c r="G16" s="950"/>
      <c r="H16" s="951"/>
      <c r="I16" s="951"/>
      <c r="J16" s="951"/>
      <c r="K16" s="951"/>
      <c r="L16" s="952"/>
      <c r="M16" s="952"/>
      <c r="N16" s="952"/>
      <c r="O16" s="951"/>
      <c r="P16" s="951"/>
      <c r="Q16" s="951"/>
      <c r="R16" s="951"/>
      <c r="S16" s="952"/>
      <c r="T16" s="952"/>
      <c r="U16" s="952"/>
      <c r="V16" s="952"/>
      <c r="W16" s="952"/>
      <c r="X16" s="951"/>
      <c r="Y16" s="952"/>
      <c r="Z16" s="952"/>
      <c r="AA16" s="952"/>
      <c r="AB16" s="952"/>
      <c r="AC16" s="953"/>
      <c r="AD16" s="951"/>
      <c r="AE16" s="951"/>
    </row>
    <row r="17" spans="1:32" ht="17.399999999999999" x14ac:dyDescent="0.2">
      <c r="A17" s="948"/>
      <c r="B17" s="948"/>
      <c r="C17" s="948"/>
      <c r="D17" s="948"/>
      <c r="E17" s="949"/>
      <c r="F17" s="949"/>
      <c r="G17" s="950"/>
      <c r="H17" s="951"/>
      <c r="I17" s="951"/>
      <c r="J17" s="951"/>
      <c r="K17" s="951"/>
      <c r="L17" s="952"/>
      <c r="M17" s="952"/>
      <c r="N17" s="952"/>
      <c r="O17" s="951"/>
      <c r="P17" s="951"/>
      <c r="Q17" s="951"/>
      <c r="R17" s="951"/>
      <c r="S17" s="952"/>
      <c r="T17" s="952"/>
      <c r="U17" s="952"/>
      <c r="V17" s="952"/>
      <c r="W17" s="952"/>
      <c r="X17" s="951"/>
      <c r="Y17" s="952"/>
      <c r="Z17" s="952"/>
      <c r="AA17" s="952"/>
      <c r="AB17" s="952"/>
      <c r="AC17" s="953"/>
      <c r="AD17" s="951"/>
      <c r="AE17" s="951"/>
    </row>
    <row r="18" spans="1:32" ht="17.399999999999999" customHeight="1" x14ac:dyDescent="0.2">
      <c r="A18" s="27"/>
      <c r="B18" s="27"/>
      <c r="C18" s="27"/>
      <c r="D18" s="27"/>
      <c r="E18" s="27"/>
      <c r="F18" s="28"/>
      <c r="G18" s="613"/>
      <c r="H18" s="28"/>
      <c r="I18" s="27"/>
      <c r="J18" s="27"/>
      <c r="K18" s="29"/>
      <c r="L18" s="29"/>
      <c r="M18" s="29"/>
      <c r="N18" s="29"/>
      <c r="O18" s="27" t="s">
        <v>5</v>
      </c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 spans="1:32" ht="14.4" x14ac:dyDescent="0.2">
      <c r="A19" s="27"/>
      <c r="B19" s="27"/>
      <c r="C19" s="27"/>
      <c r="D19" s="27"/>
      <c r="E19" s="27"/>
      <c r="F19" s="28"/>
      <c r="G19" s="613"/>
      <c r="H19" s="28"/>
      <c r="I19" s="27"/>
      <c r="J19" s="27"/>
      <c r="K19" s="29"/>
      <c r="L19" s="29"/>
      <c r="M19" s="29"/>
      <c r="N19" s="29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 spans="1:32" ht="14.4" x14ac:dyDescent="0.2">
      <c r="A20" s="27"/>
      <c r="B20" s="27"/>
      <c r="C20" s="27"/>
      <c r="D20" s="1167" t="s">
        <v>23</v>
      </c>
      <c r="E20" s="1167"/>
      <c r="F20" s="1167"/>
      <c r="G20" s="1167"/>
      <c r="H20" s="52"/>
      <c r="I20" s="52"/>
      <c r="J20" s="27"/>
      <c r="K20" s="27"/>
      <c r="L20" s="1167" t="s">
        <v>24</v>
      </c>
      <c r="M20" s="1167"/>
      <c r="N20" s="1167"/>
      <c r="O20" s="1167"/>
      <c r="P20" s="1167"/>
      <c r="Q20" s="1167"/>
      <c r="R20" s="1167"/>
      <c r="S20" s="1167"/>
      <c r="T20" s="1167"/>
      <c r="U20" s="1167"/>
      <c r="V20" s="1167"/>
      <c r="W20" s="1167"/>
      <c r="X20" s="1167"/>
      <c r="Y20" s="52"/>
      <c r="Z20" s="52"/>
      <c r="AA20" s="27"/>
      <c r="AB20" s="27"/>
      <c r="AC20" s="1167" t="s">
        <v>25</v>
      </c>
      <c r="AD20" s="1167"/>
      <c r="AE20" s="1167"/>
      <c r="AF20" s="1167"/>
    </row>
    <row r="21" spans="1:32" ht="15.6" x14ac:dyDescent="0.2">
      <c r="A21" s="27"/>
      <c r="B21" s="27"/>
      <c r="C21" s="27"/>
      <c r="D21" s="1326" t="s">
        <v>400</v>
      </c>
      <c r="E21" s="1326"/>
      <c r="F21" s="1326"/>
      <c r="G21" s="1326"/>
      <c r="H21" s="48"/>
      <c r="I21" s="48"/>
      <c r="J21" s="27"/>
      <c r="K21" s="30"/>
      <c r="L21" s="1159" t="s">
        <v>350</v>
      </c>
      <c r="M21" s="1159"/>
      <c r="N21" s="1159"/>
      <c r="O21" s="1159"/>
      <c r="P21" s="1159"/>
      <c r="Q21" s="1159"/>
      <c r="R21" s="1159"/>
      <c r="S21" s="1159"/>
      <c r="T21" s="1159"/>
      <c r="U21" s="1159"/>
      <c r="V21" s="1159"/>
      <c r="W21" s="1159"/>
      <c r="X21" s="1159"/>
      <c r="Y21" s="48"/>
      <c r="Z21" s="48"/>
      <c r="AA21" s="33"/>
      <c r="AB21" s="33"/>
      <c r="AC21" s="1160" t="s">
        <v>495</v>
      </c>
      <c r="AD21" s="1160"/>
      <c r="AE21" s="1160"/>
      <c r="AF21" s="1160"/>
    </row>
  </sheetData>
  <protectedRanges>
    <protectedRange sqref="D11:D12" name="Nomina_2_1_2"/>
  </protectedRanges>
  <mergeCells count="43">
    <mergeCell ref="F8:F10"/>
    <mergeCell ref="X8:X10"/>
    <mergeCell ref="J9:J10"/>
    <mergeCell ref="K9:K10"/>
    <mergeCell ref="L9:L10"/>
    <mergeCell ref="M9:M10"/>
    <mergeCell ref="A8:A10"/>
    <mergeCell ref="B8:B10"/>
    <mergeCell ref="C8:C10"/>
    <mergeCell ref="D8:D10"/>
    <mergeCell ref="E8:E10"/>
    <mergeCell ref="A2:AE2"/>
    <mergeCell ref="A3:AE3"/>
    <mergeCell ref="A4:AC4"/>
    <mergeCell ref="T9:T10"/>
    <mergeCell ref="U9:U10"/>
    <mergeCell ref="V9:V10"/>
    <mergeCell ref="W9:W10"/>
    <mergeCell ref="R9:R10"/>
    <mergeCell ref="S9:S10"/>
    <mergeCell ref="Y8:Y10"/>
    <mergeCell ref="AA8:AA10"/>
    <mergeCell ref="AB8:AB10"/>
    <mergeCell ref="AC8:AC10"/>
    <mergeCell ref="AD8:AD10"/>
    <mergeCell ref="AE8:AE10"/>
    <mergeCell ref="R8:W8"/>
    <mergeCell ref="Z8:Z10"/>
    <mergeCell ref="D20:G20"/>
    <mergeCell ref="L20:X20"/>
    <mergeCell ref="AC20:AF20"/>
    <mergeCell ref="D21:G21"/>
    <mergeCell ref="L21:X21"/>
    <mergeCell ref="AC21:AF21"/>
    <mergeCell ref="A13:D13"/>
    <mergeCell ref="N9:N10"/>
    <mergeCell ref="O9:O10"/>
    <mergeCell ref="P9:P10"/>
    <mergeCell ref="Q9:Q10"/>
    <mergeCell ref="G8:G10"/>
    <mergeCell ref="H8:H10"/>
    <mergeCell ref="I8:I10"/>
    <mergeCell ref="J8:O8"/>
  </mergeCells>
  <printOptions horizontalCentered="1" verticalCentered="1"/>
  <pageMargins left="0.11811023622047245" right="0.11811023622047245" top="0" bottom="1.1417322834645669" header="0.31496062992125984" footer="0.31496062992125984"/>
  <pageSetup paperSize="5" scale="54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5526-8667-42A7-AD08-2F1B8B9655FC}">
  <dimension ref="A1"/>
  <sheetViews>
    <sheetView workbookViewId="0"/>
  </sheetViews>
  <sheetFormatPr baseColWidth="10" defaultRowHeight="10.199999999999999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1">
    <tabColor theme="5" tint="0.59999389629810485"/>
  </sheetPr>
  <dimension ref="A1:S19"/>
  <sheetViews>
    <sheetView topLeftCell="A4" zoomScaleNormal="100" workbookViewId="0">
      <selection activeCell="H7" sqref="H7"/>
    </sheetView>
  </sheetViews>
  <sheetFormatPr baseColWidth="10" defaultRowHeight="10.199999999999999" x14ac:dyDescent="0.2"/>
  <cols>
    <col min="1" max="1" width="6.28515625" customWidth="1"/>
    <col min="2" max="2" width="55.140625" customWidth="1"/>
    <col min="3" max="3" width="28.42578125" customWidth="1"/>
    <col min="4" max="4" width="32.42578125" customWidth="1"/>
    <col min="5" max="5" width="30.140625" customWidth="1"/>
    <col min="6" max="6" width="32.140625" hidden="1" customWidth="1"/>
    <col min="7" max="7" width="32.28515625" customWidth="1"/>
    <col min="8" max="8" width="47.28515625" customWidth="1"/>
    <col min="9" max="9" width="0.140625" hidden="1" customWidth="1"/>
    <col min="10" max="10" width="52.140625" customWidth="1"/>
    <col min="12" max="12" width="22.85546875" bestFit="1" customWidth="1"/>
    <col min="13" max="13" width="30.140625" bestFit="1" customWidth="1"/>
  </cols>
  <sheetData>
    <row r="1" spans="1:19" s="195" customFormat="1" ht="24.6" x14ac:dyDescent="0.2">
      <c r="A1" s="1402" t="s">
        <v>147</v>
      </c>
      <c r="B1" s="1402"/>
      <c r="C1" s="1402"/>
      <c r="D1" s="1402"/>
      <c r="E1" s="1402"/>
      <c r="F1" s="1402"/>
      <c r="G1" s="1402"/>
      <c r="H1" s="1402"/>
      <c r="I1" s="589"/>
      <c r="J1" s="589"/>
      <c r="K1" s="589"/>
    </row>
    <row r="2" spans="1:19" s="195" customFormat="1" ht="24.6" x14ac:dyDescent="0.2">
      <c r="A2" s="1402" t="s">
        <v>539</v>
      </c>
      <c r="B2" s="1402"/>
      <c r="C2" s="1402"/>
      <c r="D2" s="1402"/>
      <c r="E2" s="1402"/>
      <c r="F2" s="1402"/>
      <c r="G2" s="1402"/>
      <c r="H2" s="1402"/>
      <c r="I2" s="589"/>
      <c r="J2" s="589"/>
      <c r="K2" s="589"/>
    </row>
    <row r="3" spans="1:19" s="195" customFormat="1" ht="24.6" x14ac:dyDescent="0.2">
      <c r="A3" s="1402" t="s">
        <v>287</v>
      </c>
      <c r="B3" s="1402"/>
      <c r="C3" s="1402"/>
      <c r="D3" s="1402"/>
      <c r="E3" s="1402"/>
      <c r="F3" s="1402"/>
      <c r="G3" s="1402"/>
      <c r="H3" s="1402"/>
      <c r="I3" s="589"/>
      <c r="J3" s="589"/>
      <c r="K3" s="589"/>
    </row>
    <row r="4" spans="1:19" s="195" customFormat="1" ht="23.4" customHeight="1" thickBot="1" x14ac:dyDescent="0.25">
      <c r="A4" s="554"/>
      <c r="B4" s="555"/>
      <c r="C4" s="554"/>
      <c r="D4" s="554"/>
      <c r="E4" s="554"/>
      <c r="F4" s="554"/>
      <c r="G4" s="554"/>
      <c r="H4" s="554"/>
      <c r="I4" s="554"/>
      <c r="J4" s="554"/>
      <c r="K4" s="554"/>
    </row>
    <row r="5" spans="1:19" s="107" customFormat="1" ht="11.4" customHeight="1" x14ac:dyDescent="0.2">
      <c r="A5" s="1406" t="s">
        <v>71</v>
      </c>
      <c r="B5" s="1408" t="s">
        <v>6</v>
      </c>
      <c r="C5" s="1410" t="s">
        <v>388</v>
      </c>
      <c r="D5" s="733"/>
      <c r="E5" s="733"/>
      <c r="F5" s="1410" t="s">
        <v>99</v>
      </c>
      <c r="G5" s="1410" t="s">
        <v>73</v>
      </c>
      <c r="H5" s="1412" t="s">
        <v>38</v>
      </c>
      <c r="I5" s="556"/>
      <c r="J5" s="556"/>
      <c r="K5" s="556"/>
    </row>
    <row r="6" spans="1:19" s="195" customFormat="1" ht="44.4" customHeight="1" thickBot="1" x14ac:dyDescent="0.25">
      <c r="A6" s="1407"/>
      <c r="B6" s="1409"/>
      <c r="C6" s="1411"/>
      <c r="D6" s="734" t="s">
        <v>114</v>
      </c>
      <c r="E6" s="734" t="s">
        <v>388</v>
      </c>
      <c r="F6" s="1411"/>
      <c r="G6" s="1411"/>
      <c r="H6" s="1413"/>
      <c r="I6" s="556"/>
      <c r="J6" s="556"/>
      <c r="K6" s="557"/>
      <c r="M6" s="213"/>
      <c r="N6" s="213"/>
      <c r="O6" s="218"/>
      <c r="Q6" s="472" t="e">
        <f>+#REF!</f>
        <v>#REF!</v>
      </c>
    </row>
    <row r="7" spans="1:19" s="195" customFormat="1" ht="60.6" customHeight="1" thickTop="1" thickBot="1" x14ac:dyDescent="0.25">
      <c r="A7" s="558">
        <v>1</v>
      </c>
      <c r="B7" s="956" t="s">
        <v>220</v>
      </c>
      <c r="C7" s="559">
        <f>M14</f>
        <v>3409.2</v>
      </c>
      <c r="D7" s="559">
        <v>0</v>
      </c>
      <c r="E7" s="559">
        <f>C7-D7</f>
        <v>3409.2</v>
      </c>
      <c r="F7" s="559"/>
      <c r="G7" s="559">
        <f>+E7-F7</f>
        <v>3409.2</v>
      </c>
      <c r="H7" s="559"/>
      <c r="I7" s="556"/>
      <c r="J7" s="554"/>
      <c r="K7" s="554"/>
    </row>
    <row r="8" spans="1:19" s="195" customFormat="1" ht="61.5" customHeight="1" thickTop="1" thickBot="1" x14ac:dyDescent="0.25">
      <c r="A8" s="558">
        <v>2</v>
      </c>
      <c r="B8" s="956" t="s">
        <v>350</v>
      </c>
      <c r="C8" s="559">
        <v>1600</v>
      </c>
      <c r="D8" s="559">
        <v>0</v>
      </c>
      <c r="E8" s="559">
        <f t="shared" ref="E8:E11" si="0">C8-D8</f>
        <v>1600</v>
      </c>
      <c r="F8" s="559"/>
      <c r="G8" s="559">
        <f>+E8-F8</f>
        <v>1600</v>
      </c>
      <c r="H8" s="559"/>
      <c r="I8" s="556"/>
      <c r="J8" s="554"/>
      <c r="K8" s="554"/>
    </row>
    <row r="9" spans="1:19" s="195" customFormat="1" ht="60.6" hidden="1" customHeight="1" thickTop="1" thickBot="1" x14ac:dyDescent="0.25">
      <c r="A9" s="558">
        <v>3</v>
      </c>
      <c r="B9" s="956"/>
      <c r="C9" s="559">
        <v>0</v>
      </c>
      <c r="D9" s="559">
        <v>0</v>
      </c>
      <c r="E9" s="559">
        <f>C9-D9</f>
        <v>0</v>
      </c>
      <c r="F9" s="1002">
        <v>0</v>
      </c>
      <c r="G9" s="559">
        <f>+E9-F9</f>
        <v>0</v>
      </c>
      <c r="H9" s="559"/>
      <c r="I9" s="556"/>
      <c r="J9" s="554"/>
      <c r="K9" s="554"/>
    </row>
    <row r="10" spans="1:19" s="195" customFormat="1" ht="60.6" hidden="1" customHeight="1" thickTop="1" thickBot="1" x14ac:dyDescent="0.25">
      <c r="A10" s="558">
        <v>3</v>
      </c>
      <c r="B10" s="956" t="s">
        <v>186</v>
      </c>
      <c r="C10" s="559">
        <v>0</v>
      </c>
      <c r="D10" s="559">
        <v>0</v>
      </c>
      <c r="E10" s="559">
        <f t="shared" ref="E10" si="1">C10-D10</f>
        <v>0</v>
      </c>
      <c r="F10" s="559"/>
      <c r="G10" s="559">
        <f>+E10-F10</f>
        <v>0</v>
      </c>
      <c r="H10" s="559"/>
      <c r="I10" s="556"/>
      <c r="J10" s="554"/>
      <c r="K10" s="554"/>
    </row>
    <row r="11" spans="1:19" s="195" customFormat="1" ht="60.6" hidden="1" customHeight="1" thickTop="1" thickBot="1" x14ac:dyDescent="0.25">
      <c r="A11" s="558">
        <v>3</v>
      </c>
      <c r="B11" s="956" t="str">
        <f>+'ADMON COM. '!D21</f>
        <v>ARMANDO GUIDO GONZALEZ</v>
      </c>
      <c r="C11" s="559">
        <v>0</v>
      </c>
      <c r="D11" s="559">
        <v>0</v>
      </c>
      <c r="E11" s="559">
        <f t="shared" si="0"/>
        <v>0</v>
      </c>
      <c r="F11" s="559"/>
      <c r="G11" s="559">
        <f>+E11-F11</f>
        <v>0</v>
      </c>
      <c r="H11" s="559"/>
      <c r="I11" s="556"/>
      <c r="J11" s="554"/>
      <c r="K11" s="554"/>
    </row>
    <row r="12" spans="1:19" s="195" customFormat="1" ht="47.4" customHeight="1" thickTop="1" thickBot="1" x14ac:dyDescent="0.25">
      <c r="A12" s="1404" t="s">
        <v>140</v>
      </c>
      <c r="B12" s="1405"/>
      <c r="C12" s="333">
        <f>SUM(C7:C11)</f>
        <v>5009.2</v>
      </c>
      <c r="D12" s="333">
        <f>SUM(D7:D11)</f>
        <v>0</v>
      </c>
      <c r="E12" s="333">
        <f>SUM(E7:E11)</f>
        <v>5009.2</v>
      </c>
      <c r="F12" s="333">
        <f t="shared" ref="F12:G12" si="2">SUM(F7:F11)</f>
        <v>0</v>
      </c>
      <c r="G12" s="333">
        <f t="shared" si="2"/>
        <v>5009.2</v>
      </c>
      <c r="H12" s="717" t="s">
        <v>288</v>
      </c>
      <c r="I12" s="680"/>
      <c r="J12" s="681"/>
      <c r="K12" s="554"/>
    </row>
    <row r="13" spans="1:19" s="195" customFormat="1" ht="47.4" customHeight="1" x14ac:dyDescent="0.2">
      <c r="A13" s="718"/>
      <c r="B13" s="718"/>
      <c r="C13" s="720"/>
      <c r="D13" s="720"/>
      <c r="E13" s="720"/>
      <c r="F13" s="720"/>
      <c r="G13" s="720"/>
      <c r="H13" s="719"/>
      <c r="I13" s="680"/>
      <c r="J13" s="681"/>
      <c r="K13" s="1028"/>
      <c r="L13" s="1028"/>
      <c r="M13" s="1028"/>
      <c r="N13" s="1028"/>
    </row>
    <row r="14" spans="1:19" s="270" customFormat="1" ht="29.25" customHeight="1" x14ac:dyDescent="0.25">
      <c r="A14" s="554"/>
      <c r="B14" s="555"/>
      <c r="C14" s="554"/>
      <c r="D14" s="554"/>
      <c r="E14" s="554"/>
      <c r="F14" s="554"/>
      <c r="G14" s="554"/>
      <c r="H14" s="554"/>
      <c r="I14" s="554"/>
      <c r="J14" s="556"/>
      <c r="K14" s="1029"/>
      <c r="L14" s="1030">
        <f>177.28*ADMON!L19</f>
        <v>2659.2</v>
      </c>
      <c r="M14" s="1031">
        <f>L14+L17</f>
        <v>3409.2</v>
      </c>
      <c r="N14" s="1029"/>
      <c r="O14" s="475"/>
      <c r="P14" s="475"/>
      <c r="Q14" s="475"/>
      <c r="R14" s="475"/>
      <c r="S14" s="475"/>
    </row>
    <row r="15" spans="1:19" s="270" customFormat="1" ht="29.25" hidden="1" customHeight="1" x14ac:dyDescent="0.25">
      <c r="A15" s="554"/>
      <c r="B15" s="555"/>
      <c r="C15" s="554"/>
      <c r="D15" s="554"/>
      <c r="E15" s="554"/>
      <c r="F15" s="554"/>
      <c r="G15" s="554"/>
      <c r="H15" s="554"/>
      <c r="I15" s="554"/>
      <c r="J15" s="556"/>
      <c r="K15" s="1029"/>
      <c r="L15" s="1029"/>
      <c r="M15" s="1032">
        <v>2659.25</v>
      </c>
      <c r="N15" s="1029"/>
      <c r="O15" s="475"/>
      <c r="P15" s="475"/>
      <c r="Q15" s="475"/>
      <c r="R15" s="475"/>
      <c r="S15" s="475"/>
    </row>
    <row r="16" spans="1:19" s="270" customFormat="1" ht="18" customHeight="1" x14ac:dyDescent="0.25">
      <c r="A16" s="554"/>
      <c r="B16" s="1165"/>
      <c r="C16" s="1165"/>
      <c r="D16" s="1165"/>
      <c r="E16" s="1165"/>
      <c r="F16" s="1165"/>
      <c r="G16" s="1165"/>
      <c r="H16" s="1165"/>
      <c r="I16" s="1165"/>
      <c r="J16" s="556"/>
      <c r="K16" s="1029"/>
      <c r="L16" s="1029"/>
      <c r="M16" s="1033">
        <v>6409.25</v>
      </c>
      <c r="N16" s="1029"/>
      <c r="O16" s="475"/>
      <c r="P16" s="475"/>
      <c r="Q16" s="475"/>
      <c r="R16" s="475"/>
      <c r="S16" s="475"/>
    </row>
    <row r="17" spans="1:17" s="270" customFormat="1" ht="24" customHeight="1" x14ac:dyDescent="0.25">
      <c r="A17" s="554"/>
      <c r="B17" s="729" t="s">
        <v>401</v>
      </c>
      <c r="C17" s="729"/>
      <c r="D17" s="729"/>
      <c r="E17" s="729" t="s">
        <v>102</v>
      </c>
      <c r="F17" s="729"/>
      <c r="G17" s="729"/>
      <c r="H17" s="729"/>
      <c r="I17" s="729"/>
      <c r="J17" s="560"/>
      <c r="K17" s="1034"/>
      <c r="L17" s="1035">
        <f>ADMON!L19*50</f>
        <v>750</v>
      </c>
      <c r="M17" s="1036"/>
      <c r="N17" s="1029"/>
      <c r="O17" s="475"/>
      <c r="P17" s="475"/>
      <c r="Q17" s="475"/>
    </row>
    <row r="18" spans="1:17" ht="24.6" x14ac:dyDescent="0.45">
      <c r="A18" s="561"/>
      <c r="B18" s="1403" t="s">
        <v>402</v>
      </c>
      <c r="C18" s="1403"/>
      <c r="D18" s="1403"/>
      <c r="E18" s="1403"/>
      <c r="F18" s="1403"/>
      <c r="G18" s="1403"/>
      <c r="H18" s="1403"/>
      <c r="I18" s="1403"/>
      <c r="J18" s="561"/>
      <c r="K18" s="1037"/>
      <c r="L18" s="1037">
        <f>50*ADMON!L19</f>
        <v>750</v>
      </c>
      <c r="M18" s="1037"/>
      <c r="N18" s="1037"/>
    </row>
    <row r="19" spans="1:17" ht="22.8" x14ac:dyDescent="0.4">
      <c r="A19" s="561"/>
      <c r="B19" s="561"/>
      <c r="C19" s="561"/>
      <c r="D19" s="561"/>
      <c r="E19" s="561"/>
      <c r="F19" s="561"/>
      <c r="G19" s="561"/>
      <c r="H19" s="561"/>
      <c r="I19" s="561"/>
      <c r="J19" s="561"/>
      <c r="K19" s="561"/>
    </row>
  </sheetData>
  <mergeCells count="12">
    <mergeCell ref="A1:H1"/>
    <mergeCell ref="A2:H2"/>
    <mergeCell ref="A3:H3"/>
    <mergeCell ref="B16:I16"/>
    <mergeCell ref="B18:I18"/>
    <mergeCell ref="A12:B12"/>
    <mergeCell ref="A5:A6"/>
    <mergeCell ref="B5:B6"/>
    <mergeCell ref="C5:C6"/>
    <mergeCell ref="H5:H6"/>
    <mergeCell ref="F5:F6"/>
    <mergeCell ref="G5:G6"/>
  </mergeCells>
  <printOptions horizontalCentered="1" verticalCentered="1"/>
  <pageMargins left="0" right="0" top="0" bottom="0" header="0.31496062992125984" footer="0.31496062992125984"/>
  <pageSetup paperSize="5" scale="75" fitToWidth="0" fitToHeight="0" orientation="landscape" r:id="rId1"/>
  <colBreaks count="1" manualBreakCount="1">
    <brk id="9" max="17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F145-59C1-41B4-9BBE-1E71980EE0AA}">
  <dimension ref="A1:G20"/>
  <sheetViews>
    <sheetView zoomScaleNormal="100" workbookViewId="0">
      <selection activeCell="E12" sqref="E12"/>
    </sheetView>
  </sheetViews>
  <sheetFormatPr baseColWidth="10" defaultRowHeight="10.199999999999999" x14ac:dyDescent="0.2"/>
  <cols>
    <col min="1" max="1" width="7.85546875" customWidth="1"/>
    <col min="2" max="2" width="56.42578125" customWidth="1"/>
    <col min="3" max="3" width="27.42578125" customWidth="1"/>
    <col min="6" max="6" width="20.42578125" customWidth="1"/>
    <col min="7" max="7" width="35.85546875" customWidth="1"/>
  </cols>
  <sheetData>
    <row r="1" spans="1:7" ht="24.6" x14ac:dyDescent="0.45">
      <c r="A1" s="1414" t="s">
        <v>340</v>
      </c>
      <c r="B1" s="1414"/>
      <c r="C1" s="1414"/>
      <c r="D1" s="1414"/>
      <c r="E1" s="1414"/>
      <c r="F1" s="1414"/>
      <c r="G1" s="1414"/>
    </row>
    <row r="2" spans="1:7" ht="15.6" x14ac:dyDescent="0.35">
      <c r="A2" s="1415" t="s">
        <v>341</v>
      </c>
      <c r="B2" s="1415"/>
      <c r="C2" s="1415"/>
      <c r="D2" s="1415"/>
      <c r="E2" s="1415"/>
      <c r="F2" s="1415"/>
      <c r="G2" s="1415"/>
    </row>
    <row r="3" spans="1:7" ht="12.6" x14ac:dyDescent="0.25">
      <c r="A3" s="1416" t="s">
        <v>374</v>
      </c>
      <c r="B3" s="1416"/>
      <c r="C3" s="1416"/>
      <c r="D3" s="1416"/>
      <c r="E3" s="1416"/>
      <c r="F3" s="1416"/>
      <c r="G3" s="1416"/>
    </row>
    <row r="4" spans="1:7" ht="19.95" customHeight="1" x14ac:dyDescent="0.35">
      <c r="A4" s="690" t="s">
        <v>342</v>
      </c>
      <c r="B4" s="690" t="s">
        <v>343</v>
      </c>
      <c r="C4" s="690" t="s">
        <v>346</v>
      </c>
      <c r="D4" s="691" t="s">
        <v>134</v>
      </c>
      <c r="E4" s="691" t="s">
        <v>344</v>
      </c>
      <c r="F4" s="691" t="s">
        <v>29</v>
      </c>
      <c r="G4" s="691" t="s">
        <v>345</v>
      </c>
    </row>
    <row r="5" spans="1:7" ht="30" customHeight="1" x14ac:dyDescent="0.3">
      <c r="A5" s="689">
        <v>15</v>
      </c>
      <c r="B5" s="688" t="s">
        <v>186</v>
      </c>
      <c r="C5" s="688" t="s">
        <v>348</v>
      </c>
      <c r="D5" s="688">
        <v>0</v>
      </c>
      <c r="E5" s="688">
        <v>80</v>
      </c>
      <c r="F5" s="692">
        <f t="shared" ref="F5:F6" si="0">(D5)*E5</f>
        <v>0</v>
      </c>
      <c r="G5" s="688"/>
    </row>
    <row r="6" spans="1:7" ht="30" customHeight="1" x14ac:dyDescent="0.3">
      <c r="A6" s="689">
        <v>16</v>
      </c>
      <c r="B6" s="688" t="s">
        <v>253</v>
      </c>
      <c r="C6" s="688" t="s">
        <v>348</v>
      </c>
      <c r="D6" s="688">
        <v>0</v>
      </c>
      <c r="E6" s="688">
        <v>80</v>
      </c>
      <c r="F6" s="692">
        <f t="shared" si="0"/>
        <v>0</v>
      </c>
      <c r="G6" s="688"/>
    </row>
    <row r="7" spans="1:7" ht="30" customHeight="1" x14ac:dyDescent="0.3">
      <c r="A7" s="689"/>
      <c r="B7" s="688"/>
      <c r="C7" s="688"/>
      <c r="D7" s="688"/>
      <c r="E7" s="688"/>
      <c r="F7" s="693">
        <f>SUM(F5:F6)</f>
        <v>0</v>
      </c>
      <c r="G7" s="688"/>
    </row>
    <row r="12" spans="1:7" x14ac:dyDescent="0.2">
      <c r="B12" s="226"/>
      <c r="C12" s="226"/>
      <c r="D12" s="226"/>
      <c r="E12" s="226"/>
      <c r="F12" s="226"/>
    </row>
    <row r="13" spans="1:7" x14ac:dyDescent="0.2">
      <c r="B13" s="226"/>
      <c r="C13" s="226"/>
      <c r="D13" s="226"/>
      <c r="E13" s="226"/>
      <c r="F13" s="226"/>
    </row>
    <row r="14" spans="1:7" x14ac:dyDescent="0.2">
      <c r="B14" s="226"/>
      <c r="C14" s="226"/>
      <c r="D14" s="226"/>
      <c r="E14" s="226"/>
      <c r="F14" s="226"/>
    </row>
    <row r="15" spans="1:7" x14ac:dyDescent="0.2">
      <c r="B15" s="226"/>
      <c r="C15" s="226"/>
      <c r="D15" s="226"/>
      <c r="E15" s="226"/>
      <c r="F15" s="226"/>
    </row>
    <row r="17" spans="2:6" x14ac:dyDescent="0.2">
      <c r="B17" s="226" t="s">
        <v>372</v>
      </c>
      <c r="C17" s="226"/>
      <c r="D17" s="226" t="s">
        <v>356</v>
      </c>
      <c r="E17" s="226"/>
      <c r="F17" s="226"/>
    </row>
    <row r="18" spans="2:6" x14ac:dyDescent="0.2">
      <c r="B18" s="226" t="s">
        <v>102</v>
      </c>
      <c r="C18" s="226"/>
      <c r="D18" s="226" t="s">
        <v>370</v>
      </c>
      <c r="E18" s="226"/>
      <c r="F18" s="226"/>
    </row>
    <row r="19" spans="2:6" x14ac:dyDescent="0.2">
      <c r="B19" s="226" t="s">
        <v>296</v>
      </c>
      <c r="C19" s="226"/>
      <c r="D19" s="226" t="s">
        <v>305</v>
      </c>
      <c r="E19" s="226"/>
      <c r="F19" s="226"/>
    </row>
    <row r="20" spans="2:6" x14ac:dyDescent="0.2">
      <c r="B20" s="226"/>
      <c r="C20" s="226"/>
      <c r="D20" s="226"/>
      <c r="E20" s="226"/>
      <c r="F20" s="226"/>
    </row>
  </sheetData>
  <mergeCells count="3">
    <mergeCell ref="A1:G1"/>
    <mergeCell ref="A2:G2"/>
    <mergeCell ref="A3:G3"/>
  </mergeCells>
  <pageMargins left="0.11811023622047245" right="0.51181102362204722" top="0.55118110236220474" bottom="0.74803149606299213" header="0.31496062992125984" footer="0.31496062992125984"/>
  <pageSetup scale="6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EE86-90E9-496C-857D-08D2A0565637}">
  <sheetPr transitionEvaluation="1">
    <tabColor theme="8" tint="0.39997558519241921"/>
  </sheetPr>
  <dimension ref="A2:AJ45"/>
  <sheetViews>
    <sheetView showGridLines="0" zoomScale="86" zoomScaleNormal="86" workbookViewId="0">
      <selection activeCell="P9" sqref="P9"/>
    </sheetView>
  </sheetViews>
  <sheetFormatPr baseColWidth="10" defaultColWidth="9.85546875" defaultRowHeight="14.4" x14ac:dyDescent="0.2"/>
  <cols>
    <col min="1" max="1" width="5.140625" style="1" customWidth="1"/>
    <col min="2" max="2" width="6" style="642" bestFit="1" customWidth="1"/>
    <col min="3" max="3" width="8.85546875" style="642" customWidth="1"/>
    <col min="4" max="4" width="28.28515625" style="1" customWidth="1"/>
    <col min="5" max="5" width="5.28515625" style="1" customWidth="1"/>
    <col min="6" max="6" width="15.42578125" style="5" bestFit="1" customWidth="1"/>
    <col min="7" max="8" width="16.140625" style="5" hidden="1" customWidth="1"/>
    <col min="9" max="9" width="16.28515625" style="5" customWidth="1"/>
    <col min="10" max="10" width="16" style="1" bestFit="1" customWidth="1"/>
    <col min="11" max="11" width="17.42578125" style="1" bestFit="1" customWidth="1"/>
    <col min="12" max="12" width="10.140625" style="6" bestFit="1" customWidth="1"/>
    <col min="13" max="13" width="9.140625" style="6" hidden="1" customWidth="1"/>
    <col min="14" max="14" width="12.7109375" style="6" hidden="1" customWidth="1"/>
    <col min="15" max="15" width="11.140625" style="6" hidden="1" customWidth="1"/>
    <col min="16" max="16" width="16.42578125" style="1" bestFit="1" customWidth="1"/>
    <col min="17" max="17" width="15.85546875" style="1" hidden="1" customWidth="1"/>
    <col min="18" max="18" width="15.42578125" style="1" hidden="1" customWidth="1"/>
    <col min="19" max="19" width="9.42578125" style="1" customWidth="1"/>
    <col min="20" max="20" width="14.85546875" style="1" customWidth="1"/>
    <col min="21" max="21" width="16.28515625" style="1" bestFit="1" customWidth="1"/>
    <col min="22" max="22" width="17.140625" style="1" customWidth="1"/>
    <col min="23" max="23" width="14.42578125" style="1" customWidth="1"/>
    <col min="24" max="24" width="18.42578125" style="1" customWidth="1"/>
    <col min="25" max="25" width="45.7109375" style="1" customWidth="1"/>
    <col min="26" max="27" width="14.42578125" style="1" hidden="1" customWidth="1"/>
    <col min="28" max="28" width="13.42578125" style="1" hidden="1" customWidth="1"/>
    <col min="29" max="29" width="14.42578125" style="1" hidden="1" customWidth="1"/>
    <col min="30" max="30" width="15.42578125" style="1" customWidth="1"/>
    <col min="31" max="31" width="16.140625" style="1" customWidth="1"/>
    <col min="32" max="32" width="16.42578125" style="1" hidden="1" customWidth="1"/>
    <col min="33" max="33" width="38.85546875" style="1" customWidth="1"/>
    <col min="34" max="34" width="3.85546875" style="1" customWidth="1"/>
    <col min="35" max="35" width="8.85546875" style="1" customWidth="1"/>
    <col min="36" max="37" width="1.85546875" style="1" customWidth="1"/>
    <col min="38" max="38" width="13.85546875" style="1" customWidth="1"/>
    <col min="39" max="39" width="6.85546875" style="1" customWidth="1"/>
    <col min="40" max="40" width="5.85546875" style="1" customWidth="1"/>
    <col min="41" max="41" width="7.85546875" style="1" customWidth="1"/>
    <col min="42" max="42" width="1.85546875" style="1" customWidth="1"/>
    <col min="43" max="43" width="38.85546875" style="1" customWidth="1"/>
    <col min="44" max="44" width="3.85546875" style="1" customWidth="1"/>
    <col min="45" max="45" width="8.85546875" style="1" customWidth="1"/>
    <col min="46" max="46" width="1.85546875" style="1" customWidth="1"/>
    <col min="47" max="16384" width="9.85546875" style="1"/>
  </cols>
  <sheetData>
    <row r="2" spans="1:36" s="15" customFormat="1" ht="17.25" customHeight="1" x14ac:dyDescent="0.2">
      <c r="A2" s="1177" t="s">
        <v>97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  <c r="AF2" s="1177"/>
    </row>
    <row r="3" spans="1:36" s="15" customFormat="1" ht="17.25" customHeight="1" x14ac:dyDescent="0.2">
      <c r="A3" s="1177" t="s">
        <v>203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1177"/>
      <c r="AA3" s="1177"/>
      <c r="AB3" s="1177"/>
      <c r="AC3" s="1177"/>
      <c r="AD3" s="1177"/>
      <c r="AE3" s="1177"/>
      <c r="AF3" s="1177"/>
    </row>
    <row r="4" spans="1:36" s="15" customFormat="1" ht="17.25" customHeight="1" x14ac:dyDescent="0.3">
      <c r="A4" s="1178" t="str">
        <f>+ADMON!A5</f>
        <v>QUINCENA DEL 16  AL 30  DE ABRIL - 2026</v>
      </c>
      <c r="B4" s="1178"/>
      <c r="C4" s="1178"/>
      <c r="D4" s="1178"/>
      <c r="E4" s="1178"/>
      <c r="F4" s="1178"/>
      <c r="G4" s="1178"/>
      <c r="H4" s="1178"/>
      <c r="I4" s="1178"/>
      <c r="J4" s="1178"/>
      <c r="K4" s="1178"/>
      <c r="L4" s="1178"/>
      <c r="M4" s="1178"/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74"/>
      <c r="AA4" s="74"/>
      <c r="AB4" s="74"/>
      <c r="AC4" s="74"/>
      <c r="AD4" s="74"/>
      <c r="AE4" s="74"/>
      <c r="AF4" s="74"/>
    </row>
    <row r="5" spans="1:36" s="15" customFormat="1" ht="18" customHeight="1" thickBot="1" x14ac:dyDescent="0.35">
      <c r="A5" s="74">
        <f>+'ADMON COM. '!A6</f>
        <v>15</v>
      </c>
      <c r="B5" s="634"/>
      <c r="C5" s="643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26"/>
      <c r="Z5" s="26"/>
      <c r="AA5" s="26"/>
      <c r="AB5" s="26"/>
      <c r="AC5" s="26"/>
      <c r="AD5" s="26"/>
      <c r="AE5" s="26"/>
      <c r="AF5" s="26"/>
    </row>
    <row r="6" spans="1:36" s="11" customFormat="1" ht="15" customHeight="1" thickTop="1" thickBot="1" x14ac:dyDescent="0.25">
      <c r="A6" s="1143" t="s">
        <v>2</v>
      </c>
      <c r="B6" s="1330" t="s">
        <v>3</v>
      </c>
      <c r="C6" s="1330" t="s">
        <v>4</v>
      </c>
      <c r="D6" s="1143" t="s">
        <v>6</v>
      </c>
      <c r="E6" s="1417" t="s">
        <v>187</v>
      </c>
      <c r="F6" s="1143" t="s">
        <v>7</v>
      </c>
      <c r="G6" s="1144" t="s">
        <v>126</v>
      </c>
      <c r="H6" s="1182" t="s">
        <v>125</v>
      </c>
      <c r="I6" s="1174" t="s">
        <v>82</v>
      </c>
      <c r="J6" s="1143" t="s">
        <v>8</v>
      </c>
      <c r="K6" s="1151" t="s">
        <v>9</v>
      </c>
      <c r="L6" s="1151"/>
      <c r="M6" s="1151"/>
      <c r="N6" s="1151"/>
      <c r="O6" s="1151"/>
      <c r="P6" s="1151"/>
      <c r="Q6" s="1143" t="s">
        <v>10</v>
      </c>
      <c r="R6" s="1143"/>
      <c r="S6" s="1143"/>
      <c r="T6" s="1143"/>
      <c r="U6" s="1170" t="s">
        <v>266</v>
      </c>
      <c r="V6" s="1157" t="s">
        <v>99</v>
      </c>
      <c r="W6" s="1157" t="s">
        <v>114</v>
      </c>
      <c r="X6" s="1143" t="s">
        <v>267</v>
      </c>
      <c r="Y6" s="1173" t="s">
        <v>12</v>
      </c>
      <c r="Z6" s="1143" t="s">
        <v>52</v>
      </c>
      <c r="AA6" s="1143" t="s">
        <v>53</v>
      </c>
      <c r="AB6" s="1143" t="s">
        <v>13</v>
      </c>
      <c r="AC6" s="1143" t="s">
        <v>14</v>
      </c>
      <c r="AD6" s="1143" t="s">
        <v>199</v>
      </c>
      <c r="AE6" s="1143" t="s">
        <v>53</v>
      </c>
      <c r="AF6" s="1143" t="s">
        <v>15</v>
      </c>
    </row>
    <row r="7" spans="1:36" s="13" customFormat="1" ht="21.75" customHeight="1" thickTop="1" thickBot="1" x14ac:dyDescent="0.25">
      <c r="A7" s="1143"/>
      <c r="B7" s="1330"/>
      <c r="C7" s="1330"/>
      <c r="D7" s="1143"/>
      <c r="E7" s="1418"/>
      <c r="F7" s="1143"/>
      <c r="G7" s="1144"/>
      <c r="H7" s="1182"/>
      <c r="I7" s="1175"/>
      <c r="J7" s="1143"/>
      <c r="K7" s="1143" t="s">
        <v>177</v>
      </c>
      <c r="L7" s="1155" t="s">
        <v>16</v>
      </c>
      <c r="M7" s="1168" t="s">
        <v>196</v>
      </c>
      <c r="N7" s="1168" t="s">
        <v>197</v>
      </c>
      <c r="O7" s="1168" t="s">
        <v>195</v>
      </c>
      <c r="P7" s="1143" t="s">
        <v>17</v>
      </c>
      <c r="Q7" s="1143" t="s">
        <v>18</v>
      </c>
      <c r="R7" s="1143" t="s">
        <v>19</v>
      </c>
      <c r="S7" s="1143" t="s">
        <v>94</v>
      </c>
      <c r="T7" s="1143" t="s">
        <v>20</v>
      </c>
      <c r="U7" s="1171"/>
      <c r="V7" s="1157"/>
      <c r="W7" s="1157"/>
      <c r="X7" s="1143"/>
      <c r="Y7" s="1173"/>
      <c r="Z7" s="1143"/>
      <c r="AA7" s="1143"/>
      <c r="AB7" s="1143"/>
      <c r="AC7" s="1143"/>
      <c r="AD7" s="1143"/>
      <c r="AE7" s="1143"/>
      <c r="AF7" s="1143"/>
      <c r="AG7" s="12"/>
      <c r="AH7" s="12"/>
      <c r="AI7" s="12"/>
      <c r="AJ7" s="12"/>
    </row>
    <row r="8" spans="1:36" s="13" customFormat="1" ht="43.65" customHeight="1" thickTop="1" thickBot="1" x14ac:dyDescent="0.25">
      <c r="A8" s="1143"/>
      <c r="B8" s="1330"/>
      <c r="C8" s="1330"/>
      <c r="D8" s="1143"/>
      <c r="E8" s="1419"/>
      <c r="F8" s="1143"/>
      <c r="G8" s="1144"/>
      <c r="H8" s="1182"/>
      <c r="I8" s="1176"/>
      <c r="J8" s="1143"/>
      <c r="K8" s="1143"/>
      <c r="L8" s="1155"/>
      <c r="M8" s="1169"/>
      <c r="N8" s="1169"/>
      <c r="O8" s="1169"/>
      <c r="P8" s="1143"/>
      <c r="Q8" s="1143"/>
      <c r="R8" s="1143"/>
      <c r="S8" s="1143"/>
      <c r="T8" s="1143"/>
      <c r="U8" s="1172"/>
      <c r="V8" s="1157"/>
      <c r="W8" s="1157"/>
      <c r="X8" s="1143"/>
      <c r="Y8" s="1173"/>
      <c r="Z8" s="1143"/>
      <c r="AA8" s="1143"/>
      <c r="AB8" s="1143"/>
      <c r="AC8" s="1143"/>
      <c r="AD8" s="1143"/>
      <c r="AE8" s="1143"/>
      <c r="AF8" s="1143"/>
    </row>
    <row r="9" spans="1:36" s="7" customFormat="1" ht="102.6" customHeight="1" thickTop="1" thickBot="1" x14ac:dyDescent="0.25">
      <c r="A9" s="578">
        <v>1</v>
      </c>
      <c r="B9" s="635">
        <v>0</v>
      </c>
      <c r="C9" s="644" t="s">
        <v>459</v>
      </c>
      <c r="D9" s="678" t="s">
        <v>380</v>
      </c>
      <c r="E9" s="580" t="s">
        <v>32</v>
      </c>
      <c r="F9" s="579" t="s">
        <v>381</v>
      </c>
      <c r="G9" s="579">
        <v>350</v>
      </c>
      <c r="H9" s="581">
        <f>LOOKUP(A5,'Cambio del dia'!F7:G38)</f>
        <v>36.624299999999998</v>
      </c>
      <c r="I9" s="582">
        <v>300</v>
      </c>
      <c r="J9" s="583">
        <f>+I9*30</f>
        <v>9000</v>
      </c>
      <c r="K9" s="583">
        <f>+(J9/30)*L9</f>
        <v>0</v>
      </c>
      <c r="L9" s="676">
        <v>0</v>
      </c>
      <c r="M9" s="328">
        <f t="shared" ref="M9:M14" si="0">+N9*O9</f>
        <v>0</v>
      </c>
      <c r="N9" s="584">
        <f t="shared" ref="N9:N14" si="1">I9*60%</f>
        <v>180</v>
      </c>
      <c r="O9" s="328">
        <v>0</v>
      </c>
      <c r="P9" s="585">
        <f>+K9-M9</f>
        <v>0</v>
      </c>
      <c r="Q9" s="583">
        <v>0</v>
      </c>
      <c r="R9" s="583">
        <v>0</v>
      </c>
      <c r="S9" s="583"/>
      <c r="T9" s="585">
        <f t="shared" ref="T9:T13" si="2">+Q9+R9+S9</f>
        <v>0</v>
      </c>
      <c r="U9" s="585">
        <f t="shared" ref="U9:U13" si="3">-T9+P9</f>
        <v>0</v>
      </c>
      <c r="V9" s="585"/>
      <c r="W9" s="585">
        <v>0</v>
      </c>
      <c r="X9" s="355">
        <f>U9-V9-W9</f>
        <v>0</v>
      </c>
      <c r="Y9" s="586"/>
      <c r="Z9" s="586">
        <f t="shared" ref="Z9:Z14" si="4">+J9/30*1.25</f>
        <v>375</v>
      </c>
      <c r="AA9" s="586">
        <f t="shared" ref="AA9:AA14" si="5">+J9/30*1.25</f>
        <v>375</v>
      </c>
      <c r="AB9" s="583">
        <f t="shared" ref="AB9:AB14" si="6">IF(B9="",0,P9*21.5%)</f>
        <v>0</v>
      </c>
      <c r="AC9" s="583">
        <f t="shared" ref="AC9:AC14" si="7">IF(Q9&gt;0,P9*2%,0)</f>
        <v>0</v>
      </c>
      <c r="AD9" s="583">
        <f t="shared" ref="AD9:AD14" si="8">+K9/12</f>
        <v>0</v>
      </c>
      <c r="AE9" s="583">
        <f t="shared" ref="AE9:AE14" si="9">+AD9</f>
        <v>0</v>
      </c>
      <c r="AF9" s="583">
        <f t="shared" ref="AF9:AF14" si="10">SUM(P9,AB9,AA9,Z9,AC9)</f>
        <v>750</v>
      </c>
    </row>
    <row r="10" spans="1:36" s="7" customFormat="1" ht="96.6" hidden="1" customHeight="1" thickTop="1" thickBot="1" x14ac:dyDescent="0.25">
      <c r="A10" s="578">
        <v>2</v>
      </c>
      <c r="B10" s="636">
        <v>25093885</v>
      </c>
      <c r="C10" s="645" t="s">
        <v>90</v>
      </c>
      <c r="D10" s="678">
        <v>0</v>
      </c>
      <c r="E10" s="580" t="s">
        <v>32</v>
      </c>
      <c r="F10" s="579" t="s">
        <v>22</v>
      </c>
      <c r="G10" s="579">
        <v>350</v>
      </c>
      <c r="H10" s="581">
        <f>LOOKUP(A5,'Cambio del dia'!F7:G38)</f>
        <v>36.624299999999998</v>
      </c>
      <c r="I10" s="579" t="e">
        <f>+P10/L10</f>
        <v>#DIV/0!</v>
      </c>
      <c r="J10" s="583">
        <f t="shared" ref="J10:J14" si="11">+H10*G10</f>
        <v>12818.504999999999</v>
      </c>
      <c r="K10" s="583">
        <f t="shared" ref="K10:K14" si="12">(J10/30)*L10</f>
        <v>0</v>
      </c>
      <c r="L10" s="679">
        <v>0</v>
      </c>
      <c r="M10" s="328" t="e">
        <f t="shared" si="0"/>
        <v>#DIV/0!</v>
      </c>
      <c r="N10" s="584" t="e">
        <f t="shared" si="1"/>
        <v>#DIV/0!</v>
      </c>
      <c r="O10" s="328">
        <v>0</v>
      </c>
      <c r="P10" s="585">
        <f>+K10</f>
        <v>0</v>
      </c>
      <c r="Q10" s="583">
        <f>IF(B10="",0,(P10*7%))</f>
        <v>0</v>
      </c>
      <c r="R10" s="583">
        <f>IF(AND(P10*24&gt;100000,P10*24&lt;=200000),((((P10-Q10)*24)-100000)*15%)/24,IF(AND(P10*24&gt;100000,P10*24&lt;=200000),(((((P10-Q10)*24)-100000)*15%))/24,))</f>
        <v>0</v>
      </c>
      <c r="S10" s="583"/>
      <c r="T10" s="585">
        <f t="shared" si="2"/>
        <v>0</v>
      </c>
      <c r="U10" s="585">
        <f t="shared" si="3"/>
        <v>0</v>
      </c>
      <c r="V10" s="585">
        <v>0</v>
      </c>
      <c r="W10" s="585">
        <v>0</v>
      </c>
      <c r="X10" s="355">
        <f>+P10-T10+V10-W10</f>
        <v>0</v>
      </c>
      <c r="Y10" s="586"/>
      <c r="Z10" s="586">
        <f t="shared" si="4"/>
        <v>534.10437499999989</v>
      </c>
      <c r="AA10" s="586">
        <f t="shared" si="5"/>
        <v>534.10437499999989</v>
      </c>
      <c r="AB10" s="583">
        <f t="shared" si="6"/>
        <v>0</v>
      </c>
      <c r="AC10" s="583">
        <f t="shared" si="7"/>
        <v>0</v>
      </c>
      <c r="AD10" s="583">
        <f t="shared" si="8"/>
        <v>0</v>
      </c>
      <c r="AE10" s="583">
        <f t="shared" si="9"/>
        <v>0</v>
      </c>
      <c r="AF10" s="583">
        <f t="shared" si="10"/>
        <v>1068.2087499999998</v>
      </c>
    </row>
    <row r="11" spans="1:36" s="7" customFormat="1" ht="97.95" hidden="1" customHeight="1" thickTop="1" thickBot="1" x14ac:dyDescent="0.25">
      <c r="A11" s="578">
        <v>3</v>
      </c>
      <c r="B11" s="635">
        <v>21371240</v>
      </c>
      <c r="C11" s="644" t="s">
        <v>223</v>
      </c>
      <c r="D11" s="678">
        <v>0</v>
      </c>
      <c r="E11" s="580" t="s">
        <v>32</v>
      </c>
      <c r="F11" s="579" t="s">
        <v>22</v>
      </c>
      <c r="G11" s="579">
        <v>350</v>
      </c>
      <c r="H11" s="581">
        <f>LOOKUP(A5,'Cambio del dia'!F8:G38)</f>
        <v>36.624299999999998</v>
      </c>
      <c r="I11" s="579" t="e">
        <f>+P11/L11</f>
        <v>#DIV/0!</v>
      </c>
      <c r="J11" s="583">
        <f t="shared" si="11"/>
        <v>12818.504999999999</v>
      </c>
      <c r="K11" s="583">
        <f t="shared" si="12"/>
        <v>0</v>
      </c>
      <c r="L11" s="679">
        <v>0</v>
      </c>
      <c r="M11" s="328" t="e">
        <f t="shared" si="0"/>
        <v>#DIV/0!</v>
      </c>
      <c r="N11" s="584" t="e">
        <f t="shared" si="1"/>
        <v>#DIV/0!</v>
      </c>
      <c r="O11" s="328">
        <v>0</v>
      </c>
      <c r="P11" s="585">
        <f>+K11</f>
        <v>0</v>
      </c>
      <c r="Q11" s="583">
        <f t="shared" ref="Q11:Q14" si="13">IF(B11="",0,(P11*7%))</f>
        <v>0</v>
      </c>
      <c r="R11" s="583">
        <f>IF(AND(P11*24&gt;100000,P11*24&lt;=200000),((((P11-Q11)*24)-100000)*15%)/24,IF(AND(P11*24&gt;100000,P11*24&lt;=200000),(((((P11-Q11)*24)-100000)*15%))/24,))</f>
        <v>0</v>
      </c>
      <c r="S11" s="583"/>
      <c r="T11" s="585">
        <f t="shared" si="2"/>
        <v>0</v>
      </c>
      <c r="U11" s="585">
        <f t="shared" si="3"/>
        <v>0</v>
      </c>
      <c r="V11" s="585">
        <v>0</v>
      </c>
      <c r="W11" s="585">
        <v>0</v>
      </c>
      <c r="X11" s="355">
        <f>+P11-T11+V11</f>
        <v>0</v>
      </c>
      <c r="Y11" s="586"/>
      <c r="Z11" s="586">
        <f t="shared" si="4"/>
        <v>534.10437499999989</v>
      </c>
      <c r="AA11" s="586">
        <f t="shared" si="5"/>
        <v>534.10437499999989</v>
      </c>
      <c r="AB11" s="583">
        <f t="shared" si="6"/>
        <v>0</v>
      </c>
      <c r="AC11" s="583">
        <f t="shared" si="7"/>
        <v>0</v>
      </c>
      <c r="AD11" s="583">
        <f t="shared" si="8"/>
        <v>0</v>
      </c>
      <c r="AE11" s="583">
        <f t="shared" si="9"/>
        <v>0</v>
      </c>
      <c r="AF11" s="583">
        <f t="shared" si="10"/>
        <v>1068.2087499999998</v>
      </c>
    </row>
    <row r="12" spans="1:36" s="7" customFormat="1" ht="100.95" hidden="1" customHeight="1" thickTop="1" thickBot="1" x14ac:dyDescent="0.25">
      <c r="A12" s="578">
        <v>4</v>
      </c>
      <c r="B12" s="635">
        <v>19144283</v>
      </c>
      <c r="C12" s="644" t="s">
        <v>228</v>
      </c>
      <c r="D12" s="678">
        <v>0</v>
      </c>
      <c r="E12" s="580" t="s">
        <v>32</v>
      </c>
      <c r="F12" s="579" t="s">
        <v>22</v>
      </c>
      <c r="G12" s="579">
        <v>350</v>
      </c>
      <c r="H12" s="581">
        <f>LOOKUP(A5,'Cambio del dia'!F7:G38)</f>
        <v>36.624299999999998</v>
      </c>
      <c r="I12" s="579" t="e">
        <f>+P12/L12</f>
        <v>#DIV/0!</v>
      </c>
      <c r="J12" s="583">
        <f t="shared" si="11"/>
        <v>12818.504999999999</v>
      </c>
      <c r="K12" s="583">
        <f t="shared" si="12"/>
        <v>0</v>
      </c>
      <c r="L12" s="679">
        <v>0</v>
      </c>
      <c r="M12" s="328" t="e">
        <f t="shared" si="0"/>
        <v>#DIV/0!</v>
      </c>
      <c r="N12" s="584" t="e">
        <f t="shared" si="1"/>
        <v>#DIV/0!</v>
      </c>
      <c r="O12" s="328">
        <v>0</v>
      </c>
      <c r="P12" s="585">
        <f>+K12</f>
        <v>0</v>
      </c>
      <c r="Q12" s="583">
        <f t="shared" si="13"/>
        <v>0</v>
      </c>
      <c r="R12" s="583">
        <f>IF(AND(P12*24&gt;100000,P12*24&lt;=200000),((((P12-Q12)*24)-100000)*15%)/24,IF(AND(P12*24&gt;100000,P12*24&lt;=200000),(((((P12-Q12)*24)-100000)*15%))/24,))</f>
        <v>0</v>
      </c>
      <c r="S12" s="583"/>
      <c r="T12" s="585">
        <f t="shared" si="2"/>
        <v>0</v>
      </c>
      <c r="U12" s="585">
        <f t="shared" si="3"/>
        <v>0</v>
      </c>
      <c r="V12" s="585"/>
      <c r="W12" s="585">
        <v>0</v>
      </c>
      <c r="X12" s="355">
        <f>+U12-V12-W12</f>
        <v>0</v>
      </c>
      <c r="Y12" s="586"/>
      <c r="Z12" s="586">
        <f t="shared" si="4"/>
        <v>534.10437499999989</v>
      </c>
      <c r="AA12" s="586">
        <f t="shared" si="5"/>
        <v>534.10437499999989</v>
      </c>
      <c r="AB12" s="583">
        <f t="shared" si="6"/>
        <v>0</v>
      </c>
      <c r="AC12" s="583">
        <f t="shared" si="7"/>
        <v>0</v>
      </c>
      <c r="AD12" s="583">
        <f t="shared" si="8"/>
        <v>0</v>
      </c>
      <c r="AE12" s="583">
        <f t="shared" si="9"/>
        <v>0</v>
      </c>
      <c r="AF12" s="583">
        <f t="shared" si="10"/>
        <v>1068.2087499999998</v>
      </c>
    </row>
    <row r="13" spans="1:36" s="7" customFormat="1" ht="100.95" hidden="1" customHeight="1" thickTop="1" thickBot="1" x14ac:dyDescent="0.25">
      <c r="A13" s="578">
        <v>5</v>
      </c>
      <c r="B13" s="635">
        <v>35126559</v>
      </c>
      <c r="C13" s="644" t="s">
        <v>332</v>
      </c>
      <c r="D13" s="678">
        <v>0</v>
      </c>
      <c r="E13" s="580" t="s">
        <v>188</v>
      </c>
      <c r="F13" s="579" t="s">
        <v>289</v>
      </c>
      <c r="G13" s="579">
        <v>250</v>
      </c>
      <c r="H13" s="581">
        <v>0</v>
      </c>
      <c r="I13" s="579">
        <v>250</v>
      </c>
      <c r="J13" s="583">
        <v>7500</v>
      </c>
      <c r="K13" s="583">
        <f>(J13/30)*L13</f>
        <v>0</v>
      </c>
      <c r="L13" s="679">
        <v>0</v>
      </c>
      <c r="M13" s="328">
        <f t="shared" si="0"/>
        <v>0</v>
      </c>
      <c r="N13" s="584">
        <f t="shared" si="1"/>
        <v>150</v>
      </c>
      <c r="O13" s="328">
        <v>0</v>
      </c>
      <c r="P13" s="585">
        <f>+K13</f>
        <v>0</v>
      </c>
      <c r="Q13" s="583">
        <f>IF(B13="",0,(P13*5%))</f>
        <v>0</v>
      </c>
      <c r="R13" s="327">
        <v>0</v>
      </c>
      <c r="S13" s="583"/>
      <c r="T13" s="585">
        <f t="shared" si="2"/>
        <v>0</v>
      </c>
      <c r="U13" s="585">
        <f t="shared" si="3"/>
        <v>0</v>
      </c>
      <c r="V13" s="585"/>
      <c r="W13" s="585">
        <v>0</v>
      </c>
      <c r="X13" s="355">
        <f>+P13-T13+V13-W13</f>
        <v>0</v>
      </c>
      <c r="Y13" s="586"/>
      <c r="Z13" s="586">
        <f t="shared" si="4"/>
        <v>312.5</v>
      </c>
      <c r="AA13" s="586">
        <f t="shared" si="5"/>
        <v>312.5</v>
      </c>
      <c r="AB13" s="583">
        <f t="shared" si="6"/>
        <v>0</v>
      </c>
      <c r="AC13" s="583">
        <f t="shared" si="7"/>
        <v>0</v>
      </c>
      <c r="AD13" s="583">
        <f t="shared" si="8"/>
        <v>0</v>
      </c>
      <c r="AE13" s="583">
        <f t="shared" si="9"/>
        <v>0</v>
      </c>
      <c r="AF13" s="583">
        <f t="shared" si="10"/>
        <v>625</v>
      </c>
    </row>
    <row r="14" spans="1:36" s="7" customFormat="1" ht="100.95" hidden="1" customHeight="1" thickTop="1" thickBot="1" x14ac:dyDescent="0.25">
      <c r="A14" s="578">
        <v>6</v>
      </c>
      <c r="B14" s="635">
        <v>8069333</v>
      </c>
      <c r="C14" s="644" t="s">
        <v>243</v>
      </c>
      <c r="D14" s="678">
        <v>0</v>
      </c>
      <c r="E14" s="580" t="s">
        <v>32</v>
      </c>
      <c r="F14" s="579" t="s">
        <v>244</v>
      </c>
      <c r="G14" s="579">
        <v>700</v>
      </c>
      <c r="H14" s="581">
        <f>LOOKUP(A5,'Cambio del dia'!F7:G38)</f>
        <v>36.624299999999998</v>
      </c>
      <c r="I14" s="579" t="e">
        <f>+P14/L14</f>
        <v>#DIV/0!</v>
      </c>
      <c r="J14" s="583">
        <f t="shared" si="11"/>
        <v>25637.01</v>
      </c>
      <c r="K14" s="583">
        <f t="shared" si="12"/>
        <v>0</v>
      </c>
      <c r="L14" s="679">
        <v>0</v>
      </c>
      <c r="M14" s="328" t="e">
        <f t="shared" si="0"/>
        <v>#DIV/0!</v>
      </c>
      <c r="N14" s="584" t="e">
        <f t="shared" si="1"/>
        <v>#DIV/0!</v>
      </c>
      <c r="O14" s="328">
        <v>0</v>
      </c>
      <c r="P14" s="585">
        <f>+K14</f>
        <v>0</v>
      </c>
      <c r="Q14" s="583">
        <f t="shared" si="13"/>
        <v>0</v>
      </c>
      <c r="R14" s="327">
        <f>+((((P14-Q14)*24)-100000)*15%/24)</f>
        <v>-625</v>
      </c>
      <c r="S14" s="583"/>
      <c r="T14" s="585">
        <v>0</v>
      </c>
      <c r="U14" s="585">
        <v>0</v>
      </c>
      <c r="V14" s="585"/>
      <c r="W14" s="585">
        <v>0</v>
      </c>
      <c r="X14" s="355">
        <v>0</v>
      </c>
      <c r="Y14" s="586"/>
      <c r="Z14" s="586">
        <f t="shared" si="4"/>
        <v>1068.2087499999998</v>
      </c>
      <c r="AA14" s="586">
        <f t="shared" si="5"/>
        <v>1068.2087499999998</v>
      </c>
      <c r="AB14" s="583">
        <f t="shared" si="6"/>
        <v>0</v>
      </c>
      <c r="AC14" s="583">
        <f t="shared" si="7"/>
        <v>0</v>
      </c>
      <c r="AD14" s="583">
        <f t="shared" si="8"/>
        <v>0</v>
      </c>
      <c r="AE14" s="583">
        <f t="shared" si="9"/>
        <v>0</v>
      </c>
      <c r="AF14" s="583">
        <f t="shared" si="10"/>
        <v>2136.4174999999996</v>
      </c>
    </row>
    <row r="15" spans="1:36" s="7" customFormat="1" ht="75" customHeight="1" thickTop="1" thickBot="1" x14ac:dyDescent="0.25">
      <c r="A15" s="1162" t="s">
        <v>95</v>
      </c>
      <c r="B15" s="1163"/>
      <c r="C15" s="1163"/>
      <c r="D15" s="1164"/>
      <c r="E15" s="580"/>
      <c r="F15" s="210"/>
      <c r="G15" s="85">
        <f>SUM(G9:G12)</f>
        <v>1400</v>
      </c>
      <c r="H15" s="85"/>
      <c r="I15" s="85">
        <f>SUM(I9:I9)</f>
        <v>300</v>
      </c>
      <c r="J15" s="85">
        <f>SUM(J9:J9)</f>
        <v>9000</v>
      </c>
      <c r="K15" s="85">
        <f>SUM(K9:K14)</f>
        <v>0</v>
      </c>
      <c r="L15" s="85">
        <f>SUM(L9:L14)</f>
        <v>0</v>
      </c>
      <c r="M15" s="85" t="e">
        <f t="shared" ref="M15:S15" si="14">SUM(M9:M14)</f>
        <v>#DIV/0!</v>
      </c>
      <c r="N15" s="85" t="e">
        <f t="shared" si="14"/>
        <v>#DIV/0!</v>
      </c>
      <c r="O15" s="85">
        <f t="shared" si="14"/>
        <v>0</v>
      </c>
      <c r="P15" s="85">
        <f>SUM(P9:P14)</f>
        <v>0</v>
      </c>
      <c r="Q15" s="85">
        <f>SUM(Q9:Q14)</f>
        <v>0</v>
      </c>
      <c r="R15" s="85">
        <f>SUM(R9:R14)</f>
        <v>-625</v>
      </c>
      <c r="S15" s="85">
        <f t="shared" si="14"/>
        <v>0</v>
      </c>
      <c r="T15" s="85">
        <f>SUM(T9:T14)</f>
        <v>0</v>
      </c>
      <c r="U15" s="722">
        <f>SUM(U9:U14)</f>
        <v>0</v>
      </c>
      <c r="V15" s="85">
        <f>SUM(V9:V14)</f>
        <v>0</v>
      </c>
      <c r="W15" s="585">
        <f>SUM(W9:W14)</f>
        <v>0</v>
      </c>
      <c r="X15" s="317">
        <f>SUM(X9:X14)</f>
        <v>0</v>
      </c>
      <c r="Y15" s="587" t="s">
        <v>105</v>
      </c>
      <c r="Z15" s="86">
        <f>SUM(Z9:Z10)</f>
        <v>909.10437499999989</v>
      </c>
      <c r="AA15" s="86">
        <f>SUM(AA9:AA10)</f>
        <v>909.10437499999989</v>
      </c>
      <c r="AB15" s="86">
        <f>SUM(AB9:AB14)</f>
        <v>0</v>
      </c>
      <c r="AC15" s="86">
        <f>SUM(AC9:AC14)</f>
        <v>0</v>
      </c>
      <c r="AD15" s="86">
        <f>SUM(AD9:AD14)</f>
        <v>0</v>
      </c>
      <c r="AE15" s="86">
        <f>SUM(AE9:AE14)</f>
        <v>0</v>
      </c>
      <c r="AF15" s="86">
        <f>SUM(AF9:AF14)</f>
        <v>6716.0437499999989</v>
      </c>
    </row>
    <row r="16" spans="1:36" s="14" customFormat="1" ht="19.5" customHeight="1" thickTop="1" x14ac:dyDescent="0.2">
      <c r="A16" s="27"/>
      <c r="B16" s="637"/>
      <c r="C16" s="637"/>
      <c r="D16" s="27"/>
      <c r="E16" s="27"/>
      <c r="F16" s="28"/>
      <c r="G16" s="28"/>
      <c r="H16" s="28"/>
      <c r="I16" s="28"/>
      <c r="J16" s="27"/>
      <c r="K16" s="27"/>
      <c r="L16" s="29"/>
      <c r="M16" s="29"/>
      <c r="N16" s="29"/>
      <c r="O16" s="29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</row>
    <row r="17" spans="1:32" s="14" customFormat="1" ht="19.5" customHeight="1" x14ac:dyDescent="0.2">
      <c r="A17" s="27"/>
      <c r="B17" s="637"/>
      <c r="C17" s="637"/>
      <c r="D17" s="27"/>
      <c r="E17" s="27"/>
      <c r="F17" s="28"/>
      <c r="G17" s="28"/>
      <c r="H17" s="28"/>
      <c r="I17" s="28"/>
      <c r="J17" s="27"/>
      <c r="K17" s="27"/>
      <c r="L17" s="29"/>
      <c r="M17" s="29"/>
      <c r="N17" s="29"/>
      <c r="O17" s="29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</row>
    <row r="18" spans="1:32" s="11" customFormat="1" x14ac:dyDescent="0.2">
      <c r="A18" s="27"/>
      <c r="B18" s="637"/>
      <c r="C18" s="637"/>
      <c r="D18" s="27"/>
      <c r="E18" s="27"/>
      <c r="F18" s="28"/>
      <c r="G18" s="28"/>
      <c r="H18" s="28"/>
      <c r="I18" s="28"/>
      <c r="J18" s="27"/>
      <c r="K18" s="27"/>
      <c r="L18" s="29"/>
      <c r="M18" s="29"/>
      <c r="N18" s="29"/>
      <c r="O18" s="29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</row>
    <row r="19" spans="1:32" s="11" customFormat="1" x14ac:dyDescent="0.2">
      <c r="A19" s="30"/>
      <c r="B19" s="637"/>
      <c r="C19" s="646"/>
      <c r="D19" s="27"/>
      <c r="E19" s="27"/>
      <c r="F19" s="28"/>
      <c r="G19" s="28"/>
      <c r="H19" s="28"/>
      <c r="I19" s="28"/>
      <c r="J19" s="27"/>
      <c r="K19" s="27"/>
      <c r="L19" s="29"/>
      <c r="M19" s="29"/>
      <c r="N19" s="29"/>
      <c r="O19" s="29"/>
      <c r="P19" s="30"/>
      <c r="Q19" s="27"/>
      <c r="R19" s="27"/>
      <c r="S19" s="31"/>
      <c r="T19" s="27"/>
      <c r="U19" s="27"/>
      <c r="V19" s="27"/>
      <c r="W19" s="27"/>
      <c r="X19" s="30"/>
      <c r="Y19" s="27"/>
      <c r="Z19" s="27"/>
      <c r="AA19" s="27"/>
      <c r="AB19" s="27"/>
      <c r="AC19" s="27"/>
      <c r="AD19" s="27"/>
      <c r="AE19" s="27"/>
      <c r="AF19" s="27"/>
    </row>
    <row r="20" spans="1:32" s="11" customFormat="1" x14ac:dyDescent="0.2">
      <c r="A20" s="30"/>
      <c r="B20" s="637"/>
      <c r="C20" s="646"/>
      <c r="D20" s="27"/>
      <c r="E20" s="27"/>
      <c r="F20" s="28"/>
      <c r="G20" s="28"/>
      <c r="H20" s="28"/>
      <c r="I20" s="28"/>
      <c r="J20" s="27"/>
      <c r="K20" s="27"/>
      <c r="L20" s="29"/>
      <c r="M20" s="29"/>
      <c r="N20" s="29"/>
      <c r="O20" s="29"/>
      <c r="P20" s="30"/>
      <c r="Q20" s="27"/>
      <c r="R20" s="27"/>
      <c r="S20" s="32"/>
      <c r="T20" s="27"/>
      <c r="U20" s="27"/>
      <c r="V20" s="27"/>
      <c r="W20" s="27"/>
      <c r="X20" s="30"/>
      <c r="Y20" s="27"/>
      <c r="Z20" s="27"/>
      <c r="AA20" s="27"/>
      <c r="AB20" s="27"/>
      <c r="AC20" s="27"/>
      <c r="AD20" s="27"/>
      <c r="AE20" s="27"/>
      <c r="AF20" s="27"/>
    </row>
    <row r="21" spans="1:32" s="11" customFormat="1" x14ac:dyDescent="0.2">
      <c r="A21" s="30"/>
      <c r="B21" s="637"/>
      <c r="C21" s="646"/>
      <c r="D21" s="27"/>
      <c r="E21" s="27"/>
      <c r="F21" s="28"/>
      <c r="G21" s="28"/>
      <c r="H21" s="28"/>
      <c r="I21" s="28"/>
      <c r="J21" s="27"/>
      <c r="K21" s="27"/>
      <c r="L21" s="29"/>
      <c r="M21" s="29"/>
      <c r="N21" s="29"/>
      <c r="O21" s="29"/>
      <c r="P21" s="30"/>
      <c r="Q21" s="27"/>
      <c r="R21" s="27"/>
      <c r="S21" s="32"/>
      <c r="T21" s="27"/>
      <c r="U21" s="27"/>
      <c r="V21" s="27"/>
      <c r="W21" s="27"/>
      <c r="X21" s="30"/>
      <c r="Y21" s="27"/>
      <c r="Z21" s="27"/>
      <c r="AA21" s="27"/>
      <c r="AB21" s="27"/>
      <c r="AC21" s="27"/>
      <c r="AD21" s="27"/>
      <c r="AE21" s="27"/>
      <c r="AF21" s="27"/>
    </row>
    <row r="22" spans="1:32" s="11" customFormat="1" ht="15.6" x14ac:dyDescent="0.2">
      <c r="A22" s="30"/>
      <c r="B22" s="637"/>
      <c r="C22" s="1165"/>
      <c r="D22" s="1165"/>
      <c r="E22" s="1165"/>
      <c r="F22" s="1165"/>
      <c r="G22" s="49"/>
      <c r="H22" s="49"/>
      <c r="I22" s="49"/>
      <c r="J22" s="27"/>
      <c r="K22" s="27"/>
      <c r="L22" s="1324"/>
      <c r="M22" s="1324"/>
      <c r="N22" s="1324"/>
      <c r="O22" s="1324"/>
      <c r="P22" s="1324"/>
      <c r="Q22" s="1324"/>
      <c r="R22" s="1324"/>
      <c r="S22" s="1324"/>
      <c r="T22" s="1324"/>
      <c r="U22" s="29"/>
      <c r="V22" s="27"/>
      <c r="W22" s="27"/>
      <c r="X22" s="1328"/>
      <c r="Y22" s="1328"/>
      <c r="Z22" s="1328"/>
      <c r="AA22" s="1328"/>
      <c r="AB22" s="1328"/>
      <c r="AC22" s="27"/>
      <c r="AD22" s="27"/>
      <c r="AE22" s="27"/>
      <c r="AF22" s="27"/>
    </row>
    <row r="23" spans="1:32" s="11" customFormat="1" ht="13.5" customHeight="1" x14ac:dyDescent="0.2">
      <c r="A23" s="27"/>
      <c r="B23" s="638"/>
      <c r="C23" s="1325" t="s">
        <v>23</v>
      </c>
      <c r="D23" s="1325"/>
      <c r="E23" s="1325"/>
      <c r="F23" s="1325"/>
      <c r="G23" s="52"/>
      <c r="H23" s="52"/>
      <c r="I23" s="52"/>
      <c r="J23" s="27"/>
      <c r="K23" s="27"/>
      <c r="L23" s="1325" t="s">
        <v>24</v>
      </c>
      <c r="M23" s="1325"/>
      <c r="N23" s="1325"/>
      <c r="O23" s="1325"/>
      <c r="P23" s="1325"/>
      <c r="Q23" s="1325"/>
      <c r="R23" s="1325"/>
      <c r="S23" s="1325"/>
      <c r="T23" s="1325"/>
      <c r="U23" s="52"/>
      <c r="V23" s="27"/>
      <c r="W23" s="27"/>
      <c r="X23" s="1325" t="s">
        <v>25</v>
      </c>
      <c r="Y23" s="1325"/>
      <c r="Z23" s="1325"/>
      <c r="AA23" s="1325"/>
      <c r="AB23" s="1325"/>
      <c r="AC23" s="27"/>
      <c r="AD23" s="27"/>
      <c r="AE23" s="27"/>
      <c r="AF23" s="27"/>
    </row>
    <row r="24" spans="1:32" s="11" customFormat="1" ht="15.6" x14ac:dyDescent="0.2">
      <c r="A24" s="30"/>
      <c r="B24" s="638"/>
      <c r="C24" s="1326" t="str">
        <f>+'ADMON COM. '!C50:F50</f>
        <v>Jose Martin Conrrado</v>
      </c>
      <c r="D24" s="1326"/>
      <c r="E24" s="1326"/>
      <c r="F24" s="1326"/>
      <c r="G24" s="48"/>
      <c r="H24" s="48"/>
      <c r="I24" s="48"/>
      <c r="J24" s="27"/>
      <c r="K24" s="30"/>
      <c r="L24" s="1326" t="s">
        <v>382</v>
      </c>
      <c r="M24" s="1326"/>
      <c r="N24" s="1326"/>
      <c r="O24" s="1326"/>
      <c r="P24" s="1326"/>
      <c r="Q24" s="1326"/>
      <c r="R24" s="1326"/>
      <c r="S24" s="1326"/>
      <c r="T24" s="1326"/>
      <c r="U24" s="48"/>
      <c r="V24" s="33"/>
      <c r="W24" s="33"/>
      <c r="X24" s="1329" t="s">
        <v>27</v>
      </c>
      <c r="Y24" s="1329"/>
      <c r="Z24" s="1329"/>
      <c r="AA24" s="1329"/>
      <c r="AB24" s="1329"/>
      <c r="AC24" s="27"/>
      <c r="AD24" s="27"/>
      <c r="AE24" s="27"/>
      <c r="AF24" s="27"/>
    </row>
    <row r="25" spans="1:32" s="11" customFormat="1" ht="15.6" x14ac:dyDescent="0.2">
      <c r="A25" s="8"/>
      <c r="B25" s="639"/>
      <c r="C25" s="1327"/>
      <c r="D25" s="1327"/>
      <c r="E25" s="530"/>
      <c r="F25" s="530"/>
      <c r="G25" s="25"/>
      <c r="H25" s="25"/>
      <c r="I25" s="25"/>
      <c r="J25" s="8"/>
      <c r="K25" s="8"/>
      <c r="L25" s="533"/>
      <c r="M25" s="533"/>
      <c r="N25" s="533"/>
      <c r="O25" s="533"/>
      <c r="P25" s="1327"/>
      <c r="Q25" s="1327"/>
      <c r="R25" s="1327"/>
      <c r="S25" s="530"/>
      <c r="T25" s="530"/>
      <c r="U25" s="25"/>
      <c r="V25" s="25"/>
      <c r="W25" s="25"/>
      <c r="X25" s="529"/>
      <c r="Y25" s="529"/>
      <c r="Z25" s="529"/>
      <c r="AA25" s="529"/>
      <c r="AB25" s="535"/>
      <c r="AC25" s="10"/>
      <c r="AD25" s="10"/>
      <c r="AE25" s="10"/>
      <c r="AF25" s="10"/>
    </row>
    <row r="26" spans="1:32" ht="15.6" x14ac:dyDescent="0.2">
      <c r="A26" s="3"/>
      <c r="B26" s="640"/>
      <c r="C26" s="640"/>
      <c r="D26" s="531"/>
      <c r="E26" s="531"/>
      <c r="F26" s="532"/>
      <c r="G26" s="4"/>
      <c r="H26" s="4"/>
      <c r="I26" s="4"/>
      <c r="J26" s="3"/>
      <c r="K26" s="3"/>
      <c r="L26" s="534"/>
      <c r="M26" s="534"/>
      <c r="N26" s="534"/>
      <c r="O26" s="534"/>
      <c r="P26" s="531"/>
      <c r="Q26" s="531"/>
      <c r="R26" s="531"/>
      <c r="S26" s="531"/>
      <c r="T26" s="531"/>
      <c r="U26" s="3"/>
      <c r="V26" s="3"/>
      <c r="W26" s="3"/>
      <c r="X26" s="531"/>
      <c r="Y26" s="531"/>
      <c r="Z26" s="531"/>
      <c r="AA26" s="531"/>
      <c r="AB26" s="531"/>
      <c r="AC26" s="3"/>
      <c r="AD26" s="3"/>
      <c r="AE26" s="3"/>
      <c r="AF26" s="3"/>
    </row>
    <row r="27" spans="1:32" x14ac:dyDescent="0.2">
      <c r="A27" s="3"/>
      <c r="B27" s="641"/>
      <c r="C27" s="641"/>
      <c r="D27" s="3"/>
      <c r="E27" s="3"/>
      <c r="F27" s="4"/>
      <c r="G27" s="4"/>
      <c r="H27" s="4"/>
      <c r="I27" s="4"/>
      <c r="J27" s="3"/>
      <c r="K27" s="3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2">
      <c r="A28" s="3"/>
      <c r="B28" s="641"/>
      <c r="C28" s="641"/>
      <c r="D28" s="3"/>
      <c r="E28" s="3"/>
      <c r="F28" s="4"/>
      <c r="G28" s="4"/>
      <c r="H28" s="4"/>
      <c r="I28" s="4"/>
      <c r="J28" s="3"/>
      <c r="K28" s="3"/>
      <c r="L28" s="2"/>
      <c r="M28" s="2"/>
      <c r="N28" s="2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">
      <c r="A29" s="3"/>
      <c r="B29" s="641"/>
      <c r="C29" s="641"/>
      <c r="D29" s="3"/>
      <c r="E29" s="3"/>
      <c r="F29" s="4"/>
      <c r="G29" s="4"/>
      <c r="H29" s="4"/>
      <c r="I29" s="4"/>
      <c r="J29" s="3"/>
      <c r="K29" s="3"/>
      <c r="L29" s="2"/>
      <c r="M29" s="2"/>
      <c r="N29" s="2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2">
      <c r="A30" s="3"/>
      <c r="B30" s="641"/>
      <c r="C30" s="641"/>
      <c r="D30" s="3"/>
      <c r="E30" s="3"/>
      <c r="F30" s="4"/>
      <c r="G30" s="4"/>
      <c r="H30" s="4"/>
      <c r="I30" s="4"/>
      <c r="J30" s="3"/>
      <c r="K30" s="3"/>
      <c r="L30" s="2"/>
      <c r="M30" s="2"/>
      <c r="N30" s="2"/>
      <c r="O30" s="2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2" x14ac:dyDescent="0.2">
      <c r="A31" s="3"/>
      <c r="B31" s="641"/>
      <c r="C31" s="641"/>
      <c r="D31" s="3"/>
      <c r="E31" s="3"/>
      <c r="F31" s="4"/>
      <c r="G31" s="4"/>
      <c r="H31" s="4"/>
      <c r="I31" s="4"/>
      <c r="J31" s="3"/>
      <c r="K31" s="3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42" spans="1:32" x14ac:dyDescent="0.2">
      <c r="A42" s="3"/>
      <c r="B42" s="641"/>
      <c r="C42" s="641"/>
      <c r="D42" s="3"/>
      <c r="E42" s="3"/>
      <c r="F42" s="4"/>
      <c r="G42" s="4"/>
      <c r="H42" s="4"/>
      <c r="I42" s="4"/>
      <c r="J42" s="3"/>
      <c r="K42" s="3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2">
      <c r="A43" s="3"/>
      <c r="B43" s="641"/>
      <c r="C43" s="641"/>
      <c r="D43" s="3"/>
      <c r="E43" s="3"/>
      <c r="F43" s="4"/>
      <c r="G43" s="4"/>
      <c r="H43" s="4"/>
      <c r="I43" s="4"/>
      <c r="J43" s="3"/>
      <c r="K43" s="3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2">
      <c r="A44" s="3"/>
      <c r="B44" s="641"/>
      <c r="C44" s="641"/>
      <c r="D44" s="3"/>
      <c r="E44" s="3"/>
      <c r="F44" s="4"/>
      <c r="G44" s="4"/>
      <c r="H44" s="4"/>
      <c r="I44" s="4"/>
      <c r="J44" s="3"/>
      <c r="K44" s="3"/>
      <c r="L44" s="2"/>
      <c r="M44" s="2"/>
      <c r="N44" s="2"/>
      <c r="O44" s="2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2" x14ac:dyDescent="0.2">
      <c r="A45" s="3"/>
      <c r="B45" s="641"/>
      <c r="C45" s="641"/>
      <c r="D45" s="3"/>
      <c r="E45" s="3"/>
      <c r="F45" s="4"/>
      <c r="G45" s="4"/>
      <c r="H45" s="4"/>
      <c r="I45" s="4"/>
      <c r="J45" s="3"/>
      <c r="K45" s="3"/>
      <c r="L45" s="2"/>
      <c r="M45" s="2"/>
      <c r="N45" s="2"/>
      <c r="O45" s="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</sheetData>
  <mergeCells count="49">
    <mergeCell ref="U6:U8"/>
    <mergeCell ref="A2:AF2"/>
    <mergeCell ref="A3:AF3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P6"/>
    <mergeCell ref="Q6:T6"/>
    <mergeCell ref="AE6:AE8"/>
    <mergeCell ref="AF6:AF8"/>
    <mergeCell ref="V6:V8"/>
    <mergeCell ref="W6:W8"/>
    <mergeCell ref="X6:X8"/>
    <mergeCell ref="Y6:Y8"/>
    <mergeCell ref="Z6:Z8"/>
    <mergeCell ref="AA6:AA8"/>
    <mergeCell ref="AB6:AB8"/>
    <mergeCell ref="AC6:AC8"/>
    <mergeCell ref="AD6:AD8"/>
    <mergeCell ref="N7:N8"/>
    <mergeCell ref="A4:Y4"/>
    <mergeCell ref="C24:F24"/>
    <mergeCell ref="L24:T24"/>
    <mergeCell ref="X24:AB24"/>
    <mergeCell ref="X22:AB22"/>
    <mergeCell ref="X23:AB23"/>
    <mergeCell ref="O7:O8"/>
    <mergeCell ref="P7:P8"/>
    <mergeCell ref="Q7:Q8"/>
    <mergeCell ref="K7:K8"/>
    <mergeCell ref="R7:R8"/>
    <mergeCell ref="S7:S8"/>
    <mergeCell ref="L7:L8"/>
    <mergeCell ref="M7:M8"/>
    <mergeCell ref="T7:T8"/>
    <mergeCell ref="C25:D25"/>
    <mergeCell ref="P25:R25"/>
    <mergeCell ref="A15:D15"/>
    <mergeCell ref="C22:F22"/>
    <mergeCell ref="L22:T22"/>
    <mergeCell ref="C23:F23"/>
    <mergeCell ref="L23:T23"/>
  </mergeCells>
  <printOptions horizontalCentered="1" verticalCentered="1"/>
  <pageMargins left="0.19685039370078741" right="0" top="0" bottom="0" header="0" footer="0"/>
  <pageSetup paperSize="5" scale="70" orientation="landscape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4">
    <tabColor theme="0" tint="-0.499984740745262"/>
  </sheetPr>
  <dimension ref="A1:BS24"/>
  <sheetViews>
    <sheetView zoomScaleNormal="100" zoomScalePageLayoutView="40" workbookViewId="0">
      <selection activeCell="D10" sqref="D10"/>
    </sheetView>
  </sheetViews>
  <sheetFormatPr baseColWidth="10" defaultRowHeight="10.199999999999999" x14ac:dyDescent="0.2"/>
  <cols>
    <col min="1" max="1" width="9.85546875" customWidth="1"/>
    <col min="2" max="2" width="3.85546875" customWidth="1"/>
    <col min="3" max="3" width="9.85546875" hidden="1" customWidth="1"/>
    <col min="4" max="4" width="15.85546875" customWidth="1"/>
    <col min="5" max="5" width="4" customWidth="1"/>
    <col min="6" max="6" width="4.140625" customWidth="1"/>
    <col min="7" max="7" width="6" customWidth="1"/>
    <col min="8" max="9" width="5.7109375" customWidth="1"/>
    <col min="10" max="10" width="4.85546875" customWidth="1"/>
    <col min="11" max="13" width="5.7109375" customWidth="1"/>
    <col min="14" max="14" width="5.7109375" hidden="1" customWidth="1"/>
    <col min="15" max="15" width="3.28515625" customWidth="1"/>
    <col min="16" max="18" width="5.7109375" customWidth="1"/>
    <col min="19" max="19" width="3.28515625" customWidth="1"/>
    <col min="20" max="23" width="5.7109375" customWidth="1"/>
    <col min="24" max="24" width="6.42578125" hidden="1" customWidth="1"/>
    <col min="25" max="25" width="3.42578125" hidden="1" customWidth="1"/>
    <col min="26" max="26" width="3.85546875" customWidth="1"/>
    <col min="27" max="28" width="6" hidden="1" customWidth="1"/>
    <col min="29" max="29" width="5.140625" customWidth="1"/>
    <col min="30" max="30" width="3.140625" customWidth="1"/>
    <col min="31" max="31" width="4.28515625" customWidth="1"/>
    <col min="32" max="32" width="7.42578125" hidden="1" customWidth="1"/>
    <col min="33" max="33" width="4.85546875" hidden="1" customWidth="1"/>
    <col min="34" max="34" width="2.42578125" customWidth="1"/>
    <col min="35" max="35" width="6" customWidth="1"/>
    <col min="36" max="37" width="5.7109375" hidden="1" customWidth="1"/>
    <col min="38" max="38" width="4.140625" customWidth="1"/>
    <col min="39" max="43" width="5.7109375" hidden="1" customWidth="1"/>
    <col min="44" max="44" width="5.28515625" customWidth="1"/>
    <col min="45" max="45" width="5.42578125" customWidth="1"/>
    <col min="46" max="46" width="5.7109375" hidden="1" customWidth="1"/>
    <col min="47" max="47" width="4.140625" hidden="1" customWidth="1"/>
    <col min="48" max="48" width="9.28515625" hidden="1" customWidth="1"/>
    <col min="49" max="50" width="6" hidden="1" customWidth="1"/>
    <col min="51" max="51" width="3.42578125" hidden="1" customWidth="1"/>
    <col min="52" max="52" width="5.140625" hidden="1" customWidth="1"/>
    <col min="53" max="53" width="3.42578125" hidden="1" customWidth="1"/>
    <col min="54" max="54" width="4.140625" hidden="1" customWidth="1"/>
    <col min="55" max="55" width="6" hidden="1" customWidth="1"/>
    <col min="56" max="56" width="8.42578125" hidden="1" customWidth="1"/>
    <col min="57" max="57" width="4.140625" hidden="1" customWidth="1"/>
    <col min="58" max="58" width="5.7109375" customWidth="1"/>
    <col min="59" max="59" width="12.42578125" hidden="1" customWidth="1"/>
    <col min="60" max="60" width="6.140625" hidden="1" customWidth="1"/>
    <col min="61" max="61" width="4.140625" customWidth="1"/>
    <col min="62" max="62" width="5.7109375" customWidth="1"/>
    <col min="63" max="63" width="4.85546875" customWidth="1"/>
    <col min="64" max="64" width="11.7109375" customWidth="1"/>
    <col min="65" max="65" width="38.85546875" customWidth="1"/>
    <col min="66" max="67" width="12" hidden="1" customWidth="1"/>
    <col min="68" max="68" width="6" customWidth="1"/>
    <col min="69" max="69" width="0" hidden="1" customWidth="1"/>
    <col min="70" max="70" width="5.7109375" customWidth="1"/>
    <col min="71" max="71" width="8.42578125" customWidth="1"/>
  </cols>
  <sheetData>
    <row r="1" spans="1:71" ht="17.399999999999999" x14ac:dyDescent="0.2">
      <c r="A1" s="246"/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  <c r="Q1" s="246"/>
      <c r="R1" s="246"/>
      <c r="S1" s="246"/>
      <c r="T1" s="246"/>
      <c r="U1" s="246"/>
      <c r="V1" s="246"/>
      <c r="W1" s="246"/>
      <c r="X1" s="246"/>
      <c r="Y1" s="246"/>
      <c r="Z1" s="246"/>
      <c r="AA1" s="246"/>
      <c r="AB1" s="246"/>
      <c r="AC1" s="246"/>
      <c r="AD1" s="246"/>
      <c r="AE1" s="246"/>
      <c r="AF1" s="246"/>
      <c r="AG1" s="246"/>
      <c r="AH1" s="246"/>
      <c r="AI1" s="246"/>
      <c r="AJ1" s="246"/>
      <c r="AK1" s="246"/>
      <c r="AL1" s="246"/>
      <c r="AM1" s="246"/>
      <c r="AN1" s="246"/>
      <c r="AO1" s="246"/>
      <c r="AP1" s="246"/>
      <c r="AQ1" s="246"/>
      <c r="AR1" s="246"/>
      <c r="AS1" s="246"/>
      <c r="AT1" s="246"/>
      <c r="AU1" s="246"/>
      <c r="AV1" s="246"/>
      <c r="AW1" s="246"/>
      <c r="AX1" s="246"/>
      <c r="AY1" s="246"/>
      <c r="AZ1" s="246"/>
      <c r="BA1" s="246"/>
      <c r="BB1" s="246"/>
      <c r="BC1" s="246"/>
      <c r="BD1" s="246"/>
      <c r="BE1" s="246"/>
      <c r="BF1" s="246"/>
      <c r="BG1" s="246"/>
    </row>
    <row r="2" spans="1:71" ht="17.399999999999999" x14ac:dyDescent="0.2">
      <c r="A2" s="1420" t="s">
        <v>116</v>
      </c>
      <c r="B2" s="1420"/>
      <c r="C2" s="1420"/>
      <c r="D2" s="1420"/>
      <c r="E2" s="1420"/>
      <c r="F2" s="1420"/>
      <c r="G2" s="1420"/>
      <c r="H2" s="1420"/>
      <c r="I2" s="1420"/>
      <c r="J2" s="1420"/>
      <c r="K2" s="1420"/>
      <c r="L2" s="1420"/>
      <c r="M2" s="1420"/>
      <c r="N2" s="1420"/>
      <c r="O2" s="1420"/>
      <c r="P2" s="1420"/>
      <c r="Q2" s="1420"/>
      <c r="R2" s="1420"/>
      <c r="S2" s="1420"/>
      <c r="T2" s="1420"/>
      <c r="U2" s="1420"/>
      <c r="V2" s="1420"/>
      <c r="W2" s="1420"/>
      <c r="X2" s="1420"/>
      <c r="Y2" s="1420"/>
      <c r="Z2" s="1420"/>
      <c r="AA2" s="1420"/>
      <c r="AB2" s="1420"/>
      <c r="AC2" s="1420"/>
      <c r="AD2" s="1420"/>
      <c r="AE2" s="1420"/>
      <c r="AF2" s="1420"/>
      <c r="AG2" s="1420"/>
      <c r="AH2" s="1420"/>
      <c r="AI2" s="1420"/>
      <c r="AJ2" s="1420"/>
      <c r="AK2" s="1420"/>
      <c r="AL2" s="1420"/>
      <c r="AM2" s="1420"/>
      <c r="AN2" s="1420"/>
      <c r="AO2" s="1420"/>
      <c r="AP2" s="1420"/>
      <c r="AQ2" s="1420"/>
      <c r="AR2" s="1420"/>
      <c r="AS2" s="1420"/>
      <c r="AT2" s="1420"/>
      <c r="AU2" s="1420"/>
      <c r="AV2" s="1420"/>
      <c r="AW2" s="1420"/>
      <c r="AX2" s="1420"/>
      <c r="AY2" s="1420"/>
      <c r="AZ2" s="1420"/>
      <c r="BA2" s="1420"/>
      <c r="BB2" s="1420"/>
      <c r="BC2" s="1420"/>
      <c r="BD2" s="1420"/>
      <c r="BE2" s="1420"/>
      <c r="BF2" s="1420"/>
      <c r="BG2" s="1420"/>
      <c r="BH2" s="1420"/>
      <c r="BI2" s="1420"/>
      <c r="BJ2" s="1420"/>
      <c r="BK2" s="1420"/>
      <c r="BL2" s="1420"/>
      <c r="BM2" s="1420"/>
      <c r="BN2" s="246"/>
      <c r="BO2" s="246"/>
      <c r="BP2" s="246"/>
      <c r="BQ2" s="246"/>
      <c r="BR2" s="246"/>
      <c r="BS2" s="246"/>
    </row>
    <row r="3" spans="1:71" ht="17.399999999999999" x14ac:dyDescent="0.3">
      <c r="A3" s="1422" t="e">
        <f>+#REF!</f>
        <v>#REF!</v>
      </c>
      <c r="B3" s="1422"/>
      <c r="C3" s="1422"/>
      <c r="D3" s="1422"/>
      <c r="E3" s="1422"/>
      <c r="F3" s="1422"/>
      <c r="G3" s="1422"/>
      <c r="H3" s="1422"/>
      <c r="I3" s="1422"/>
      <c r="J3" s="1422"/>
      <c r="K3" s="1422"/>
      <c r="L3" s="1422"/>
      <c r="M3" s="1422"/>
      <c r="N3" s="1422"/>
      <c r="O3" s="1422"/>
      <c r="P3" s="1422"/>
      <c r="Q3" s="1422"/>
      <c r="R3" s="1422"/>
      <c r="S3" s="1422"/>
      <c r="T3" s="1422"/>
      <c r="U3" s="1422"/>
      <c r="V3" s="1422"/>
      <c r="W3" s="1422"/>
      <c r="X3" s="1422"/>
      <c r="Y3" s="1422"/>
      <c r="Z3" s="1422"/>
      <c r="AA3" s="1422"/>
      <c r="AB3" s="1422"/>
      <c r="AC3" s="1422"/>
      <c r="AD3" s="1422"/>
      <c r="AE3" s="1422"/>
      <c r="AF3" s="1422"/>
      <c r="AG3" s="1422"/>
      <c r="AH3" s="1422"/>
      <c r="AI3" s="1422"/>
      <c r="AJ3" s="1422"/>
      <c r="AK3" s="1422"/>
      <c r="AL3" s="1422"/>
      <c r="AM3" s="1422"/>
      <c r="AN3" s="1422"/>
      <c r="AO3" s="1422"/>
      <c r="AP3" s="1422"/>
      <c r="AQ3" s="1422"/>
      <c r="AR3" s="1422"/>
      <c r="AS3" s="1422"/>
      <c r="AT3" s="1422"/>
      <c r="AU3" s="1422"/>
      <c r="AV3" s="1422"/>
      <c r="AW3" s="1422"/>
      <c r="AX3" s="1422"/>
      <c r="AY3" s="1422"/>
      <c r="AZ3" s="1422"/>
      <c r="BA3" s="1422"/>
      <c r="BB3" s="1422"/>
      <c r="BC3" s="1422"/>
      <c r="BD3" s="1422"/>
      <c r="BE3" s="1422"/>
      <c r="BF3" s="1422"/>
      <c r="BG3" s="1422"/>
      <c r="BH3" s="1422"/>
      <c r="BI3" s="1422"/>
      <c r="BJ3" s="1422"/>
      <c r="BK3" s="1422"/>
      <c r="BL3" s="1422"/>
      <c r="BM3" s="1422"/>
      <c r="BN3" s="259"/>
      <c r="BO3" s="259"/>
      <c r="BP3" s="259"/>
      <c r="BQ3" s="259"/>
      <c r="BR3" s="259"/>
      <c r="BS3" s="259"/>
    </row>
    <row r="4" spans="1:71" ht="17.399999999999999" x14ac:dyDescent="0.3">
      <c r="A4" s="1421" t="s">
        <v>30</v>
      </c>
      <c r="B4" s="1421"/>
      <c r="C4" s="1421"/>
      <c r="D4" s="1421"/>
      <c r="E4" s="1421"/>
      <c r="F4" s="1421"/>
      <c r="G4" s="1421"/>
      <c r="H4" s="1421"/>
      <c r="I4" s="1421"/>
      <c r="J4" s="1421"/>
      <c r="K4" s="1421"/>
      <c r="L4" s="1421"/>
      <c r="M4" s="1421"/>
      <c r="N4" s="1421"/>
      <c r="O4" s="1421"/>
      <c r="P4" s="1421"/>
      <c r="Q4" s="1421"/>
      <c r="R4" s="1421"/>
      <c r="S4" s="1421"/>
      <c r="T4" s="1421"/>
      <c r="U4" s="1421"/>
      <c r="V4" s="1421"/>
      <c r="W4" s="1421"/>
      <c r="X4" s="1421"/>
      <c r="Y4" s="1421"/>
      <c r="Z4" s="1421"/>
      <c r="AA4" s="1421"/>
      <c r="AB4" s="1421"/>
      <c r="AC4" s="1421"/>
      <c r="AD4" s="1421"/>
      <c r="AE4" s="1421"/>
      <c r="AF4" s="1421"/>
      <c r="AG4" s="1421"/>
      <c r="AH4" s="1421"/>
      <c r="AI4" s="1421"/>
      <c r="AJ4" s="1421"/>
      <c r="AK4" s="1421"/>
      <c r="AL4" s="1421"/>
      <c r="AM4" s="1421"/>
      <c r="AN4" s="1421"/>
      <c r="AO4" s="1421"/>
      <c r="AP4" s="1421"/>
      <c r="AQ4" s="1421"/>
      <c r="AR4" s="1421"/>
      <c r="AS4" s="1421"/>
      <c r="AT4" s="1421"/>
      <c r="AU4" s="1421"/>
      <c r="AV4" s="1421"/>
      <c r="AW4" s="1421"/>
      <c r="AX4" s="1421"/>
      <c r="AY4" s="1421"/>
      <c r="AZ4" s="1421"/>
      <c r="BA4" s="1421"/>
      <c r="BB4" s="1421"/>
      <c r="BC4" s="1421"/>
      <c r="BD4" s="1421"/>
      <c r="BE4" s="1421"/>
      <c r="BF4" s="1421"/>
      <c r="BG4" s="1421"/>
      <c r="BH4" s="1421"/>
      <c r="BI4" s="1421"/>
      <c r="BJ4" s="1421"/>
      <c r="BK4" s="1421"/>
      <c r="BL4" s="1421"/>
      <c r="BM4" s="1421"/>
      <c r="BN4" s="244"/>
      <c r="BO4" s="244"/>
      <c r="BP4" s="244"/>
      <c r="BQ4" s="244"/>
      <c r="BR4" s="244"/>
      <c r="BS4" s="244"/>
    </row>
    <row r="5" spans="1:71" ht="17.399999999999999" x14ac:dyDescent="0.3">
      <c r="A5" s="244"/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244"/>
      <c r="AS5" s="244"/>
      <c r="AT5" s="244"/>
      <c r="AU5" s="244"/>
      <c r="AV5" s="244"/>
      <c r="AW5" s="244"/>
      <c r="AX5" s="244"/>
      <c r="AY5" s="244"/>
      <c r="AZ5" s="244"/>
      <c r="BA5" s="244"/>
      <c r="BB5" s="244"/>
      <c r="BC5" s="244"/>
      <c r="BD5" s="244"/>
      <c r="BE5" s="244"/>
      <c r="BF5" s="244"/>
      <c r="BG5" s="244"/>
      <c r="BH5" s="244"/>
      <c r="BI5" s="244"/>
      <c r="BJ5" s="244"/>
      <c r="BK5" s="244"/>
      <c r="BL5" s="244"/>
      <c r="BM5" s="244"/>
      <c r="BN5" s="244"/>
      <c r="BO5" s="244"/>
      <c r="BP5" s="244"/>
      <c r="BQ5" s="244"/>
      <c r="BR5" s="244"/>
      <c r="BS5" s="244"/>
    </row>
    <row r="6" spans="1:71" ht="18" thickBot="1" x14ac:dyDescent="0.3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  <c r="Q6" s="244"/>
      <c r="R6" s="244"/>
      <c r="S6" s="244"/>
      <c r="T6" s="244"/>
      <c r="U6" s="244"/>
      <c r="V6" s="244"/>
      <c r="W6" s="244"/>
      <c r="X6" s="244"/>
      <c r="Y6" s="244"/>
      <c r="Z6" s="244"/>
      <c r="AA6" s="244"/>
      <c r="AB6" s="244"/>
      <c r="AC6" s="244"/>
      <c r="AD6" s="244"/>
      <c r="AE6" s="244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244"/>
      <c r="AS6" s="244"/>
      <c r="AT6" s="244"/>
      <c r="AU6" s="244"/>
      <c r="AV6" s="244"/>
      <c r="AW6" s="244"/>
      <c r="AX6" s="244"/>
      <c r="AY6" s="244"/>
      <c r="AZ6" s="244"/>
      <c r="BA6" s="244"/>
      <c r="BB6" s="244"/>
      <c r="BC6" s="244"/>
      <c r="BD6" s="244"/>
      <c r="BE6" s="244"/>
      <c r="BF6" s="244"/>
      <c r="BG6" s="244"/>
    </row>
    <row r="7" spans="1:71" ht="46.5" customHeight="1" thickTop="1" thickBot="1" x14ac:dyDescent="0.25">
      <c r="A7" s="135" t="s">
        <v>47</v>
      </c>
      <c r="B7" s="135" t="s">
        <v>71</v>
      </c>
      <c r="C7" s="73" t="s">
        <v>128</v>
      </c>
      <c r="D7" s="135" t="s">
        <v>6</v>
      </c>
      <c r="E7" s="283" t="s">
        <v>82</v>
      </c>
      <c r="F7" s="283" t="s">
        <v>45</v>
      </c>
      <c r="G7" s="258">
        <f>+[1]ULDA!F9</f>
        <v>1</v>
      </c>
      <c r="H7" s="258">
        <f>+[1]ULDA!G9</f>
        <v>2</v>
      </c>
      <c r="I7" s="258">
        <f>+[1]ULDA!H9</f>
        <v>3</v>
      </c>
      <c r="J7" s="258">
        <f>+[1]ULDA!I9</f>
        <v>4</v>
      </c>
      <c r="K7" s="258">
        <f>+[1]ULDA!J9</f>
        <v>5</v>
      </c>
      <c r="L7" s="258">
        <f>+[1]ULDA!K9</f>
        <v>6</v>
      </c>
      <c r="M7" s="258">
        <f>+[1]ULDA!L9</f>
        <v>7</v>
      </c>
      <c r="N7" s="248" t="s">
        <v>129</v>
      </c>
      <c r="O7" s="262" t="s">
        <v>83</v>
      </c>
      <c r="P7" s="247">
        <f>+[1]H!T12</f>
        <v>8</v>
      </c>
      <c r="Q7" s="247">
        <f>+[1]H!U12</f>
        <v>9</v>
      </c>
      <c r="R7" s="247">
        <f>+[1]H!V12</f>
        <v>10</v>
      </c>
      <c r="S7" s="247">
        <f>+[1]H!W12</f>
        <v>11</v>
      </c>
      <c r="T7" s="247">
        <f>+[1]H!X12</f>
        <v>12</v>
      </c>
      <c r="U7" s="247">
        <f>+[1]H!Y12</f>
        <v>13</v>
      </c>
      <c r="V7" s="247">
        <f>+[1]H!Z12</f>
        <v>14</v>
      </c>
      <c r="W7" s="247">
        <f>+[1]H!AA12</f>
        <v>15</v>
      </c>
      <c r="X7" s="247">
        <f>+[1]H!AB12</f>
        <v>16</v>
      </c>
      <c r="Y7" s="248" t="s">
        <v>130</v>
      </c>
      <c r="Z7" s="263" t="s">
        <v>83</v>
      </c>
      <c r="AA7" s="264" t="s">
        <v>131</v>
      </c>
      <c r="AB7" s="264" t="s">
        <v>132</v>
      </c>
      <c r="AC7" s="283" t="s">
        <v>76</v>
      </c>
      <c r="AD7" s="283" t="s">
        <v>84</v>
      </c>
      <c r="AE7" s="279" t="s">
        <v>78</v>
      </c>
      <c r="AF7" s="93" t="s">
        <v>70</v>
      </c>
      <c r="AG7" s="93" t="s">
        <v>29</v>
      </c>
      <c r="AH7" s="283" t="s">
        <v>117</v>
      </c>
      <c r="AI7" s="283" t="s">
        <v>80</v>
      </c>
      <c r="AJ7" s="282" t="s">
        <v>133</v>
      </c>
      <c r="AK7" s="282" t="s">
        <v>133</v>
      </c>
      <c r="AL7" s="283" t="s">
        <v>81</v>
      </c>
      <c r="AM7" s="93" t="s">
        <v>70</v>
      </c>
      <c r="AN7" s="93" t="s">
        <v>70</v>
      </c>
      <c r="AO7" s="93" t="s">
        <v>69</v>
      </c>
      <c r="AP7" s="93" t="s">
        <v>68</v>
      </c>
      <c r="AQ7" s="93" t="s">
        <v>67</v>
      </c>
      <c r="AR7" s="265" t="s">
        <v>29</v>
      </c>
      <c r="AS7" s="283" t="s">
        <v>66</v>
      </c>
      <c r="AT7" s="255" t="s">
        <v>134</v>
      </c>
      <c r="AU7" s="255" t="s">
        <v>128</v>
      </c>
      <c r="AV7" s="255" t="s">
        <v>135</v>
      </c>
      <c r="AW7" s="255" t="s">
        <v>136</v>
      </c>
      <c r="AX7" s="255" t="s">
        <v>137</v>
      </c>
      <c r="AY7" s="255" t="s">
        <v>138</v>
      </c>
      <c r="AZ7" s="255" t="s">
        <v>139</v>
      </c>
      <c r="BA7" s="261" t="s">
        <v>139</v>
      </c>
      <c r="BB7" s="274" t="s">
        <v>156</v>
      </c>
      <c r="BC7" s="288" t="s">
        <v>89</v>
      </c>
      <c r="BD7" s="255" t="s">
        <v>52</v>
      </c>
      <c r="BE7" s="255" t="s">
        <v>53</v>
      </c>
      <c r="BF7" s="289" t="s">
        <v>17</v>
      </c>
      <c r="BG7" s="260" t="s">
        <v>39</v>
      </c>
      <c r="BH7" s="260"/>
      <c r="BI7" s="278" t="s">
        <v>92</v>
      </c>
      <c r="BJ7" s="278" t="s">
        <v>65</v>
      </c>
      <c r="BK7" s="284" t="s">
        <v>31</v>
      </c>
      <c r="BL7" s="281" t="s">
        <v>73</v>
      </c>
      <c r="BM7" s="280" t="s">
        <v>38</v>
      </c>
      <c r="BN7" s="287" t="s">
        <v>118</v>
      </c>
      <c r="BO7" s="287" t="s">
        <v>119</v>
      </c>
      <c r="BP7" s="254" t="s">
        <v>64</v>
      </c>
      <c r="BQ7" s="287" t="s">
        <v>55</v>
      </c>
      <c r="BR7" s="253" t="s">
        <v>51</v>
      </c>
      <c r="BS7" s="281" t="s">
        <v>63</v>
      </c>
    </row>
    <row r="8" spans="1:71" ht="12.75" customHeight="1" thickTop="1" thickBot="1" x14ac:dyDescent="0.25">
      <c r="A8" s="135"/>
      <c r="B8" s="135"/>
      <c r="C8" s="73"/>
      <c r="D8" s="135"/>
      <c r="E8" s="283"/>
      <c r="F8" s="283"/>
      <c r="G8" s="247"/>
      <c r="H8" s="247"/>
      <c r="I8" s="247"/>
      <c r="J8" s="247"/>
      <c r="K8" s="247"/>
      <c r="L8" s="247"/>
      <c r="M8" s="247"/>
      <c r="N8" s="248"/>
      <c r="O8" s="262"/>
      <c r="P8" s="247"/>
      <c r="Q8" s="247"/>
      <c r="R8" s="247"/>
      <c r="S8" s="247"/>
      <c r="T8" s="247"/>
      <c r="U8" s="247"/>
      <c r="V8" s="247"/>
      <c r="W8" s="247"/>
      <c r="X8" s="247"/>
      <c r="Y8" s="248"/>
      <c r="Z8" s="263"/>
      <c r="AA8" s="264"/>
      <c r="AB8" s="264"/>
      <c r="AC8" s="283"/>
      <c r="AD8" s="283"/>
      <c r="AE8" s="279"/>
      <c r="AF8" s="93" t="s">
        <v>61</v>
      </c>
      <c r="AG8" s="93" t="s">
        <v>141</v>
      </c>
      <c r="AH8" s="283"/>
      <c r="AI8" s="283"/>
      <c r="AJ8" s="282"/>
      <c r="AK8" s="282"/>
      <c r="AL8" s="283"/>
      <c r="AM8" s="93" t="s">
        <v>62</v>
      </c>
      <c r="AN8" s="93" t="s">
        <v>61</v>
      </c>
      <c r="AO8" s="93" t="s">
        <v>60</v>
      </c>
      <c r="AP8" s="93" t="s">
        <v>59</v>
      </c>
      <c r="AQ8" s="93" t="s">
        <v>58</v>
      </c>
      <c r="AR8" s="266"/>
      <c r="AS8" s="283"/>
      <c r="AT8" s="255"/>
      <c r="AU8" s="255"/>
      <c r="AV8" s="255"/>
      <c r="AW8" s="255"/>
      <c r="AX8" s="255"/>
      <c r="AY8" s="255"/>
      <c r="AZ8" s="255"/>
      <c r="BA8" s="261"/>
      <c r="BB8" s="275"/>
      <c r="BC8" s="288"/>
      <c r="BD8" s="255"/>
      <c r="BE8" s="255"/>
      <c r="BF8" s="289"/>
      <c r="BG8" s="260"/>
      <c r="BH8" s="260"/>
      <c r="BI8" s="278"/>
      <c r="BJ8" s="278"/>
      <c r="BK8" s="284"/>
      <c r="BL8" s="281"/>
      <c r="BM8" s="280"/>
      <c r="BN8" s="287"/>
      <c r="BO8" s="287"/>
      <c r="BP8" s="254"/>
      <c r="BQ8" s="287"/>
      <c r="BR8" s="253"/>
      <c r="BS8" s="281"/>
    </row>
    <row r="9" spans="1:71" ht="30" customHeight="1" thickTop="1" thickBot="1" x14ac:dyDescent="0.25">
      <c r="A9" s="135"/>
      <c r="B9" s="135"/>
      <c r="C9" s="73"/>
      <c r="D9" s="135"/>
      <c r="E9" s="283"/>
      <c r="F9" s="283"/>
      <c r="G9" s="247" t="str">
        <f>+Holman!F16</f>
        <v>S</v>
      </c>
      <c r="H9" s="247" t="str">
        <f>+Holman!G16</f>
        <v>D</v>
      </c>
      <c r="I9" s="247" t="str">
        <f>+Holman!H16</f>
        <v>L</v>
      </c>
      <c r="J9" s="247" t="str">
        <f>+Holman!I16</f>
        <v>M</v>
      </c>
      <c r="K9" s="247" t="str">
        <f>+Holman!J16</f>
        <v>M</v>
      </c>
      <c r="L9" s="247" t="str">
        <f>+Holman!K16</f>
        <v>J</v>
      </c>
      <c r="M9" s="247" t="str">
        <f>+Holman!L16</f>
        <v>V</v>
      </c>
      <c r="N9" s="248"/>
      <c r="O9" s="262"/>
      <c r="P9" s="247" t="str">
        <f>+Holman!O16</f>
        <v>S</v>
      </c>
      <c r="Q9" s="247" t="str">
        <f>+Holman!P16</f>
        <v>D</v>
      </c>
      <c r="R9" s="247" t="str">
        <f>+Holman!Q16</f>
        <v>L</v>
      </c>
      <c r="S9" s="247" t="str">
        <f>+Holman!R16</f>
        <v>M</v>
      </c>
      <c r="T9" s="247" t="str">
        <f>+Holman!S16</f>
        <v>M</v>
      </c>
      <c r="U9" s="247" t="str">
        <f>+Holman!T16</f>
        <v>J</v>
      </c>
      <c r="V9" s="247" t="str">
        <f>+Holman!U16</f>
        <v>V</v>
      </c>
      <c r="W9" s="247" t="str">
        <f>+Holman!V16</f>
        <v>S</v>
      </c>
      <c r="X9" s="247" t="s">
        <v>32</v>
      </c>
      <c r="Y9" s="248"/>
      <c r="Z9" s="263"/>
      <c r="AA9" s="264"/>
      <c r="AB9" s="264"/>
      <c r="AC9" s="283"/>
      <c r="AD9" s="283"/>
      <c r="AE9" s="279"/>
      <c r="AF9" s="93" t="s">
        <v>56</v>
      </c>
      <c r="AG9" s="93" t="s">
        <v>142</v>
      </c>
      <c r="AH9" s="283"/>
      <c r="AI9" s="283"/>
      <c r="AJ9" s="282"/>
      <c r="AK9" s="282"/>
      <c r="AL9" s="283"/>
      <c r="AM9" s="93" t="s">
        <v>57</v>
      </c>
      <c r="AN9" s="93" t="s">
        <v>56</v>
      </c>
      <c r="AO9" s="93"/>
      <c r="AP9" s="93"/>
      <c r="AQ9" s="93"/>
      <c r="AR9" s="267"/>
      <c r="AS9" s="283"/>
      <c r="AT9" s="255"/>
      <c r="AU9" s="255"/>
      <c r="AV9" s="255"/>
      <c r="AW9" s="255"/>
      <c r="AX9" s="255"/>
      <c r="AY9" s="255"/>
      <c r="AZ9" s="255"/>
      <c r="BA9" s="261"/>
      <c r="BB9" s="276"/>
      <c r="BC9" s="288"/>
      <c r="BD9" s="255"/>
      <c r="BE9" s="255"/>
      <c r="BF9" s="289"/>
      <c r="BG9" s="290" t="s">
        <v>120</v>
      </c>
      <c r="BH9" s="240" t="s">
        <v>118</v>
      </c>
      <c r="BI9" s="278"/>
      <c r="BJ9" s="278"/>
      <c r="BK9" s="284"/>
      <c r="BL9" s="281"/>
      <c r="BM9" s="280"/>
      <c r="BN9" s="287"/>
      <c r="BO9" s="287"/>
      <c r="BP9" s="254"/>
      <c r="BQ9" s="287"/>
      <c r="BR9" s="253"/>
      <c r="BS9" s="281"/>
    </row>
    <row r="10" spans="1:71" ht="41.25" customHeight="1" thickTop="1" thickBot="1" x14ac:dyDescent="0.25">
      <c r="A10" s="291">
        <v>17155823</v>
      </c>
      <c r="B10" s="292">
        <v>2</v>
      </c>
      <c r="C10" s="73">
        <v>250</v>
      </c>
      <c r="D10" s="89" t="s">
        <v>122</v>
      </c>
      <c r="E10" s="178">
        <v>250</v>
      </c>
      <c r="F10" s="293" t="s">
        <v>149</v>
      </c>
      <c r="G10" s="173">
        <v>250</v>
      </c>
      <c r="H10" s="173">
        <v>250</v>
      </c>
      <c r="I10" s="173">
        <v>250</v>
      </c>
      <c r="J10" s="313">
        <v>1</v>
      </c>
      <c r="K10" s="173">
        <v>250</v>
      </c>
      <c r="L10" s="173">
        <v>250</v>
      </c>
      <c r="M10" s="173">
        <v>250</v>
      </c>
      <c r="N10" s="129">
        <f>COUNTIF(G10:M10,250)</f>
        <v>6</v>
      </c>
      <c r="O10" s="129">
        <f>COUNTIF(N10,6)</f>
        <v>1</v>
      </c>
      <c r="P10" s="173">
        <v>250</v>
      </c>
      <c r="Q10" s="173">
        <v>250</v>
      </c>
      <c r="R10" s="173">
        <v>250</v>
      </c>
      <c r="S10" s="157">
        <v>1</v>
      </c>
      <c r="T10" s="173">
        <v>250</v>
      </c>
      <c r="U10" s="173">
        <v>250</v>
      </c>
      <c r="V10" s="173">
        <v>250</v>
      </c>
      <c r="W10" s="173">
        <v>250</v>
      </c>
      <c r="X10" s="173">
        <v>0</v>
      </c>
      <c r="Y10" s="129">
        <f>COUNTIF(P10:V10,250)</f>
        <v>6</v>
      </c>
      <c r="Z10" s="129">
        <f>COUNTIF(Y10,6)</f>
        <v>1</v>
      </c>
      <c r="AA10" s="90">
        <f>+Z10+O10</f>
        <v>2</v>
      </c>
      <c r="AB10" s="90">
        <f>COUNTIF(G10:Z10,250)</f>
        <v>13</v>
      </c>
      <c r="AC10" s="90">
        <f>+AB10+AA10+AH10+AD10+AE10</f>
        <v>18</v>
      </c>
      <c r="AD10" s="129">
        <v>1</v>
      </c>
      <c r="AE10" s="129">
        <v>0</v>
      </c>
      <c r="AF10" s="130">
        <f>+C10/8</f>
        <v>31.25</v>
      </c>
      <c r="AG10" s="130">
        <f>+AF10*AE10</f>
        <v>0</v>
      </c>
      <c r="AH10" s="90">
        <v>2</v>
      </c>
      <c r="AI10" s="90">
        <v>3500</v>
      </c>
      <c r="AJ10" s="90">
        <f>+E10*O10</f>
        <v>250</v>
      </c>
      <c r="AK10" s="90">
        <f>+E10*Z10</f>
        <v>250</v>
      </c>
      <c r="AL10" s="90">
        <f>+AJ10+AK10</f>
        <v>500</v>
      </c>
      <c r="AM10" s="132">
        <f>+E10</f>
        <v>250</v>
      </c>
      <c r="AN10" s="133">
        <f>+E10/8</f>
        <v>31.25</v>
      </c>
      <c r="AO10" s="132">
        <f>+AM10*AH10</f>
        <v>500</v>
      </c>
      <c r="AP10" s="132">
        <f>+AN10*AE10</f>
        <v>0</v>
      </c>
      <c r="AQ10" s="132">
        <f>+AD10*E10</f>
        <v>250</v>
      </c>
      <c r="AR10" s="90">
        <f>+AL10+AI10</f>
        <v>4000</v>
      </c>
      <c r="AS10" s="131">
        <f>+AJ10*J10+AK10*S10</f>
        <v>500</v>
      </c>
      <c r="AT10" s="90">
        <f>+AC10</f>
        <v>18</v>
      </c>
      <c r="AU10" s="90">
        <f>+C10</f>
        <v>250</v>
      </c>
      <c r="AV10" s="90">
        <v>84</v>
      </c>
      <c r="AW10" s="90">
        <v>0.85714199999999996</v>
      </c>
      <c r="AX10" s="90">
        <f>AT10*AU10</f>
        <v>4500</v>
      </c>
      <c r="AY10" s="90">
        <f>+AX10-BF10</f>
        <v>0</v>
      </c>
      <c r="AZ10" s="90">
        <f>AT10*AV10*AW10</f>
        <v>1295.9987039999999</v>
      </c>
      <c r="BA10" s="90">
        <v>0.85714199999999996</v>
      </c>
      <c r="BB10" s="90">
        <f>+BC10-AR10</f>
        <v>-142.86100000000033</v>
      </c>
      <c r="BC10" s="294">
        <f>+AX10*BA10</f>
        <v>3857.1389999999997</v>
      </c>
      <c r="BD10" s="91">
        <v>0</v>
      </c>
      <c r="BE10" s="131">
        <v>0</v>
      </c>
      <c r="BF10" s="295">
        <f>+AR10+AS10</f>
        <v>4500</v>
      </c>
      <c r="BG10" s="91">
        <f>+BF10-BE10</f>
        <v>4500</v>
      </c>
      <c r="BH10" s="92">
        <v>0.05</v>
      </c>
      <c r="BI10" s="135">
        <f>BF10*BH10</f>
        <v>225</v>
      </c>
      <c r="BJ10" s="294">
        <f>+BF10-BI10+AG10</f>
        <v>4275</v>
      </c>
      <c r="BK10" s="296">
        <v>0</v>
      </c>
      <c r="BL10" s="222">
        <f>+BJ10+BK10</f>
        <v>4275</v>
      </c>
      <c r="BM10" s="134">
        <f>+B10</f>
        <v>2</v>
      </c>
      <c r="BN10" s="57">
        <v>0.15</v>
      </c>
      <c r="BO10" s="297">
        <f>+BF10-BE10</f>
        <v>4500</v>
      </c>
      <c r="BP10" s="164">
        <f>BF10*BN10</f>
        <v>675</v>
      </c>
      <c r="BQ10" s="164">
        <v>0.02</v>
      </c>
      <c r="BR10" s="165">
        <f>BJ10*BQ10</f>
        <v>85.5</v>
      </c>
      <c r="BS10" s="164">
        <f>+BL10+BP10+BR10</f>
        <v>5035.5</v>
      </c>
    </row>
    <row r="11" spans="1:71" s="166" customFormat="1" ht="26.25" customHeight="1" thickTop="1" thickBot="1" x14ac:dyDescent="0.25">
      <c r="A11" s="291"/>
      <c r="B11" s="292"/>
      <c r="C11" s="261"/>
      <c r="D11" s="89"/>
      <c r="E11" s="129"/>
      <c r="F11" s="298"/>
      <c r="G11" s="173">
        <f t="shared" ref="G11:AL11" si="0">SUM(G10:G10)</f>
        <v>250</v>
      </c>
      <c r="H11" s="173">
        <f t="shared" si="0"/>
        <v>250</v>
      </c>
      <c r="I11" s="173">
        <f t="shared" si="0"/>
        <v>250</v>
      </c>
      <c r="J11" s="313">
        <v>1</v>
      </c>
      <c r="K11" s="173">
        <f t="shared" si="0"/>
        <v>250</v>
      </c>
      <c r="L11" s="173">
        <f t="shared" si="0"/>
        <v>250</v>
      </c>
      <c r="M11" s="173">
        <f t="shared" si="0"/>
        <v>250</v>
      </c>
      <c r="N11" s="173">
        <f t="shared" si="0"/>
        <v>6</v>
      </c>
      <c r="O11" s="129">
        <f t="shared" si="0"/>
        <v>1</v>
      </c>
      <c r="P11" s="173">
        <f t="shared" si="0"/>
        <v>250</v>
      </c>
      <c r="Q11" s="173">
        <f t="shared" si="0"/>
        <v>250</v>
      </c>
      <c r="R11" s="173">
        <f t="shared" si="0"/>
        <v>250</v>
      </c>
      <c r="S11" s="129">
        <f t="shared" si="0"/>
        <v>1</v>
      </c>
      <c r="T11" s="173">
        <f t="shared" si="0"/>
        <v>250</v>
      </c>
      <c r="U11" s="173">
        <f t="shared" si="0"/>
        <v>250</v>
      </c>
      <c r="V11" s="173">
        <f t="shared" si="0"/>
        <v>250</v>
      </c>
      <c r="W11" s="173">
        <f t="shared" si="0"/>
        <v>250</v>
      </c>
      <c r="X11" s="173">
        <f t="shared" si="0"/>
        <v>0</v>
      </c>
      <c r="Y11" s="129">
        <f t="shared" si="0"/>
        <v>6</v>
      </c>
      <c r="Z11" s="129">
        <f t="shared" si="0"/>
        <v>1</v>
      </c>
      <c r="AA11" s="173">
        <f t="shared" si="0"/>
        <v>2</v>
      </c>
      <c r="AB11" s="173">
        <f t="shared" si="0"/>
        <v>13</v>
      </c>
      <c r="AC11" s="129">
        <f t="shared" si="0"/>
        <v>18</v>
      </c>
      <c r="AD11" s="129">
        <f t="shared" si="0"/>
        <v>1</v>
      </c>
      <c r="AE11" s="129">
        <f t="shared" si="0"/>
        <v>0</v>
      </c>
      <c r="AF11" s="173">
        <f t="shared" si="0"/>
        <v>31.25</v>
      </c>
      <c r="AG11" s="173">
        <f t="shared" si="0"/>
        <v>0</v>
      </c>
      <c r="AH11" s="129">
        <v>2</v>
      </c>
      <c r="AI11" s="129">
        <f t="shared" si="0"/>
        <v>3500</v>
      </c>
      <c r="AJ11" s="173">
        <f t="shared" si="0"/>
        <v>250</v>
      </c>
      <c r="AK11" s="173">
        <f t="shared" si="0"/>
        <v>250</v>
      </c>
      <c r="AL11" s="129">
        <f t="shared" si="0"/>
        <v>500</v>
      </c>
      <c r="AM11" s="173">
        <f t="shared" ref="AM11:BL11" si="1">SUM(AM10:AM10)</f>
        <v>250</v>
      </c>
      <c r="AN11" s="173">
        <f t="shared" si="1"/>
        <v>31.25</v>
      </c>
      <c r="AO11" s="173">
        <f t="shared" si="1"/>
        <v>500</v>
      </c>
      <c r="AP11" s="173">
        <f t="shared" si="1"/>
        <v>0</v>
      </c>
      <c r="AQ11" s="173">
        <f t="shared" si="1"/>
        <v>250</v>
      </c>
      <c r="AR11" s="129">
        <f t="shared" si="1"/>
        <v>4000</v>
      </c>
      <c r="AS11" s="129">
        <f t="shared" si="1"/>
        <v>500</v>
      </c>
      <c r="AT11" s="129">
        <f t="shared" si="1"/>
        <v>18</v>
      </c>
      <c r="AU11" s="129">
        <f t="shared" si="1"/>
        <v>250</v>
      </c>
      <c r="AV11" s="129">
        <f t="shared" si="1"/>
        <v>84</v>
      </c>
      <c r="AW11" s="129">
        <f t="shared" si="1"/>
        <v>0.85714199999999996</v>
      </c>
      <c r="AX11" s="129">
        <f t="shared" si="1"/>
        <v>4500</v>
      </c>
      <c r="AY11" s="129">
        <f t="shared" si="1"/>
        <v>0</v>
      </c>
      <c r="AZ11" s="129">
        <f t="shared" si="1"/>
        <v>1295.9987039999999</v>
      </c>
      <c r="BA11" s="129">
        <f t="shared" si="1"/>
        <v>0.85714199999999996</v>
      </c>
      <c r="BB11" s="129">
        <f t="shared" si="1"/>
        <v>-142.86100000000033</v>
      </c>
      <c r="BC11" s="129">
        <f t="shared" si="1"/>
        <v>3857.1389999999997</v>
      </c>
      <c r="BD11" s="129">
        <f t="shared" si="1"/>
        <v>0</v>
      </c>
      <c r="BE11" s="129">
        <f t="shared" si="1"/>
        <v>0</v>
      </c>
      <c r="BF11" s="129">
        <f t="shared" si="1"/>
        <v>4500</v>
      </c>
      <c r="BG11" s="173">
        <f t="shared" si="1"/>
        <v>4500</v>
      </c>
      <c r="BH11" s="173">
        <f t="shared" si="1"/>
        <v>0.05</v>
      </c>
      <c r="BI11" s="129">
        <f t="shared" si="1"/>
        <v>225</v>
      </c>
      <c r="BJ11" s="129">
        <f t="shared" si="1"/>
        <v>4275</v>
      </c>
      <c r="BK11" s="129">
        <f t="shared" si="1"/>
        <v>0</v>
      </c>
      <c r="BL11" s="217">
        <f t="shared" si="1"/>
        <v>4275</v>
      </c>
      <c r="BM11" s="299"/>
      <c r="BN11" s="88"/>
      <c r="BO11" s="300"/>
      <c r="BP11" s="164">
        <f>+BP10</f>
        <v>675</v>
      </c>
      <c r="BQ11" s="164">
        <f>+BQ10</f>
        <v>0.02</v>
      </c>
      <c r="BR11" s="165">
        <f>+BR10</f>
        <v>85.5</v>
      </c>
      <c r="BS11" s="164">
        <f>+BS10</f>
        <v>5035.5</v>
      </c>
    </row>
    <row r="12" spans="1:71" s="67" customFormat="1" ht="14.4" thickTop="1" x14ac:dyDescent="0.2">
      <c r="A12" s="301"/>
      <c r="B12" s="302"/>
      <c r="C12" s="94"/>
      <c r="D12" s="95"/>
      <c r="E12" s="96"/>
      <c r="F12" s="303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7"/>
      <c r="AB12" s="97"/>
      <c r="AC12" s="98"/>
      <c r="AD12" s="96"/>
      <c r="AE12" s="96"/>
      <c r="AF12" s="99"/>
      <c r="AG12" s="99"/>
      <c r="AH12" s="97"/>
      <c r="AI12" s="98"/>
      <c r="AJ12" s="98"/>
      <c r="AK12" s="98"/>
      <c r="AL12" s="98"/>
      <c r="AM12" s="98"/>
      <c r="AN12" s="100"/>
      <c r="AO12" s="98"/>
      <c r="AP12" s="98"/>
      <c r="AQ12" s="98"/>
      <c r="AR12" s="98"/>
      <c r="AS12" s="98"/>
      <c r="AT12" s="98"/>
      <c r="AU12" s="98"/>
      <c r="AV12" s="98"/>
      <c r="AW12" s="97"/>
      <c r="AX12" s="98"/>
      <c r="AY12" s="98"/>
      <c r="AZ12" s="98"/>
      <c r="BA12" s="98"/>
      <c r="BB12" s="98"/>
      <c r="BC12" s="304"/>
      <c r="BD12" s="101"/>
      <c r="BE12" s="98"/>
      <c r="BF12" s="304"/>
      <c r="BG12" s="96"/>
      <c r="BH12" s="102"/>
      <c r="BI12" s="100"/>
      <c r="BJ12" s="304"/>
      <c r="BK12" s="305"/>
      <c r="BL12" s="306"/>
      <c r="BM12" s="62"/>
      <c r="BN12" s="63"/>
      <c r="BO12" s="307"/>
      <c r="BP12" s="64"/>
      <c r="BQ12" s="65"/>
      <c r="BR12" s="66"/>
      <c r="BS12" s="66"/>
    </row>
    <row r="13" spans="1:71" ht="17.399999999999999" x14ac:dyDescent="0.3">
      <c r="A13" s="103"/>
      <c r="B13" s="103"/>
      <c r="C13" s="103"/>
      <c r="D13" s="103"/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4"/>
      <c r="BI13" s="104"/>
      <c r="BJ13" s="104"/>
      <c r="BK13" s="104"/>
      <c r="BL13" s="104"/>
    </row>
    <row r="14" spans="1:71" ht="20.25" customHeight="1" x14ac:dyDescent="0.2">
      <c r="A14" s="285" t="s">
        <v>165</v>
      </c>
      <c r="B14" s="249">
        <f>+AI11</f>
        <v>3500</v>
      </c>
      <c r="C14" s="249"/>
      <c r="D14" s="249"/>
      <c r="E14" s="285" t="s">
        <v>158</v>
      </c>
      <c r="F14" s="285"/>
      <c r="G14" s="245">
        <f>+AL11</f>
        <v>500</v>
      </c>
      <c r="H14" s="193" t="s">
        <v>29</v>
      </c>
      <c r="I14" s="245">
        <f>+AR11</f>
        <v>4000</v>
      </c>
      <c r="J14" s="285"/>
      <c r="K14" s="249" t="s">
        <v>166</v>
      </c>
      <c r="L14" s="208">
        <f>+AS11</f>
        <v>500</v>
      </c>
      <c r="M14" s="285" t="s">
        <v>167</v>
      </c>
      <c r="N14" s="285"/>
      <c r="O14" s="245"/>
      <c r="P14" s="245">
        <v>143</v>
      </c>
      <c r="Q14" s="245"/>
      <c r="R14" s="249" t="s">
        <v>168</v>
      </c>
      <c r="S14" s="249"/>
      <c r="T14" s="245">
        <f>+BC11</f>
        <v>3857.1389999999997</v>
      </c>
      <c r="U14" s="285"/>
      <c r="V14" s="285"/>
      <c r="W14" s="285"/>
      <c r="X14" s="249" t="s">
        <v>162</v>
      </c>
      <c r="Y14" s="249"/>
      <c r="Z14" s="249"/>
      <c r="AA14" s="286"/>
      <c r="AB14" s="286"/>
      <c r="AC14" s="245">
        <f>+BD11</f>
        <v>0</v>
      </c>
      <c r="AD14" s="285"/>
      <c r="AE14" s="245" t="s">
        <v>169</v>
      </c>
      <c r="AF14" s="245"/>
      <c r="AG14" s="245"/>
      <c r="AH14" s="245"/>
      <c r="AI14" s="308">
        <f>+BE11</f>
        <v>0</v>
      </c>
      <c r="AJ14" s="286"/>
      <c r="AK14" s="286"/>
      <c r="AL14" s="286" t="s">
        <v>222</v>
      </c>
      <c r="AM14" s="286"/>
      <c r="AN14" s="286"/>
      <c r="AO14" s="286"/>
      <c r="AP14" s="286"/>
      <c r="AQ14" s="286"/>
      <c r="AR14" s="286"/>
      <c r="AS14" s="1423">
        <f>+BF11</f>
        <v>4500</v>
      </c>
      <c r="AT14" s="1424"/>
      <c r="AU14" s="1424"/>
      <c r="AV14" s="1424"/>
      <c r="AW14" s="1424"/>
      <c r="AX14" s="1424"/>
      <c r="AY14" s="1424"/>
      <c r="AZ14" s="1424"/>
      <c r="BA14" s="1424"/>
      <c r="BB14" s="1424"/>
      <c r="BC14" s="1424"/>
      <c r="BD14" s="1424"/>
      <c r="BE14" s="1424"/>
      <c r="BF14" s="1424"/>
      <c r="BG14" s="109"/>
      <c r="BH14" s="109"/>
      <c r="BI14" s="109"/>
      <c r="BJ14" s="104"/>
      <c r="BK14" s="104"/>
      <c r="BL14" s="104"/>
    </row>
    <row r="15" spans="1:71" ht="15" customHeight="1" thickBot="1" x14ac:dyDescent="0.25">
      <c r="A15" s="188"/>
      <c r="B15" s="188"/>
      <c r="C15" s="189" t="e">
        <f>#REF!</f>
        <v>#REF!</v>
      </c>
      <c r="D15" s="190"/>
      <c r="E15" s="191" t="s">
        <v>88</v>
      </c>
      <c r="F15" s="192"/>
      <c r="G15" s="1425">
        <f>+BL11</f>
        <v>4275</v>
      </c>
      <c r="H15" s="1426"/>
      <c r="I15" s="309"/>
      <c r="J15" s="310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6"/>
      <c r="AC15" s="105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311"/>
      <c r="AP15" s="107"/>
      <c r="AQ15" s="107"/>
      <c r="AR15" s="107"/>
      <c r="AS15" s="311"/>
      <c r="AT15" s="311"/>
      <c r="AU15" s="107"/>
      <c r="AV15" s="109"/>
      <c r="AW15" s="109"/>
      <c r="AX15" s="109"/>
      <c r="AY15" s="109"/>
      <c r="AZ15" s="109"/>
      <c r="BA15" s="110"/>
      <c r="BB15" s="110"/>
      <c r="BC15" s="110"/>
      <c r="BD15" s="110"/>
      <c r="BE15" s="110"/>
      <c r="BF15" s="110"/>
      <c r="BG15" s="250" t="s">
        <v>63</v>
      </c>
      <c r="BH15" s="104"/>
      <c r="BI15" s="104"/>
      <c r="BJ15" s="104"/>
      <c r="BK15" s="104"/>
      <c r="BL15" s="104"/>
    </row>
    <row r="16" spans="1:71" ht="15" customHeight="1" thickTop="1" x14ac:dyDescent="0.2">
      <c r="A16" s="111"/>
      <c r="B16" s="111"/>
      <c r="C16" s="112"/>
      <c r="D16" s="113"/>
      <c r="E16" s="114"/>
      <c r="F16" s="114"/>
      <c r="G16" s="115"/>
      <c r="H16" s="11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6"/>
      <c r="AC16" s="105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311"/>
      <c r="AP16" s="107"/>
      <c r="AQ16" s="107"/>
      <c r="AR16" s="107"/>
      <c r="AS16" s="311"/>
      <c r="AT16" s="311"/>
      <c r="AU16" s="107"/>
      <c r="AV16" s="109"/>
      <c r="AW16" s="109"/>
      <c r="AX16" s="109"/>
      <c r="AY16" s="109"/>
      <c r="AZ16" s="109"/>
      <c r="BA16" s="110"/>
      <c r="BB16" s="110"/>
      <c r="BC16" s="110"/>
      <c r="BD16" s="110"/>
      <c r="BE16" s="110"/>
      <c r="BF16" s="110"/>
      <c r="BG16" s="251"/>
      <c r="BH16" s="104"/>
      <c r="BI16" s="104"/>
      <c r="BJ16" s="104"/>
      <c r="BK16" s="104"/>
      <c r="BL16" s="104"/>
    </row>
    <row r="17" spans="1:64" ht="15" customHeight="1" x14ac:dyDescent="0.2">
      <c r="A17" s="111"/>
      <c r="B17" s="111"/>
      <c r="C17" s="112"/>
      <c r="D17" s="113"/>
      <c r="E17" s="114"/>
      <c r="F17" s="114"/>
      <c r="G17" s="115"/>
      <c r="H17" s="11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6"/>
      <c r="AC17" s="105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311"/>
      <c r="AP17" s="107"/>
      <c r="AQ17" s="107"/>
      <c r="AR17" s="107"/>
      <c r="AS17" s="311"/>
      <c r="AT17" s="311"/>
      <c r="AU17" s="107"/>
      <c r="AV17" s="109"/>
      <c r="AW17" s="109"/>
      <c r="AX17" s="109"/>
      <c r="AY17" s="109"/>
      <c r="AZ17" s="109"/>
      <c r="BA17" s="110"/>
      <c r="BB17" s="110"/>
      <c r="BC17" s="110"/>
      <c r="BD17" s="110"/>
      <c r="BE17" s="110"/>
      <c r="BF17" s="110"/>
      <c r="BG17" s="312"/>
      <c r="BH17" s="104"/>
      <c r="BI17" s="104"/>
      <c r="BJ17" s="104"/>
      <c r="BK17" s="104"/>
      <c r="BL17" s="104"/>
    </row>
    <row r="18" spans="1:64" ht="15" customHeight="1" x14ac:dyDescent="0.2">
      <c r="A18" s="111"/>
      <c r="B18" s="111"/>
      <c r="C18" s="112"/>
      <c r="D18" s="113"/>
      <c r="E18" s="114"/>
      <c r="F18" s="114"/>
      <c r="G18" s="115"/>
      <c r="H18" s="11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6"/>
      <c r="AC18" s="105"/>
      <c r="AD18" s="107"/>
      <c r="AE18" s="107"/>
      <c r="AF18" s="107"/>
      <c r="AG18" s="107"/>
      <c r="AH18" s="107"/>
      <c r="AI18" s="107"/>
      <c r="AJ18" s="107"/>
      <c r="AK18" s="107"/>
      <c r="AL18" s="107"/>
      <c r="AM18" s="107"/>
      <c r="AN18" s="107"/>
      <c r="AO18" s="311"/>
      <c r="AP18" s="107"/>
      <c r="AQ18" s="107"/>
      <c r="AR18" s="107"/>
      <c r="AS18" s="311"/>
      <c r="AT18" s="311"/>
      <c r="AU18" s="107"/>
      <c r="AV18" s="109"/>
      <c r="AW18" s="109"/>
      <c r="AX18" s="109"/>
      <c r="AY18" s="109"/>
      <c r="AZ18" s="109"/>
      <c r="BA18" s="110"/>
      <c r="BB18" s="110"/>
      <c r="BC18" s="110"/>
      <c r="BD18" s="110"/>
      <c r="BE18" s="110"/>
      <c r="BF18" s="110"/>
      <c r="BG18" s="312"/>
      <c r="BH18" s="104"/>
      <c r="BI18" s="104"/>
      <c r="BJ18" s="104"/>
      <c r="BK18" s="104"/>
      <c r="BL18" s="104"/>
    </row>
    <row r="19" spans="1:64" ht="12.75" customHeight="1" thickBot="1" x14ac:dyDescent="0.25">
      <c r="A19" s="111"/>
      <c r="B19" s="111"/>
      <c r="C19" s="112"/>
      <c r="D19" s="113"/>
      <c r="E19" s="114"/>
      <c r="F19" s="114"/>
      <c r="G19" s="115"/>
      <c r="H19" s="11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6"/>
      <c r="AC19" s="105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8"/>
      <c r="AP19" s="107"/>
      <c r="AQ19" s="107"/>
      <c r="AR19" s="107"/>
      <c r="AS19" s="108"/>
      <c r="AT19" s="108"/>
      <c r="AU19" s="107"/>
      <c r="AV19" s="109"/>
      <c r="AW19" s="109"/>
      <c r="AX19" s="109"/>
      <c r="AY19" s="109"/>
      <c r="AZ19" s="109"/>
      <c r="BA19" s="110"/>
      <c r="BB19" s="110"/>
      <c r="BC19" s="110"/>
      <c r="BD19" s="110"/>
      <c r="BE19" s="110"/>
      <c r="BF19" s="110"/>
      <c r="BG19" s="252"/>
      <c r="BH19" s="104"/>
      <c r="BI19" s="104"/>
      <c r="BJ19" s="104"/>
      <c r="BK19" s="104"/>
      <c r="BL19" s="104"/>
    </row>
    <row r="20" spans="1:64" ht="12.75" customHeight="1" thickBot="1" x14ac:dyDescent="0.25">
      <c r="A20" s="111"/>
      <c r="B20" s="111"/>
      <c r="C20" s="112"/>
      <c r="D20" s="113"/>
      <c r="E20" s="114"/>
      <c r="F20" s="114"/>
      <c r="G20" s="115"/>
      <c r="H20" s="11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6"/>
      <c r="AC20" s="105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8"/>
      <c r="AP20" s="107"/>
      <c r="AQ20" s="107"/>
      <c r="AR20" s="107"/>
      <c r="AS20" s="108"/>
      <c r="AT20" s="108"/>
      <c r="AU20" s="107"/>
      <c r="AV20" s="109"/>
      <c r="AW20" s="109"/>
      <c r="AX20" s="109"/>
      <c r="AY20" s="109"/>
      <c r="AZ20" s="109"/>
      <c r="BA20" s="110"/>
      <c r="BB20" s="110"/>
      <c r="BC20" s="110"/>
      <c r="BD20" s="110"/>
      <c r="BE20" s="110"/>
      <c r="BF20" s="110"/>
      <c r="BG20" s="116"/>
      <c r="BH20" s="104"/>
      <c r="BI20" s="104"/>
      <c r="BJ20" s="104"/>
      <c r="BK20" s="104"/>
      <c r="BL20" s="104"/>
    </row>
    <row r="21" spans="1:64" ht="11.4" x14ac:dyDescent="0.2">
      <c r="B21" s="117"/>
      <c r="C21" s="118"/>
      <c r="D21" s="119"/>
      <c r="E21" s="120"/>
      <c r="F21" s="120"/>
      <c r="G21" s="121"/>
      <c r="H21" s="121"/>
      <c r="I21" s="121"/>
      <c r="J21" s="124"/>
      <c r="K21" s="124"/>
      <c r="L21" s="124"/>
      <c r="M21" s="124"/>
      <c r="N21" s="124"/>
      <c r="O21" s="121"/>
      <c r="P21" s="121"/>
      <c r="Q21" s="121"/>
      <c r="R21" s="121"/>
      <c r="S21" s="124"/>
      <c r="T21" s="124"/>
      <c r="U21" s="124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6"/>
      <c r="BE21" s="126"/>
      <c r="BF21" s="126"/>
      <c r="BG21" s="127" t="e">
        <f>SUM(#REF!)</f>
        <v>#REF!</v>
      </c>
      <c r="BH21" s="128"/>
      <c r="BI21" s="128"/>
      <c r="BJ21" s="128"/>
      <c r="BK21" s="128"/>
      <c r="BL21" s="128"/>
    </row>
    <row r="22" spans="1:64" ht="14.4" x14ac:dyDescent="0.25">
      <c r="B22" s="41"/>
      <c r="C22" s="42"/>
      <c r="D22" s="272" t="s">
        <v>23</v>
      </c>
      <c r="E22" s="272"/>
      <c r="F22" s="272"/>
      <c r="G22" s="43"/>
      <c r="H22" s="43"/>
      <c r="I22" s="43"/>
      <c r="J22" s="43"/>
      <c r="K22" s="43"/>
      <c r="L22" s="43"/>
      <c r="M22" s="52" t="s">
        <v>24</v>
      </c>
      <c r="N22" s="52"/>
      <c r="O22" s="272"/>
      <c r="P22" s="272"/>
      <c r="Q22" s="272"/>
      <c r="R22" s="272"/>
      <c r="S22" s="43"/>
      <c r="T22" s="44"/>
      <c r="U22" s="44"/>
      <c r="V22" s="44"/>
      <c r="W22" s="44"/>
      <c r="X22" s="44"/>
      <c r="Y22" s="45"/>
      <c r="Z22" s="45"/>
      <c r="AA22" s="44"/>
      <c r="AB22" s="45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6"/>
      <c r="AN22" s="44"/>
      <c r="AO22" s="44"/>
      <c r="AP22" s="46"/>
      <c r="AQ22" s="46"/>
      <c r="AR22" s="46"/>
      <c r="AS22" s="43" t="s">
        <v>218</v>
      </c>
      <c r="AT22" s="44"/>
      <c r="AU22" s="44"/>
      <c r="AV22" s="44"/>
      <c r="AW22" s="61"/>
      <c r="AX22" s="61"/>
      <c r="AY22" s="61"/>
      <c r="AZ22" s="61"/>
      <c r="BA22" s="61"/>
      <c r="BB22" s="61"/>
      <c r="BC22" s="61"/>
      <c r="BD22" s="52" t="s">
        <v>25</v>
      </c>
      <c r="BE22" s="52"/>
      <c r="BF22" s="52"/>
      <c r="BG22" s="52"/>
      <c r="BH22" s="52"/>
      <c r="BI22" s="52"/>
      <c r="BJ22" s="52"/>
      <c r="BK22" s="52"/>
      <c r="BL22" s="52"/>
    </row>
    <row r="23" spans="1:64" ht="14.4" x14ac:dyDescent="0.2">
      <c r="B23" s="39"/>
      <c r="C23" s="40"/>
      <c r="D23" s="48" t="s">
        <v>219</v>
      </c>
      <c r="E23" s="48"/>
      <c r="F23" s="48"/>
      <c r="G23" s="47"/>
      <c r="H23" s="47"/>
      <c r="I23" s="47"/>
      <c r="J23" s="47"/>
      <c r="K23" s="47"/>
      <c r="L23" s="122" t="s">
        <v>26</v>
      </c>
      <c r="M23" s="122"/>
      <c r="N23" s="122"/>
      <c r="O23" s="122"/>
      <c r="P23" s="122"/>
      <c r="Q23" s="122"/>
      <c r="R23" s="122"/>
      <c r="S23" s="47"/>
      <c r="T23" s="68"/>
      <c r="U23" s="68"/>
      <c r="V23" s="68"/>
      <c r="W23" s="68"/>
      <c r="X23" s="68"/>
      <c r="Y23" s="68"/>
      <c r="Z23" s="68"/>
      <c r="AA23" s="68"/>
      <c r="AB23" s="69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70"/>
      <c r="AO23" s="47"/>
      <c r="AP23" s="47"/>
      <c r="AQ23" s="70"/>
      <c r="AR23" s="70"/>
      <c r="AS23" s="30" t="s">
        <v>74</v>
      </c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 t="s">
        <v>27</v>
      </c>
      <c r="BE23" s="125"/>
      <c r="BF23" s="125"/>
      <c r="BG23" s="125"/>
      <c r="BH23" s="125"/>
      <c r="BI23" s="125"/>
      <c r="BJ23" s="125"/>
      <c r="BK23" s="125"/>
      <c r="BL23" s="125"/>
    </row>
    <row r="24" spans="1:64" ht="13.2" x14ac:dyDescent="0.25">
      <c r="B24" s="39"/>
      <c r="C24" s="40"/>
      <c r="D24" s="71"/>
      <c r="E24" s="256"/>
      <c r="F24" s="47"/>
      <c r="G24" s="256"/>
      <c r="H24" s="256"/>
      <c r="I24" s="256"/>
      <c r="J24" s="256"/>
      <c r="K24" s="256"/>
      <c r="L24" s="47"/>
      <c r="M24" s="47"/>
      <c r="N24" s="47"/>
      <c r="O24" s="47"/>
      <c r="P24" s="47"/>
      <c r="Q24" s="47"/>
      <c r="R24" s="47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70"/>
      <c r="AO24" s="47"/>
      <c r="AP24" s="47"/>
      <c r="AQ24" s="70"/>
      <c r="AR24" s="70"/>
      <c r="AS24" s="47"/>
      <c r="AT24" s="47"/>
      <c r="AU24" s="47"/>
      <c r="AV24" s="257" t="s">
        <v>121</v>
      </c>
      <c r="AW24" s="257"/>
      <c r="AX24" s="257"/>
      <c r="AY24" s="257"/>
      <c r="AZ24" s="61"/>
      <c r="BA24" s="61"/>
      <c r="BB24" s="61"/>
      <c r="BC24" s="61"/>
      <c r="BD24" s="61"/>
      <c r="BE24" s="61"/>
      <c r="BF24" s="61"/>
      <c r="BG24" s="61"/>
    </row>
  </sheetData>
  <mergeCells count="5">
    <mergeCell ref="A2:BM2"/>
    <mergeCell ref="A4:BM4"/>
    <mergeCell ref="A3:BM3"/>
    <mergeCell ref="AS14:BF14"/>
    <mergeCell ref="G15:H15"/>
  </mergeCells>
  <conditionalFormatting sqref="G10:X11">
    <cfRule type="cellIs" dxfId="8" priority="1" operator="equal">
      <formula>$J$10</formula>
    </cfRule>
  </conditionalFormatting>
  <printOptions horizontalCentered="1" verticalCentered="1"/>
  <pageMargins left="0" right="0" top="1.1417322834645669" bottom="0" header="0.31496062992125984" footer="0.31496062992125984"/>
  <pageSetup paperSize="5" scale="70" orientation="landscape" horizontalDpi="120" verticalDpi="72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5">
    <tabColor theme="7"/>
  </sheetPr>
  <dimension ref="A3:BJ28"/>
  <sheetViews>
    <sheetView topLeftCell="A2" zoomScaleNormal="100" workbookViewId="0">
      <selection activeCell="B16" sqref="B16"/>
    </sheetView>
  </sheetViews>
  <sheetFormatPr baseColWidth="10" defaultRowHeight="10.199999999999999" x14ac:dyDescent="0.2"/>
  <cols>
    <col min="1" max="1" width="3.7109375" customWidth="1"/>
    <col min="2" max="2" width="12" customWidth="1"/>
    <col min="3" max="3" width="20.7109375" customWidth="1"/>
    <col min="4" max="4" width="4.28515625" customWidth="1"/>
    <col min="5" max="5" width="5.42578125" customWidth="1"/>
    <col min="6" max="8" width="7.28515625" customWidth="1"/>
    <col min="9" max="9" width="3.85546875" customWidth="1"/>
    <col min="10" max="12" width="7.28515625" customWidth="1"/>
    <col min="13" max="13" width="7.28515625" hidden="1" customWidth="1"/>
    <col min="14" max="14" width="5" customWidth="1"/>
    <col min="15" max="17" width="7.28515625" customWidth="1"/>
    <col min="18" max="18" width="4.140625" customWidth="1"/>
    <col min="19" max="21" width="7.28515625" customWidth="1"/>
    <col min="22" max="23" width="7.28515625" hidden="1" customWidth="1"/>
    <col min="24" max="24" width="7.85546875" hidden="1" customWidth="1"/>
    <col min="25" max="25" width="4" customWidth="1"/>
    <col min="26" max="27" width="7.85546875" hidden="1" customWidth="1"/>
    <col min="28" max="28" width="5" customWidth="1"/>
    <col min="29" max="31" width="3.42578125" customWidth="1"/>
    <col min="32" max="32" width="7.7109375" customWidth="1"/>
    <col min="33" max="34" width="0" hidden="1" customWidth="1"/>
    <col min="35" max="35" width="5.140625" customWidth="1"/>
    <col min="36" max="37" width="12" hidden="1" customWidth="1"/>
    <col min="38" max="38" width="4.140625" hidden="1" customWidth="1"/>
    <col min="39" max="39" width="5" hidden="1" customWidth="1"/>
    <col min="40" max="41" width="4.85546875" hidden="1" customWidth="1"/>
    <col min="42" max="49" width="12" hidden="1" customWidth="1"/>
    <col min="50" max="50" width="8.140625" customWidth="1"/>
    <col min="51" max="51" width="6.7109375" customWidth="1"/>
    <col min="52" max="52" width="6.28515625" hidden="1" customWidth="1"/>
    <col min="53" max="53" width="7" hidden="1" customWidth="1"/>
    <col min="54" max="54" width="5.140625" hidden="1" customWidth="1"/>
    <col min="55" max="55" width="6.28515625" hidden="1" customWidth="1"/>
    <col min="56" max="58" width="12" hidden="1" customWidth="1"/>
    <col min="59" max="59" width="6.140625" customWidth="1"/>
    <col min="60" max="60" width="4.42578125" customWidth="1"/>
    <col min="61" max="61" width="14.85546875" customWidth="1"/>
    <col min="62" max="62" width="39.42578125" customWidth="1"/>
  </cols>
  <sheetData>
    <row r="3" spans="1:62" ht="17.399999999999999" x14ac:dyDescent="0.2">
      <c r="A3" s="1183" t="s">
        <v>108</v>
      </c>
      <c r="B3" s="1183"/>
      <c r="C3" s="1183"/>
      <c r="D3" s="1183"/>
      <c r="E3" s="1183"/>
      <c r="F3" s="1183"/>
      <c r="G3" s="1183"/>
      <c r="H3" s="1183"/>
      <c r="I3" s="1183"/>
      <c r="J3" s="1183"/>
      <c r="K3" s="1183"/>
      <c r="L3" s="1183"/>
      <c r="M3" s="1183"/>
      <c r="N3" s="1183"/>
      <c r="O3" s="1183"/>
      <c r="P3" s="1183"/>
      <c r="Q3" s="1183"/>
      <c r="R3" s="1183"/>
      <c r="S3" s="1183"/>
      <c r="T3" s="1183"/>
      <c r="U3" s="1183"/>
      <c r="V3" s="1183"/>
      <c r="W3" s="1183"/>
      <c r="X3" s="1183"/>
      <c r="Y3" s="1183"/>
      <c r="Z3" s="1183"/>
      <c r="AA3" s="1183"/>
      <c r="AB3" s="1183"/>
      <c r="AC3" s="1183"/>
      <c r="AD3" s="1183"/>
      <c r="AE3" s="1183"/>
      <c r="AF3" s="1183"/>
      <c r="AG3" s="1183"/>
      <c r="AH3" s="1183"/>
      <c r="AI3" s="1183"/>
      <c r="AJ3" s="1183"/>
      <c r="AK3" s="1183"/>
      <c r="AL3" s="1183"/>
      <c r="AM3" s="1183"/>
      <c r="AN3" s="1183"/>
      <c r="AO3" s="1183"/>
      <c r="AP3" s="1183"/>
      <c r="AQ3" s="1183"/>
      <c r="AR3" s="1183"/>
      <c r="AS3" s="1183"/>
      <c r="AT3" s="1183"/>
      <c r="AU3" s="1183"/>
      <c r="AV3" s="1183"/>
      <c r="AW3" s="1183"/>
      <c r="AX3" s="1183"/>
      <c r="AY3" s="1183"/>
      <c r="AZ3" s="1183"/>
      <c r="BA3" s="1183"/>
      <c r="BB3" s="1183"/>
      <c r="BC3" s="1183"/>
      <c r="BD3" s="1183"/>
      <c r="BE3" s="1183"/>
      <c r="BF3" s="1183"/>
      <c r="BG3" s="1183"/>
      <c r="BH3" s="1183"/>
      <c r="BI3" s="1183"/>
      <c r="BJ3" s="1183"/>
    </row>
    <row r="4" spans="1:62" ht="17.399999999999999" x14ac:dyDescent="0.2">
      <c r="A4" s="1183" t="s">
        <v>115</v>
      </c>
      <c r="B4" s="1183"/>
      <c r="C4" s="1183"/>
      <c r="D4" s="1183"/>
      <c r="E4" s="1183"/>
      <c r="F4" s="1183"/>
      <c r="G4" s="1183"/>
      <c r="H4" s="1183"/>
      <c r="I4" s="1183"/>
      <c r="J4" s="1183"/>
      <c r="K4" s="1183"/>
      <c r="L4" s="1183"/>
      <c r="M4" s="1183"/>
      <c r="N4" s="1183"/>
      <c r="O4" s="1183"/>
      <c r="P4" s="1183"/>
      <c r="Q4" s="1183"/>
      <c r="R4" s="1183"/>
      <c r="S4" s="1183"/>
      <c r="T4" s="1183"/>
      <c r="U4" s="1183"/>
      <c r="V4" s="1183"/>
      <c r="W4" s="1183"/>
      <c r="X4" s="1183"/>
      <c r="Y4" s="1183"/>
      <c r="Z4" s="1183"/>
      <c r="AA4" s="1183"/>
      <c r="AB4" s="1183"/>
      <c r="AC4" s="1183"/>
      <c r="AD4" s="1183"/>
      <c r="AE4" s="1183"/>
      <c r="AF4" s="1183"/>
      <c r="AG4" s="1183"/>
      <c r="AH4" s="1183"/>
      <c r="AI4" s="1183"/>
      <c r="AJ4" s="1183"/>
      <c r="AK4" s="1183"/>
      <c r="AL4" s="1183"/>
      <c r="AM4" s="1183"/>
      <c r="AN4" s="1183"/>
      <c r="AO4" s="1183"/>
      <c r="AP4" s="1183"/>
      <c r="AQ4" s="1183"/>
      <c r="AR4" s="1183"/>
      <c r="AS4" s="1183"/>
      <c r="AT4" s="1183"/>
      <c r="AU4" s="1183"/>
      <c r="AV4" s="1183"/>
      <c r="AW4" s="1183"/>
      <c r="AX4" s="1183"/>
      <c r="AY4" s="1183"/>
      <c r="AZ4" s="1183"/>
      <c r="BA4" s="1183"/>
      <c r="BB4" s="1183"/>
      <c r="BC4" s="1183"/>
      <c r="BD4" s="1183"/>
      <c r="BE4" s="1183"/>
      <c r="BF4" s="1183"/>
      <c r="BG4" s="1183"/>
      <c r="BH4" s="1183"/>
      <c r="BI4" s="1183"/>
      <c r="BJ4" s="1183"/>
    </row>
    <row r="5" spans="1:62" ht="17.399999999999999" x14ac:dyDescent="0.2">
      <c r="A5" s="1184" t="s">
        <v>91</v>
      </c>
      <c r="B5" s="1184"/>
      <c r="C5" s="1184"/>
      <c r="D5" s="1184"/>
      <c r="E5" s="1184"/>
      <c r="F5" s="1184"/>
      <c r="G5" s="1184"/>
      <c r="H5" s="1184"/>
      <c r="I5" s="1184"/>
      <c r="J5" s="1184"/>
      <c r="K5" s="1184"/>
      <c r="L5" s="1184"/>
      <c r="M5" s="1184"/>
      <c r="N5" s="1184"/>
      <c r="O5" s="1184"/>
      <c r="P5" s="1184"/>
      <c r="Q5" s="1184"/>
      <c r="R5" s="1184"/>
      <c r="S5" s="1184"/>
      <c r="T5" s="1184"/>
      <c r="U5" s="1184"/>
      <c r="V5" s="1184"/>
      <c r="W5" s="1184"/>
      <c r="X5" s="1184"/>
      <c r="Y5" s="1184"/>
      <c r="Z5" s="1184"/>
      <c r="AA5" s="1184"/>
      <c r="AB5" s="1184"/>
      <c r="AC5" s="1184"/>
      <c r="AD5" s="1184"/>
      <c r="AE5" s="1184"/>
      <c r="AF5" s="1184"/>
      <c r="AG5" s="1184"/>
      <c r="AH5" s="1184"/>
      <c r="AI5" s="1184"/>
      <c r="AJ5" s="1184"/>
      <c r="AK5" s="1184"/>
      <c r="AL5" s="1184"/>
      <c r="AM5" s="1184"/>
      <c r="AN5" s="1184"/>
      <c r="AO5" s="1184"/>
      <c r="AP5" s="1184"/>
      <c r="AQ5" s="1184"/>
      <c r="AR5" s="1184"/>
      <c r="AS5" s="1184"/>
      <c r="AT5" s="1184"/>
      <c r="AU5" s="1184"/>
      <c r="AV5" s="1184"/>
      <c r="AW5" s="1184"/>
      <c r="AX5" s="1184"/>
      <c r="AY5" s="1184"/>
      <c r="AZ5" s="1184"/>
      <c r="BA5" s="1184"/>
      <c r="BB5" s="1184"/>
      <c r="BC5" s="1184"/>
      <c r="BD5" s="1184"/>
      <c r="BE5" s="1184"/>
      <c r="BF5" s="1184"/>
      <c r="BG5" s="1184"/>
      <c r="BH5" s="1184"/>
      <c r="BI5" s="1184"/>
      <c r="BJ5" s="1184"/>
    </row>
    <row r="6" spans="1:62" ht="17.399999999999999" x14ac:dyDescent="0.3">
      <c r="A6" s="1249" t="s">
        <v>184</v>
      </c>
      <c r="B6" s="1249"/>
      <c r="C6" s="1249"/>
      <c r="D6" s="1249"/>
      <c r="E6" s="1249"/>
      <c r="F6" s="1249"/>
      <c r="G6" s="1249"/>
      <c r="H6" s="1249"/>
      <c r="I6" s="1249"/>
      <c r="J6" s="1249"/>
      <c r="K6" s="1249"/>
      <c r="L6" s="1249"/>
      <c r="M6" s="1249"/>
      <c r="N6" s="1249"/>
      <c r="O6" s="1249"/>
      <c r="P6" s="1249"/>
      <c r="Q6" s="1249"/>
      <c r="R6" s="1249"/>
      <c r="S6" s="1249"/>
      <c r="T6" s="1249"/>
      <c r="U6" s="1249"/>
      <c r="V6" s="1249"/>
      <c r="W6" s="1249"/>
      <c r="X6" s="1249"/>
      <c r="Y6" s="1249"/>
      <c r="Z6" s="1249"/>
      <c r="AA6" s="1249"/>
      <c r="AB6" s="1249"/>
      <c r="AC6" s="1249"/>
      <c r="AD6" s="1249"/>
      <c r="AE6" s="1249"/>
      <c r="AF6" s="1249"/>
      <c r="AG6" s="1249"/>
      <c r="AH6" s="1249"/>
      <c r="AI6" s="1249"/>
      <c r="AJ6" s="1249"/>
      <c r="AK6" s="1249"/>
      <c r="AL6" s="1249"/>
      <c r="AM6" s="1249"/>
      <c r="AN6" s="1249"/>
      <c r="AO6" s="1249"/>
      <c r="AP6" s="1249"/>
      <c r="AQ6" s="1249"/>
      <c r="AR6" s="1249"/>
      <c r="AS6" s="1249"/>
      <c r="AT6" s="1249"/>
      <c r="AU6" s="1249"/>
      <c r="AV6" s="1249"/>
      <c r="AW6" s="1249"/>
      <c r="AX6" s="1249"/>
      <c r="AY6" s="1249"/>
      <c r="AZ6" s="1249"/>
      <c r="BA6" s="1249"/>
      <c r="BB6" s="1249"/>
      <c r="BC6" s="1249"/>
      <c r="BD6" s="1249"/>
      <c r="BE6" s="1249"/>
      <c r="BF6" s="1249"/>
      <c r="BG6" s="1249"/>
      <c r="BH6" s="1249"/>
      <c r="BI6" s="1249"/>
      <c r="BJ6" s="1249"/>
    </row>
    <row r="11" spans="1:62" ht="10.8" thickBot="1" x14ac:dyDescent="0.25">
      <c r="A11" s="176">
        <f>+'ADMON COM. '!A6</f>
        <v>15</v>
      </c>
    </row>
    <row r="12" spans="1:62" ht="10.8" thickTop="1" x14ac:dyDescent="0.2">
      <c r="A12" s="1185" t="s">
        <v>71</v>
      </c>
      <c r="B12" s="1188" t="s">
        <v>128</v>
      </c>
      <c r="C12" s="1191" t="s">
        <v>6</v>
      </c>
      <c r="D12" s="1194" t="s">
        <v>82</v>
      </c>
      <c r="E12" s="1194" t="s">
        <v>45</v>
      </c>
      <c r="F12" s="1197">
        <v>16</v>
      </c>
      <c r="G12" s="1197">
        <v>17</v>
      </c>
      <c r="H12" s="1197">
        <v>18</v>
      </c>
      <c r="I12" s="1427">
        <v>19</v>
      </c>
      <c r="J12" s="1197">
        <v>20</v>
      </c>
      <c r="K12" s="1197">
        <v>21</v>
      </c>
      <c r="L12" s="1197">
        <v>22</v>
      </c>
      <c r="M12" s="1201" t="s">
        <v>129</v>
      </c>
      <c r="N12" s="1204" t="s">
        <v>83</v>
      </c>
      <c r="O12" s="1197">
        <v>23</v>
      </c>
      <c r="P12" s="1197">
        <v>24</v>
      </c>
      <c r="Q12" s="1197">
        <v>25</v>
      </c>
      <c r="R12" s="1427">
        <v>26</v>
      </c>
      <c r="S12" s="1197">
        <v>27</v>
      </c>
      <c r="T12" s="1197">
        <v>28</v>
      </c>
      <c r="U12" s="1197">
        <v>29</v>
      </c>
      <c r="V12" s="1197">
        <v>15</v>
      </c>
      <c r="W12" s="1197">
        <f>+'COMISARIATO CON INSS'!Y7</f>
        <v>31</v>
      </c>
      <c r="X12" s="1201" t="s">
        <v>130</v>
      </c>
      <c r="Y12" s="1210" t="s">
        <v>83</v>
      </c>
      <c r="Z12" s="1213" t="s">
        <v>131</v>
      </c>
      <c r="AA12" s="1213" t="s">
        <v>132</v>
      </c>
      <c r="AB12" s="1207" t="s">
        <v>77</v>
      </c>
      <c r="AC12" s="1207" t="s">
        <v>143</v>
      </c>
      <c r="AD12" s="1216" t="s">
        <v>78</v>
      </c>
      <c r="AE12" s="1194" t="s">
        <v>79</v>
      </c>
      <c r="AF12" s="1207" t="s">
        <v>80</v>
      </c>
      <c r="AG12" s="1222"/>
      <c r="AH12" s="1222"/>
      <c r="AI12" s="1194" t="s">
        <v>83</v>
      </c>
      <c r="AJ12" s="1225" t="s">
        <v>144</v>
      </c>
      <c r="AK12" s="1225" t="s">
        <v>145</v>
      </c>
      <c r="AL12" s="1207" t="s">
        <v>146</v>
      </c>
      <c r="AM12" s="1194" t="s">
        <v>93</v>
      </c>
      <c r="AN12" s="1194" t="s">
        <v>107</v>
      </c>
      <c r="AO12" s="1207" t="s">
        <v>66</v>
      </c>
      <c r="AP12" s="1219" t="s">
        <v>134</v>
      </c>
      <c r="AQ12" s="1219" t="s">
        <v>128</v>
      </c>
      <c r="AR12" s="1219" t="s">
        <v>135</v>
      </c>
      <c r="AS12" s="1219" t="s">
        <v>136</v>
      </c>
      <c r="AT12" s="1219" t="s">
        <v>137</v>
      </c>
      <c r="AU12" s="1219" t="s">
        <v>138</v>
      </c>
      <c r="AV12" s="1219" t="s">
        <v>139</v>
      </c>
      <c r="AW12" s="1219" t="s">
        <v>139</v>
      </c>
      <c r="AX12" s="1246" t="s">
        <v>178</v>
      </c>
      <c r="AY12" s="1246" t="s">
        <v>155</v>
      </c>
      <c r="AZ12" s="1243" t="s">
        <v>89</v>
      </c>
      <c r="BA12" s="1260" t="s">
        <v>52</v>
      </c>
      <c r="BB12" s="1260" t="s">
        <v>53</v>
      </c>
      <c r="BC12" s="1228" t="s">
        <v>17</v>
      </c>
      <c r="BD12" s="1231"/>
      <c r="BE12" s="1232"/>
      <c r="BF12" s="1233"/>
      <c r="BG12" s="1237" t="s">
        <v>65</v>
      </c>
      <c r="BH12" s="1240" t="s">
        <v>31</v>
      </c>
      <c r="BI12" s="1252" t="s">
        <v>73</v>
      </c>
      <c r="BJ12" s="1255" t="s">
        <v>38</v>
      </c>
    </row>
    <row r="13" spans="1:62" ht="10.8" thickBot="1" x14ac:dyDescent="0.25">
      <c r="A13" s="1186"/>
      <c r="B13" s="1189"/>
      <c r="C13" s="1192"/>
      <c r="D13" s="1195"/>
      <c r="E13" s="1195"/>
      <c r="F13" s="1198"/>
      <c r="G13" s="1198"/>
      <c r="H13" s="1198"/>
      <c r="I13" s="1428"/>
      <c r="J13" s="1198"/>
      <c r="K13" s="1198"/>
      <c r="L13" s="1198"/>
      <c r="M13" s="1202"/>
      <c r="N13" s="1205"/>
      <c r="O13" s="1198"/>
      <c r="P13" s="1198"/>
      <c r="Q13" s="1198"/>
      <c r="R13" s="1428"/>
      <c r="S13" s="1198"/>
      <c r="T13" s="1198"/>
      <c r="U13" s="1198"/>
      <c r="V13" s="1198"/>
      <c r="W13" s="1198"/>
      <c r="X13" s="1202"/>
      <c r="Y13" s="1211"/>
      <c r="Z13" s="1214"/>
      <c r="AA13" s="1214"/>
      <c r="AB13" s="1208"/>
      <c r="AC13" s="1208"/>
      <c r="AD13" s="1217"/>
      <c r="AE13" s="1195"/>
      <c r="AF13" s="1208"/>
      <c r="AG13" s="1223"/>
      <c r="AH13" s="1223"/>
      <c r="AI13" s="1195"/>
      <c r="AJ13" s="1226"/>
      <c r="AK13" s="1226"/>
      <c r="AL13" s="1208"/>
      <c r="AM13" s="1195"/>
      <c r="AN13" s="1195"/>
      <c r="AO13" s="1208"/>
      <c r="AP13" s="1220"/>
      <c r="AQ13" s="1220"/>
      <c r="AR13" s="1220"/>
      <c r="AS13" s="1220"/>
      <c r="AT13" s="1220"/>
      <c r="AU13" s="1220"/>
      <c r="AV13" s="1220"/>
      <c r="AW13" s="1220"/>
      <c r="AX13" s="1247"/>
      <c r="AY13" s="1247"/>
      <c r="AZ13" s="1244"/>
      <c r="BA13" s="1261"/>
      <c r="BB13" s="1261"/>
      <c r="BC13" s="1229"/>
      <c r="BD13" s="1234"/>
      <c r="BE13" s="1235"/>
      <c r="BF13" s="1236"/>
      <c r="BG13" s="1238"/>
      <c r="BH13" s="1241"/>
      <c r="BI13" s="1253"/>
      <c r="BJ13" s="1256"/>
    </row>
    <row r="14" spans="1:62" ht="42" customHeight="1" thickTop="1" thickBot="1" x14ac:dyDescent="0.25">
      <c r="A14" s="1187"/>
      <c r="B14" s="1190"/>
      <c r="C14" s="1193"/>
      <c r="D14" s="1196"/>
      <c r="E14" s="1196"/>
      <c r="F14" s="169" t="s">
        <v>36</v>
      </c>
      <c r="G14" s="169" t="s">
        <v>35</v>
      </c>
      <c r="H14" s="169" t="s">
        <v>34</v>
      </c>
      <c r="I14" s="202" t="s">
        <v>37</v>
      </c>
      <c r="J14" s="169" t="s">
        <v>33</v>
      </c>
      <c r="K14" s="169" t="s">
        <v>32</v>
      </c>
      <c r="L14" s="169" t="s">
        <v>32</v>
      </c>
      <c r="M14" s="1203"/>
      <c r="N14" s="1206"/>
      <c r="O14" s="169" t="s">
        <v>36</v>
      </c>
      <c r="P14" s="169" t="s">
        <v>35</v>
      </c>
      <c r="Q14" s="169" t="s">
        <v>34</v>
      </c>
      <c r="R14" s="202" t="s">
        <v>37</v>
      </c>
      <c r="S14" s="169" t="s">
        <v>33</v>
      </c>
      <c r="T14" s="169" t="s">
        <v>32</v>
      </c>
      <c r="U14" s="169" t="s">
        <v>32</v>
      </c>
      <c r="V14" s="169" t="s">
        <v>34</v>
      </c>
      <c r="W14" s="169" t="s">
        <v>33</v>
      </c>
      <c r="X14" s="1203"/>
      <c r="Y14" s="1212"/>
      <c r="Z14" s="1215"/>
      <c r="AA14" s="1215"/>
      <c r="AB14" s="1209"/>
      <c r="AC14" s="1209"/>
      <c r="AD14" s="1218"/>
      <c r="AE14" s="1196"/>
      <c r="AF14" s="1209"/>
      <c r="AG14" s="1224"/>
      <c r="AH14" s="1224"/>
      <c r="AI14" s="1196"/>
      <c r="AJ14" s="1227"/>
      <c r="AK14" s="1227"/>
      <c r="AL14" s="1209"/>
      <c r="AM14" s="1196"/>
      <c r="AN14" s="1196"/>
      <c r="AO14" s="1209"/>
      <c r="AP14" s="1221"/>
      <c r="AQ14" s="1221"/>
      <c r="AR14" s="1221"/>
      <c r="AS14" s="1221"/>
      <c r="AT14" s="1221"/>
      <c r="AU14" s="1221"/>
      <c r="AV14" s="1221"/>
      <c r="AW14" s="1221"/>
      <c r="AX14" s="1248"/>
      <c r="AY14" s="1248"/>
      <c r="AZ14" s="1245"/>
      <c r="BA14" s="1262"/>
      <c r="BB14" s="1262"/>
      <c r="BC14" s="1230"/>
      <c r="BD14" s="168"/>
      <c r="BE14" s="168"/>
      <c r="BF14" s="168"/>
      <c r="BG14" s="1239"/>
      <c r="BH14" s="1242"/>
      <c r="BI14" s="1254"/>
      <c r="BJ14" s="1257"/>
    </row>
    <row r="15" spans="1:62" ht="52.5" customHeight="1" thickTop="1" thickBot="1" x14ac:dyDescent="0.25">
      <c r="A15" s="136">
        <v>1</v>
      </c>
      <c r="B15" s="175">
        <v>0</v>
      </c>
      <c r="C15" s="179" t="s">
        <v>183</v>
      </c>
      <c r="D15" s="177">
        <v>139.5</v>
      </c>
      <c r="E15" s="150" t="s">
        <v>181</v>
      </c>
      <c r="F15" s="139">
        <v>139.5</v>
      </c>
      <c r="G15" s="139">
        <v>139.5</v>
      </c>
      <c r="H15" s="139">
        <v>139.5</v>
      </c>
      <c r="I15" s="154">
        <v>0</v>
      </c>
      <c r="J15" s="139">
        <v>0</v>
      </c>
      <c r="K15" s="139">
        <v>0</v>
      </c>
      <c r="L15" s="139">
        <v>139.5</v>
      </c>
      <c r="M15" s="53">
        <f>COUNTIF(F15:L15,139.5)</f>
        <v>4</v>
      </c>
      <c r="N15" s="55">
        <f>COUNTIF(M15,6)</f>
        <v>0</v>
      </c>
      <c r="O15" s="139">
        <v>0</v>
      </c>
      <c r="P15" s="139">
        <v>0</v>
      </c>
      <c r="Q15" s="139">
        <v>0</v>
      </c>
      <c r="R15" s="154">
        <v>0</v>
      </c>
      <c r="S15" s="139">
        <v>0</v>
      </c>
      <c r="T15" s="139">
        <v>0</v>
      </c>
      <c r="U15" s="139">
        <v>0</v>
      </c>
      <c r="V15" s="139">
        <v>0</v>
      </c>
      <c r="W15" s="139">
        <v>0</v>
      </c>
      <c r="X15" s="53">
        <f>COUNTIF(O15:U15,139.5)</f>
        <v>0</v>
      </c>
      <c r="Y15" s="55">
        <f>COUNTIF(X15,6)</f>
        <v>0</v>
      </c>
      <c r="Z15" s="159">
        <f>+Y15+N15</f>
        <v>0</v>
      </c>
      <c r="AA15" s="141">
        <f>COUNTIF(F15:Y15,139.5)</f>
        <v>4</v>
      </c>
      <c r="AB15" s="142">
        <f>+AA15+Z15+AE15+AC15</f>
        <v>4</v>
      </c>
      <c r="AC15" s="143">
        <v>0</v>
      </c>
      <c r="AD15" s="144">
        <v>0</v>
      </c>
      <c r="AE15" s="155">
        <f>+R15+I15</f>
        <v>0</v>
      </c>
      <c r="AF15" s="138">
        <f>+W15+T15+S15+Q15+P15+O15+L15+K15+J15+H15+G15+F15+U15+V15</f>
        <v>558</v>
      </c>
      <c r="AG15" s="161">
        <v>138</v>
      </c>
      <c r="AH15" s="161">
        <f>D15*Y15</f>
        <v>0</v>
      </c>
      <c r="AI15" s="158">
        <f>+AG15*N15+AH15*Y15</f>
        <v>0</v>
      </c>
      <c r="AJ15" s="160">
        <f>+D15</f>
        <v>139.5</v>
      </c>
      <c r="AK15" s="145">
        <f>+D15/8</f>
        <v>17.4375</v>
      </c>
      <c r="AL15" s="138">
        <f>+AJ15*AE15</f>
        <v>0</v>
      </c>
      <c r="AM15" s="138">
        <f>+AK15*AD15</f>
        <v>0</v>
      </c>
      <c r="AN15" s="138">
        <f>+AC15*D15</f>
        <v>0</v>
      </c>
      <c r="AO15" s="138">
        <f>+AG15*I15+AH15*R15</f>
        <v>0</v>
      </c>
      <c r="AP15" s="146">
        <f>+AB15</f>
        <v>4</v>
      </c>
      <c r="AQ15" s="146">
        <f>+B15</f>
        <v>0</v>
      </c>
      <c r="AR15" s="146" t="e">
        <v>#N/A</v>
      </c>
      <c r="AS15" s="147">
        <v>0.85714199999999996</v>
      </c>
      <c r="AT15" s="146">
        <f>AP15*AQ15</f>
        <v>0</v>
      </c>
      <c r="AU15" s="146">
        <f>+AT15-BB15</f>
        <v>0</v>
      </c>
      <c r="AV15" s="146" t="e">
        <f>AP15*AR15*AS15</f>
        <v>#N/A</v>
      </c>
      <c r="AW15" s="148">
        <v>0.85714199999999996</v>
      </c>
      <c r="AX15" s="148">
        <f>+AI15+AF15</f>
        <v>558</v>
      </c>
      <c r="AY15" s="181">
        <f>+BC15-AX15</f>
        <v>-558</v>
      </c>
      <c r="AZ15" s="170">
        <f>+AT15*AW15</f>
        <v>0</v>
      </c>
      <c r="BA15" s="171">
        <f>+AZ15/12</f>
        <v>0</v>
      </c>
      <c r="BB15" s="158">
        <f>+BA15</f>
        <v>0</v>
      </c>
      <c r="BC15" s="172">
        <f>+BB15+BA15+AZ15</f>
        <v>0</v>
      </c>
      <c r="BD15" s="140">
        <f>+BC15-BB15</f>
        <v>0</v>
      </c>
      <c r="BE15" s="152">
        <v>5</v>
      </c>
      <c r="BF15" s="139">
        <v>0</v>
      </c>
      <c r="BG15" s="170">
        <f>+BC15-BF15</f>
        <v>0</v>
      </c>
      <c r="BH15" s="151">
        <v>0</v>
      </c>
      <c r="BI15" s="205">
        <f>+BG15+BH15+AM15</f>
        <v>0</v>
      </c>
      <c r="BJ15" s="72">
        <f>+A15</f>
        <v>1</v>
      </c>
    </row>
    <row r="16" spans="1:62" ht="52.5" customHeight="1" thickTop="1" thickBot="1" x14ac:dyDescent="0.25">
      <c r="A16" s="136">
        <v>1</v>
      </c>
      <c r="B16" s="175">
        <v>0</v>
      </c>
      <c r="C16" s="179" t="s">
        <v>185</v>
      </c>
      <c r="D16" s="177">
        <v>139.5</v>
      </c>
      <c r="E16" s="150" t="s">
        <v>181</v>
      </c>
      <c r="F16" s="139">
        <v>139.5</v>
      </c>
      <c r="G16" s="139">
        <v>0</v>
      </c>
      <c r="H16" s="139">
        <v>0</v>
      </c>
      <c r="I16" s="154">
        <v>0</v>
      </c>
      <c r="J16" s="139">
        <v>0</v>
      </c>
      <c r="K16" s="139">
        <v>0</v>
      </c>
      <c r="L16" s="139">
        <v>0</v>
      </c>
      <c r="M16" s="53">
        <f>COUNTIF(F16:L16,139.5)</f>
        <v>1</v>
      </c>
      <c r="N16" s="55">
        <f>COUNTIF(M16,6)</f>
        <v>0</v>
      </c>
      <c r="O16" s="139">
        <v>0</v>
      </c>
      <c r="P16" s="139">
        <v>0</v>
      </c>
      <c r="Q16" s="139">
        <v>0</v>
      </c>
      <c r="R16" s="154">
        <v>0</v>
      </c>
      <c r="S16" s="139">
        <v>0</v>
      </c>
      <c r="T16" s="139">
        <v>0</v>
      </c>
      <c r="U16" s="139">
        <v>0</v>
      </c>
      <c r="V16" s="139">
        <v>0</v>
      </c>
      <c r="W16" s="139">
        <v>0</v>
      </c>
      <c r="X16" s="53">
        <f>COUNTIF(O16:U16,139.5)</f>
        <v>0</v>
      </c>
      <c r="Y16" s="55">
        <f>COUNTIF(X16,6)</f>
        <v>0</v>
      </c>
      <c r="Z16" s="159">
        <f>+Y16+N16</f>
        <v>0</v>
      </c>
      <c r="AA16" s="141">
        <f>COUNTIF(F16:Y16,139.5)</f>
        <v>1</v>
      </c>
      <c r="AB16" s="142">
        <f>+AA16+Z16+AE16+AC16</f>
        <v>1</v>
      </c>
      <c r="AC16" s="143">
        <v>0</v>
      </c>
      <c r="AD16" s="144">
        <v>0</v>
      </c>
      <c r="AE16" s="155">
        <f>+R16+I16</f>
        <v>0</v>
      </c>
      <c r="AF16" s="138">
        <f>+W16+T16+S16+Q16+P16+O16+L16+K16+J16+H16+G16+F16+U16+V16</f>
        <v>139.5</v>
      </c>
      <c r="AG16" s="161">
        <v>138</v>
      </c>
      <c r="AH16" s="161">
        <f>D16*Y16</f>
        <v>0</v>
      </c>
      <c r="AI16" s="158">
        <f>+AG16*N16+AH16*Y16</f>
        <v>0</v>
      </c>
      <c r="AJ16" s="160">
        <f>+D16</f>
        <v>139.5</v>
      </c>
      <c r="AK16" s="145">
        <f>+D16/8</f>
        <v>17.4375</v>
      </c>
      <c r="AL16" s="138">
        <f>+AJ16*AE16</f>
        <v>0</v>
      </c>
      <c r="AM16" s="138">
        <f>+AK16*AD16</f>
        <v>0</v>
      </c>
      <c r="AN16" s="138">
        <f>+AC16*D16</f>
        <v>0</v>
      </c>
      <c r="AO16" s="138">
        <f>+AG16*I16+AH16*R16</f>
        <v>0</v>
      </c>
      <c r="AP16" s="146">
        <f>+AB16</f>
        <v>1</v>
      </c>
      <c r="AQ16" s="146">
        <f>+B16</f>
        <v>0</v>
      </c>
      <c r="AR16" s="146" t="e">
        <v>#N/A</v>
      </c>
      <c r="AS16" s="147">
        <v>0.85714199999999996</v>
      </c>
      <c r="AT16" s="146">
        <f>AP16*AQ16</f>
        <v>0</v>
      </c>
      <c r="AU16" s="146">
        <f>+AT16-BB16</f>
        <v>0</v>
      </c>
      <c r="AV16" s="146" t="e">
        <f>AP16*AR16*AS16</f>
        <v>#N/A</v>
      </c>
      <c r="AW16" s="148">
        <v>0.85714199999999996</v>
      </c>
      <c r="AX16" s="148">
        <f>+AI16+AF16</f>
        <v>139.5</v>
      </c>
      <c r="AY16" s="181">
        <f>+BC16-AX16</f>
        <v>-139.5</v>
      </c>
      <c r="AZ16" s="170">
        <f>+AT16*AW16</f>
        <v>0</v>
      </c>
      <c r="BA16" s="171">
        <f>+AZ16/12</f>
        <v>0</v>
      </c>
      <c r="BB16" s="158">
        <f>+BA16</f>
        <v>0</v>
      </c>
      <c r="BC16" s="172">
        <f>+BB16+BA16+AZ16</f>
        <v>0</v>
      </c>
      <c r="BD16" s="140">
        <f>+BC16-BB16</f>
        <v>0</v>
      </c>
      <c r="BE16" s="152">
        <v>5</v>
      </c>
      <c r="BF16" s="139">
        <v>0</v>
      </c>
      <c r="BG16" s="170">
        <f>+BC16-BF16</f>
        <v>0</v>
      </c>
      <c r="BH16" s="151">
        <v>0</v>
      </c>
      <c r="BI16" s="205">
        <f>+BG16+BH16+AM16</f>
        <v>0</v>
      </c>
      <c r="BJ16" s="72">
        <f>+A16</f>
        <v>1</v>
      </c>
    </row>
    <row r="17" spans="1:62" ht="52.5" customHeight="1" thickTop="1" thickBot="1" x14ac:dyDescent="0.25">
      <c r="A17" s="136">
        <v>1</v>
      </c>
      <c r="B17" s="175">
        <v>0</v>
      </c>
      <c r="C17" s="179" t="s">
        <v>182</v>
      </c>
      <c r="D17" s="177">
        <v>139.5</v>
      </c>
      <c r="E17" s="150" t="s">
        <v>181</v>
      </c>
      <c r="F17" s="139">
        <v>139.5</v>
      </c>
      <c r="G17" s="139">
        <v>139.5</v>
      </c>
      <c r="H17" s="139">
        <v>139.5</v>
      </c>
      <c r="I17" s="154">
        <v>0</v>
      </c>
      <c r="J17" s="139">
        <v>0</v>
      </c>
      <c r="K17" s="139">
        <v>0</v>
      </c>
      <c r="L17" s="139">
        <v>0</v>
      </c>
      <c r="M17" s="53">
        <f>COUNTIF(F17:L17,139.5)</f>
        <v>3</v>
      </c>
      <c r="N17" s="55">
        <f>COUNTIF(M17,6)</f>
        <v>0</v>
      </c>
      <c r="O17" s="139">
        <v>0</v>
      </c>
      <c r="P17" s="139">
        <v>0</v>
      </c>
      <c r="Q17" s="139">
        <v>0</v>
      </c>
      <c r="R17" s="154">
        <v>0</v>
      </c>
      <c r="S17" s="139">
        <v>0</v>
      </c>
      <c r="T17" s="139">
        <v>0</v>
      </c>
      <c r="U17" s="139">
        <v>0</v>
      </c>
      <c r="V17" s="139">
        <v>0</v>
      </c>
      <c r="W17" s="139">
        <v>0</v>
      </c>
      <c r="X17" s="53">
        <f>COUNTIF(O17:U17,139.5)</f>
        <v>0</v>
      </c>
      <c r="Y17" s="55">
        <f>COUNTIF(X17,6)</f>
        <v>0</v>
      </c>
      <c r="Z17" s="159">
        <f>+Y17+N17</f>
        <v>0</v>
      </c>
      <c r="AA17" s="141">
        <f>COUNTIF(F17:Y17,139.5)</f>
        <v>3</v>
      </c>
      <c r="AB17" s="142">
        <f>+AA17+Z17+AE17+AC17</f>
        <v>3</v>
      </c>
      <c r="AC17" s="143">
        <v>0</v>
      </c>
      <c r="AD17" s="144">
        <v>0</v>
      </c>
      <c r="AE17" s="155">
        <f>+R17+I17</f>
        <v>0</v>
      </c>
      <c r="AF17" s="138">
        <f>+W17+T17+S17+Q17+P17+O17+L17+K17+J17+H17+G17+F17+U17+V17</f>
        <v>418.5</v>
      </c>
      <c r="AG17" s="161">
        <v>138</v>
      </c>
      <c r="AH17" s="161">
        <f>D17*Y17</f>
        <v>0</v>
      </c>
      <c r="AI17" s="158">
        <f>+AG17*N17+AH17*Y17</f>
        <v>0</v>
      </c>
      <c r="AJ17" s="160">
        <f>+D17</f>
        <v>139.5</v>
      </c>
      <c r="AK17" s="145">
        <f>+D17/8</f>
        <v>17.4375</v>
      </c>
      <c r="AL17" s="138">
        <f>+AJ17*AE17</f>
        <v>0</v>
      </c>
      <c r="AM17" s="138">
        <f>+AK17*AD17</f>
        <v>0</v>
      </c>
      <c r="AN17" s="138">
        <f>+AC17*D17</f>
        <v>0</v>
      </c>
      <c r="AO17" s="138">
        <f>+AG17*I17+AH17*R17</f>
        <v>0</v>
      </c>
      <c r="AP17" s="146">
        <f>+AB17</f>
        <v>3</v>
      </c>
      <c r="AQ17" s="146">
        <f>+B17</f>
        <v>0</v>
      </c>
      <c r="AR17" s="146" t="e">
        <v>#N/A</v>
      </c>
      <c r="AS17" s="147">
        <v>0.85714199999999996</v>
      </c>
      <c r="AT17" s="146">
        <f>AP17*AQ17</f>
        <v>0</v>
      </c>
      <c r="AU17" s="146">
        <f>+AT17-BB17</f>
        <v>0</v>
      </c>
      <c r="AV17" s="146" t="e">
        <f>AP17*AR17*AS17</f>
        <v>#N/A</v>
      </c>
      <c r="AW17" s="148">
        <v>0.85714199999999996</v>
      </c>
      <c r="AX17" s="148">
        <f>+AI17+AF17</f>
        <v>418.5</v>
      </c>
      <c r="AY17" s="181">
        <f>+BC17-AX17</f>
        <v>-418.5</v>
      </c>
      <c r="AZ17" s="170">
        <f>+AT17*AW17</f>
        <v>0</v>
      </c>
      <c r="BA17" s="171">
        <f>+AZ17/12</f>
        <v>0</v>
      </c>
      <c r="BB17" s="158">
        <f>+BA17</f>
        <v>0</v>
      </c>
      <c r="BC17" s="172">
        <f>+BB17+BA17+AZ17</f>
        <v>0</v>
      </c>
      <c r="BD17" s="140">
        <f>+BC17-BB17</f>
        <v>0</v>
      </c>
      <c r="BE17" s="152">
        <v>5</v>
      </c>
      <c r="BF17" s="139">
        <v>0</v>
      </c>
      <c r="BG17" s="170">
        <f>+BC17-BF17</f>
        <v>0</v>
      </c>
      <c r="BH17" s="151">
        <v>0</v>
      </c>
      <c r="BI17" s="205">
        <f>+BG17+BH17+AM17</f>
        <v>0</v>
      </c>
      <c r="BJ17" s="72">
        <f>+A17</f>
        <v>1</v>
      </c>
    </row>
    <row r="18" spans="1:62" ht="31.5" customHeight="1" thickTop="1" thickBot="1" x14ac:dyDescent="0.25">
      <c r="F18" s="206">
        <f>SUM(F15:F17)</f>
        <v>418.5</v>
      </c>
      <c r="G18" s="206">
        <f t="shared" ref="G18:BI18" si="0">SUM(G15:G17)</f>
        <v>279</v>
      </c>
      <c r="H18" s="206">
        <f t="shared" si="0"/>
        <v>279</v>
      </c>
      <c r="I18" s="206">
        <f t="shared" si="0"/>
        <v>0</v>
      </c>
      <c r="J18" s="206">
        <f t="shared" si="0"/>
        <v>0</v>
      </c>
      <c r="K18" s="206">
        <f t="shared" si="0"/>
        <v>0</v>
      </c>
      <c r="L18" s="206">
        <f t="shared" si="0"/>
        <v>139.5</v>
      </c>
      <c r="M18" s="206">
        <f t="shared" si="0"/>
        <v>8</v>
      </c>
      <c r="N18" s="206">
        <f t="shared" si="0"/>
        <v>0</v>
      </c>
      <c r="O18" s="206">
        <f t="shared" si="0"/>
        <v>0</v>
      </c>
      <c r="P18" s="206">
        <f t="shared" si="0"/>
        <v>0</v>
      </c>
      <c r="Q18" s="206">
        <f t="shared" si="0"/>
        <v>0</v>
      </c>
      <c r="R18" s="206">
        <f t="shared" si="0"/>
        <v>0</v>
      </c>
      <c r="S18" s="206">
        <f t="shared" si="0"/>
        <v>0</v>
      </c>
      <c r="T18" s="206">
        <f t="shared" si="0"/>
        <v>0</v>
      </c>
      <c r="U18" s="206">
        <f t="shared" si="0"/>
        <v>0</v>
      </c>
      <c r="V18" s="206">
        <f t="shared" si="0"/>
        <v>0</v>
      </c>
      <c r="W18" s="206">
        <f t="shared" si="0"/>
        <v>0</v>
      </c>
      <c r="X18" s="206">
        <f t="shared" si="0"/>
        <v>0</v>
      </c>
      <c r="Y18" s="206">
        <f t="shared" si="0"/>
        <v>0</v>
      </c>
      <c r="Z18" s="206">
        <f t="shared" si="0"/>
        <v>0</v>
      </c>
      <c r="AA18" s="206">
        <f t="shared" si="0"/>
        <v>8</v>
      </c>
      <c r="AB18" s="206">
        <f t="shared" si="0"/>
        <v>8</v>
      </c>
      <c r="AC18" s="206">
        <f t="shared" si="0"/>
        <v>0</v>
      </c>
      <c r="AD18" s="206">
        <f t="shared" si="0"/>
        <v>0</v>
      </c>
      <c r="AE18" s="206">
        <f t="shared" si="0"/>
        <v>0</v>
      </c>
      <c r="AF18" s="206">
        <f t="shared" si="0"/>
        <v>1116</v>
      </c>
      <c r="AG18" s="206">
        <f t="shared" si="0"/>
        <v>414</v>
      </c>
      <c r="AH18" s="206">
        <f t="shared" si="0"/>
        <v>0</v>
      </c>
      <c r="AI18" s="206">
        <f t="shared" si="0"/>
        <v>0</v>
      </c>
      <c r="AJ18" s="206">
        <f t="shared" si="0"/>
        <v>418.5</v>
      </c>
      <c r="AK18" s="206">
        <f t="shared" si="0"/>
        <v>52.3125</v>
      </c>
      <c r="AL18" s="206">
        <f t="shared" si="0"/>
        <v>0</v>
      </c>
      <c r="AM18" s="206">
        <f t="shared" si="0"/>
        <v>0</v>
      </c>
      <c r="AN18" s="206">
        <f t="shared" si="0"/>
        <v>0</v>
      </c>
      <c r="AO18" s="206">
        <f t="shared" si="0"/>
        <v>0</v>
      </c>
      <c r="AP18" s="206">
        <f t="shared" si="0"/>
        <v>8</v>
      </c>
      <c r="AQ18" s="206">
        <f t="shared" si="0"/>
        <v>0</v>
      </c>
      <c r="AR18" s="206" t="e">
        <f t="shared" si="0"/>
        <v>#N/A</v>
      </c>
      <c r="AS18" s="206">
        <f t="shared" si="0"/>
        <v>2.5714259999999998</v>
      </c>
      <c r="AT18" s="206">
        <f t="shared" si="0"/>
        <v>0</v>
      </c>
      <c r="AU18" s="206">
        <f t="shared" si="0"/>
        <v>0</v>
      </c>
      <c r="AV18" s="206" t="e">
        <f t="shared" si="0"/>
        <v>#N/A</v>
      </c>
      <c r="AW18" s="206">
        <f t="shared" si="0"/>
        <v>2.5714259999999998</v>
      </c>
      <c r="AX18" s="206">
        <f t="shared" si="0"/>
        <v>1116</v>
      </c>
      <c r="AY18" s="206">
        <f t="shared" si="0"/>
        <v>-1116</v>
      </c>
      <c r="AZ18" s="206">
        <f t="shared" si="0"/>
        <v>0</v>
      </c>
      <c r="BA18" s="206">
        <f t="shared" si="0"/>
        <v>0</v>
      </c>
      <c r="BB18" s="206">
        <f t="shared" si="0"/>
        <v>0</v>
      </c>
      <c r="BC18" s="206">
        <f t="shared" si="0"/>
        <v>0</v>
      </c>
      <c r="BD18" s="206">
        <f t="shared" si="0"/>
        <v>0</v>
      </c>
      <c r="BE18" s="206">
        <f t="shared" si="0"/>
        <v>15</v>
      </c>
      <c r="BF18" s="206">
        <f t="shared" si="0"/>
        <v>0</v>
      </c>
      <c r="BG18" s="206">
        <f t="shared" si="0"/>
        <v>0</v>
      </c>
      <c r="BH18" s="206">
        <f t="shared" si="0"/>
        <v>0</v>
      </c>
      <c r="BI18" s="207">
        <f t="shared" si="0"/>
        <v>0</v>
      </c>
    </row>
    <row r="19" spans="1:62" ht="10.8" thickTop="1" x14ac:dyDescent="0.2"/>
    <row r="26" spans="1:62" x14ac:dyDescent="0.2">
      <c r="C26" s="156"/>
      <c r="D26" s="1258"/>
      <c r="E26" s="1258"/>
      <c r="F26" s="1258"/>
      <c r="G26" s="1258"/>
      <c r="H26" s="1258"/>
      <c r="I26" s="156"/>
      <c r="J26" s="156"/>
      <c r="K26" s="156"/>
      <c r="O26" t="s">
        <v>150</v>
      </c>
      <c r="AO26" t="s">
        <v>121</v>
      </c>
    </row>
    <row r="27" spans="1:62" x14ac:dyDescent="0.2">
      <c r="C27" s="1259" t="s">
        <v>101</v>
      </c>
      <c r="D27" s="1259"/>
      <c r="E27" s="1259"/>
      <c r="F27" s="1259"/>
      <c r="G27" s="1259"/>
      <c r="H27" s="1259"/>
      <c r="I27" s="1259"/>
      <c r="J27" s="1259"/>
      <c r="K27" s="156"/>
      <c r="L27" s="34"/>
      <c r="M27" s="34"/>
      <c r="N27" s="34"/>
      <c r="O27" s="34"/>
      <c r="P27" s="1251" t="s">
        <v>102</v>
      </c>
      <c r="Q27" s="1251"/>
      <c r="R27" s="1251"/>
      <c r="S27" s="1251"/>
      <c r="T27" s="1251"/>
      <c r="U27" s="1251"/>
      <c r="V27" s="1251"/>
      <c r="W27" s="1251"/>
      <c r="X27" s="1251"/>
      <c r="Y27" s="1251"/>
      <c r="Z27" s="37"/>
      <c r="AA27" s="37"/>
      <c r="AB27" s="37"/>
      <c r="AC27" s="37"/>
      <c r="AD27" s="37"/>
      <c r="AE27" s="37"/>
      <c r="AF27" s="37"/>
      <c r="AO27" s="1251" t="s">
        <v>103</v>
      </c>
      <c r="AP27" s="1251"/>
      <c r="AQ27" s="1251"/>
      <c r="AR27" s="1251"/>
      <c r="AS27" s="1251"/>
      <c r="AT27" s="1251"/>
      <c r="AU27" s="1251"/>
      <c r="AV27" s="1251"/>
      <c r="AW27" s="1251"/>
      <c r="AX27" s="1251"/>
      <c r="AY27" s="1251"/>
      <c r="AZ27" s="1251"/>
      <c r="BA27" s="1251"/>
      <c r="BB27" s="1251"/>
      <c r="BC27" s="1251"/>
      <c r="BD27" s="1251"/>
      <c r="BE27" s="1251"/>
      <c r="BF27" s="1251"/>
      <c r="BG27" s="1251"/>
    </row>
    <row r="28" spans="1:62" x14ac:dyDescent="0.2">
      <c r="C28" s="1250" t="s">
        <v>127</v>
      </c>
      <c r="D28" s="1250"/>
      <c r="E28" s="1250"/>
      <c r="F28" s="1250"/>
      <c r="G28" s="1250"/>
      <c r="H28" s="1250"/>
      <c r="I28" s="1250"/>
      <c r="J28" s="1250"/>
      <c r="K28" s="156"/>
      <c r="L28" s="34"/>
      <c r="M28" s="34"/>
      <c r="N28" s="34"/>
      <c r="O28" s="34"/>
      <c r="P28" s="37" t="s">
        <v>112</v>
      </c>
      <c r="Q28" s="37"/>
      <c r="R28" s="37"/>
      <c r="S28" s="37"/>
      <c r="T28" s="37"/>
      <c r="U28" s="37"/>
      <c r="V28" s="37"/>
      <c r="W28" s="37"/>
      <c r="X28" s="37"/>
      <c r="Y28" s="37"/>
      <c r="Z28" s="34"/>
      <c r="AA28" s="34"/>
      <c r="AB28" s="34"/>
      <c r="AO28" s="1251" t="s">
        <v>104</v>
      </c>
      <c r="AP28" s="1251"/>
      <c r="AQ28" s="1251"/>
      <c r="AR28" s="1251"/>
      <c r="AS28" s="1251"/>
      <c r="AT28" s="1251"/>
      <c r="AU28" s="1251"/>
      <c r="AV28" s="1251"/>
      <c r="AW28" s="1251"/>
      <c r="AX28" s="1251"/>
      <c r="AY28" s="1251"/>
      <c r="AZ28" s="1251"/>
      <c r="BA28" s="1251"/>
      <c r="BB28" s="1251"/>
      <c r="BC28" s="1251"/>
      <c r="BD28" s="1251"/>
      <c r="BE28" s="1251"/>
      <c r="BF28" s="1251"/>
      <c r="BG28" s="1251"/>
      <c r="BH28" s="1251"/>
    </row>
  </sheetData>
  <protectedRanges>
    <protectedRange sqref="AC15:AD17" name="Nomina2_3_1"/>
  </protectedRanges>
  <mergeCells count="70">
    <mergeCell ref="C28:J28"/>
    <mergeCell ref="AO28:BH28"/>
    <mergeCell ref="BG12:BG14"/>
    <mergeCell ref="BH12:BH14"/>
    <mergeCell ref="BI12:BI14"/>
    <mergeCell ref="AX12:AX14"/>
    <mergeCell ref="AM12:AM14"/>
    <mergeCell ref="AN12:AN14"/>
    <mergeCell ref="AO12:AO14"/>
    <mergeCell ref="AP12:AP14"/>
    <mergeCell ref="AQ12:AQ14"/>
    <mergeCell ref="AR12:AR14"/>
    <mergeCell ref="AG12:AG14"/>
    <mergeCell ref="AH12:AH14"/>
    <mergeCell ref="AI12:AI14"/>
    <mergeCell ref="AJ12:AJ14"/>
    <mergeCell ref="BJ12:BJ14"/>
    <mergeCell ref="D26:H26"/>
    <mergeCell ref="C27:J27"/>
    <mergeCell ref="P27:Y27"/>
    <mergeCell ref="AO27:BG27"/>
    <mergeCell ref="AY12:AY14"/>
    <mergeCell ref="AZ12:AZ14"/>
    <mergeCell ref="BA12:BA14"/>
    <mergeCell ref="BB12:BB14"/>
    <mergeCell ref="BC12:BC14"/>
    <mergeCell ref="BD12:BF13"/>
    <mergeCell ref="AS12:AS14"/>
    <mergeCell ref="AT12:AT14"/>
    <mergeCell ref="AU12:AU14"/>
    <mergeCell ref="AV12:AV14"/>
    <mergeCell ref="AW12:AW14"/>
    <mergeCell ref="AK12:AK14"/>
    <mergeCell ref="AL12:AL14"/>
    <mergeCell ref="AA12:AA14"/>
    <mergeCell ref="AB12:AB14"/>
    <mergeCell ref="AC12:AC14"/>
    <mergeCell ref="AD12:AD14"/>
    <mergeCell ref="AE12:AE14"/>
    <mergeCell ref="AF12:AF14"/>
    <mergeCell ref="L12:L13"/>
    <mergeCell ref="M12:M14"/>
    <mergeCell ref="Z12:Z14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4"/>
    <mergeCell ref="Y12:Y14"/>
    <mergeCell ref="A3:BJ3"/>
    <mergeCell ref="A4:BJ4"/>
    <mergeCell ref="A5:BJ5"/>
    <mergeCell ref="A6:BJ6"/>
    <mergeCell ref="A12:A14"/>
    <mergeCell ref="B12:B14"/>
    <mergeCell ref="N12:N14"/>
    <mergeCell ref="C12:C14"/>
    <mergeCell ref="D12:D14"/>
    <mergeCell ref="E12:E14"/>
    <mergeCell ref="F12:F13"/>
    <mergeCell ref="G12:G13"/>
    <mergeCell ref="H12:H13"/>
    <mergeCell ref="I12:I13"/>
    <mergeCell ref="J12:J13"/>
    <mergeCell ref="K12:K13"/>
  </mergeCells>
  <printOptions horizontalCentered="1" verticalCentered="1"/>
  <pageMargins left="0" right="0" top="0.74803149606299213" bottom="0.74803149606299213" header="0.31496062992125984" footer="0.31496062992125984"/>
  <pageSetup paperSize="5" scale="65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6">
    <tabColor theme="6"/>
  </sheetPr>
  <dimension ref="A6:BL28"/>
  <sheetViews>
    <sheetView zoomScale="112" zoomScaleNormal="112" workbookViewId="0">
      <selection activeCell="AH17" sqref="AH17"/>
    </sheetView>
  </sheetViews>
  <sheetFormatPr baseColWidth="10" defaultRowHeight="10.199999999999999" x14ac:dyDescent="0.2"/>
  <cols>
    <col min="1" max="1" width="3.28515625" customWidth="1"/>
    <col min="2" max="2" width="12" hidden="1" customWidth="1"/>
    <col min="4" max="4" width="6" customWidth="1"/>
    <col min="5" max="5" width="4.42578125" customWidth="1"/>
    <col min="6" max="8" width="6" customWidth="1"/>
    <col min="9" max="9" width="3.28515625" customWidth="1"/>
    <col min="10" max="12" width="6" customWidth="1"/>
    <col min="13" max="13" width="6" hidden="1" customWidth="1"/>
    <col min="14" max="14" width="3.85546875" customWidth="1"/>
    <col min="15" max="17" width="6" customWidth="1"/>
    <col min="18" max="18" width="3.28515625" customWidth="1"/>
    <col min="19" max="22" width="6" customWidth="1"/>
    <col min="23" max="23" width="5.140625" customWidth="1"/>
    <col min="24" max="24" width="6" hidden="1" customWidth="1"/>
    <col min="25" max="25" width="6.28515625" hidden="1" customWidth="1"/>
    <col min="26" max="26" width="3.7109375" customWidth="1"/>
    <col min="27" max="29" width="5.85546875" hidden="1" customWidth="1"/>
    <col min="30" max="30" width="4.7109375" customWidth="1"/>
    <col min="31" max="31" width="4.140625" customWidth="1"/>
    <col min="32" max="32" width="3.7109375" customWidth="1"/>
    <col min="33" max="33" width="3.85546875" customWidth="1"/>
    <col min="34" max="34" width="7.85546875" customWidth="1"/>
    <col min="35" max="36" width="5.85546875" hidden="1" customWidth="1"/>
    <col min="37" max="37" width="5.7109375" customWidth="1"/>
    <col min="38" max="39" width="5.85546875" hidden="1" customWidth="1"/>
    <col min="40" max="43" width="3" hidden="1" customWidth="1"/>
    <col min="44" max="51" width="5.85546875" hidden="1" customWidth="1"/>
    <col min="52" max="53" width="4.85546875" customWidth="1"/>
    <col min="54" max="54" width="5.42578125" customWidth="1"/>
    <col min="55" max="56" width="5.42578125" hidden="1" customWidth="1"/>
    <col min="57" max="57" width="8.42578125" hidden="1" customWidth="1"/>
    <col min="58" max="58" width="6.42578125" hidden="1" customWidth="1"/>
    <col min="59" max="60" width="5" hidden="1" customWidth="1"/>
    <col min="61" max="61" width="6.28515625" customWidth="1"/>
    <col min="62" max="62" width="4.42578125" customWidth="1"/>
    <col min="63" max="63" width="14.28515625" customWidth="1"/>
    <col min="64" max="64" width="46.42578125" customWidth="1"/>
  </cols>
  <sheetData>
    <row r="6" spans="1:64" ht="17.399999999999999" x14ac:dyDescent="0.2">
      <c r="A6" s="1183" t="s">
        <v>108</v>
      </c>
      <c r="B6" s="1183"/>
      <c r="C6" s="1183"/>
      <c r="D6" s="1183"/>
      <c r="E6" s="1183"/>
      <c r="F6" s="1183"/>
      <c r="G6" s="1183"/>
      <c r="H6" s="1183"/>
      <c r="I6" s="1183"/>
      <c r="J6" s="1183"/>
      <c r="K6" s="1183"/>
      <c r="L6" s="1183"/>
      <c r="M6" s="1183"/>
      <c r="N6" s="1183"/>
      <c r="O6" s="1183"/>
      <c r="P6" s="1183"/>
      <c r="Q6" s="1183"/>
      <c r="R6" s="1183"/>
      <c r="S6" s="1183"/>
      <c r="T6" s="1183"/>
      <c r="U6" s="1183"/>
      <c r="V6" s="1183"/>
      <c r="W6" s="1183"/>
      <c r="X6" s="1183"/>
      <c r="Y6" s="1183"/>
      <c r="Z6" s="1183"/>
      <c r="AA6" s="1183"/>
      <c r="AB6" s="1183"/>
      <c r="AC6" s="1183"/>
      <c r="AD6" s="1183"/>
      <c r="AE6" s="1183"/>
      <c r="AF6" s="1183"/>
      <c r="AG6" s="1183"/>
      <c r="AH6" s="1183"/>
      <c r="AI6" s="1183"/>
      <c r="AJ6" s="1183"/>
      <c r="AK6" s="1183"/>
      <c r="AL6" s="1183"/>
      <c r="AM6" s="1183"/>
      <c r="AN6" s="1183"/>
      <c r="AO6" s="1183"/>
      <c r="AP6" s="1183"/>
      <c r="AQ6" s="1183"/>
      <c r="AR6" s="1183"/>
      <c r="AS6" s="1183"/>
      <c r="AT6" s="1183"/>
      <c r="AU6" s="1183"/>
      <c r="AV6" s="1183"/>
      <c r="AW6" s="1183"/>
      <c r="AX6" s="1183"/>
      <c r="AY6" s="1183"/>
      <c r="AZ6" s="1183"/>
      <c r="BA6" s="1183"/>
      <c r="BB6" s="1183"/>
      <c r="BC6" s="1183"/>
      <c r="BD6" s="1183"/>
      <c r="BE6" s="1183"/>
      <c r="BF6" s="1183"/>
      <c r="BG6" s="1183"/>
      <c r="BH6" s="1183"/>
      <c r="BI6" s="1183"/>
      <c r="BJ6" s="1183"/>
      <c r="BK6" s="1183"/>
      <c r="BL6" s="1183"/>
    </row>
    <row r="7" spans="1:64" ht="17.399999999999999" x14ac:dyDescent="0.2">
      <c r="A7" s="1183" t="s">
        <v>201</v>
      </c>
      <c r="B7" s="1183"/>
      <c r="C7" s="1183"/>
      <c r="D7" s="1183"/>
      <c r="E7" s="1183"/>
      <c r="F7" s="1183"/>
      <c r="G7" s="1183"/>
      <c r="H7" s="1183"/>
      <c r="I7" s="1183"/>
      <c r="J7" s="1183"/>
      <c r="K7" s="1183"/>
      <c r="L7" s="1183"/>
      <c r="M7" s="1183"/>
      <c r="N7" s="1183"/>
      <c r="O7" s="1183"/>
      <c r="P7" s="1183"/>
      <c r="Q7" s="1183"/>
      <c r="R7" s="1183"/>
      <c r="S7" s="1183"/>
      <c r="T7" s="1183"/>
      <c r="U7" s="1183"/>
      <c r="V7" s="1183"/>
      <c r="W7" s="1183"/>
      <c r="X7" s="1183"/>
      <c r="Y7" s="1183"/>
      <c r="Z7" s="1183"/>
      <c r="AA7" s="1183"/>
      <c r="AB7" s="1183"/>
      <c r="AC7" s="1183"/>
      <c r="AD7" s="1183"/>
      <c r="AE7" s="1183"/>
      <c r="AF7" s="1183"/>
      <c r="AG7" s="1183"/>
      <c r="AH7" s="1183"/>
      <c r="AI7" s="1183"/>
      <c r="AJ7" s="1183"/>
      <c r="AK7" s="1183"/>
      <c r="AL7" s="1183"/>
      <c r="AM7" s="1183"/>
      <c r="AN7" s="1183"/>
      <c r="AO7" s="1183"/>
      <c r="AP7" s="1183"/>
      <c r="AQ7" s="1183"/>
      <c r="AR7" s="1183"/>
      <c r="AS7" s="1183"/>
      <c r="AT7" s="1183"/>
      <c r="AU7" s="1183"/>
      <c r="AV7" s="1183"/>
      <c r="AW7" s="1183"/>
      <c r="AX7" s="1183"/>
      <c r="AY7" s="1183"/>
      <c r="AZ7" s="1183"/>
      <c r="BA7" s="1183"/>
      <c r="BB7" s="1183"/>
      <c r="BC7" s="1183"/>
      <c r="BD7" s="1183"/>
      <c r="BE7" s="1183"/>
      <c r="BF7" s="1183"/>
      <c r="BG7" s="1183"/>
      <c r="BH7" s="1183"/>
      <c r="BI7" s="1183"/>
      <c r="BJ7" s="1183"/>
      <c r="BK7" s="1183"/>
      <c r="BL7" s="1183"/>
    </row>
    <row r="8" spans="1:64" ht="17.399999999999999" x14ac:dyDescent="0.3">
      <c r="A8" s="1249" t="str">
        <f>+TECNICOS!A4</f>
        <v>QUINCENA DEL 16  AL 30  DE ABRIL - 2026</v>
      </c>
      <c r="B8" s="1249"/>
      <c r="C8" s="1249"/>
      <c r="D8" s="1249"/>
      <c r="E8" s="1249"/>
      <c r="F8" s="1249"/>
      <c r="G8" s="1249"/>
      <c r="H8" s="1249"/>
      <c r="I8" s="1249"/>
      <c r="J8" s="1249"/>
      <c r="K8" s="1249"/>
      <c r="L8" s="1249"/>
      <c r="M8" s="1249"/>
      <c r="N8" s="1249"/>
      <c r="O8" s="1249"/>
      <c r="P8" s="1249"/>
      <c r="Q8" s="1249"/>
      <c r="R8" s="1249"/>
      <c r="S8" s="1249"/>
      <c r="T8" s="1249"/>
      <c r="U8" s="1249"/>
      <c r="V8" s="1249"/>
      <c r="W8" s="1249"/>
      <c r="X8" s="1249"/>
      <c r="Y8" s="1249"/>
      <c r="Z8" s="1249"/>
      <c r="AA8" s="1249"/>
      <c r="AB8" s="1249"/>
      <c r="AC8" s="1249"/>
      <c r="AD8" s="1249"/>
      <c r="AE8" s="1249"/>
      <c r="AF8" s="1249"/>
      <c r="AG8" s="1249"/>
      <c r="AH8" s="1249"/>
      <c r="AI8" s="1249"/>
      <c r="AJ8" s="1249"/>
      <c r="AK8" s="1249"/>
      <c r="AL8" s="1249"/>
      <c r="AM8" s="1249"/>
      <c r="AN8" s="1249"/>
      <c r="AO8" s="1249"/>
      <c r="AP8" s="1249"/>
      <c r="AQ8" s="1249"/>
      <c r="AR8" s="1249"/>
      <c r="AS8" s="1249"/>
      <c r="AT8" s="1249"/>
      <c r="AU8" s="1249"/>
      <c r="AV8" s="1249"/>
      <c r="AW8" s="1249"/>
      <c r="AX8" s="1249"/>
      <c r="AY8" s="1249"/>
      <c r="AZ8" s="1249"/>
      <c r="BA8" s="1249"/>
      <c r="BB8" s="1249"/>
      <c r="BC8" s="1249"/>
      <c r="BD8" s="1249"/>
      <c r="BE8" s="1249"/>
      <c r="BF8" s="1249"/>
      <c r="BG8" s="1249"/>
      <c r="BH8" s="1249"/>
      <c r="BI8" s="1249"/>
      <c r="BJ8" s="1249"/>
      <c r="BK8" s="1249"/>
      <c r="BL8" s="1249"/>
    </row>
    <row r="13" spans="1:64" ht="10.8" thickBot="1" x14ac:dyDescent="0.25"/>
    <row r="14" spans="1:64" ht="11.4" thickTop="1" thickBot="1" x14ac:dyDescent="0.25">
      <c r="A14" s="1339" t="s">
        <v>71</v>
      </c>
      <c r="B14" s="1340" t="s">
        <v>128</v>
      </c>
      <c r="C14" s="1341" t="s">
        <v>6</v>
      </c>
      <c r="D14" s="1342" t="s">
        <v>82</v>
      </c>
      <c r="E14" s="1342" t="s">
        <v>45</v>
      </c>
      <c r="F14" s="1346">
        <f>+H!K12</f>
        <v>16</v>
      </c>
      <c r="G14" s="1346">
        <f>+H!L12</f>
        <v>17</v>
      </c>
      <c r="H14" s="1346">
        <f>+H!M12</f>
        <v>18</v>
      </c>
      <c r="I14" s="1346">
        <f>+H!N12</f>
        <v>19</v>
      </c>
      <c r="J14" s="1346">
        <f>+H!O12</f>
        <v>20</v>
      </c>
      <c r="K14" s="1346">
        <f>+H!P12</f>
        <v>21</v>
      </c>
      <c r="L14" s="1346">
        <f>+H!Q12</f>
        <v>22</v>
      </c>
      <c r="M14" s="1344" t="s">
        <v>129</v>
      </c>
      <c r="N14" s="1430" t="s">
        <v>83</v>
      </c>
      <c r="O14" s="1346">
        <f>+H!T12</f>
        <v>23</v>
      </c>
      <c r="P14" s="1346">
        <f>+H!U12</f>
        <v>24</v>
      </c>
      <c r="Q14" s="1346">
        <f>+H!V12</f>
        <v>25</v>
      </c>
      <c r="R14" s="1346">
        <f>+H!W12</f>
        <v>26</v>
      </c>
      <c r="S14" s="1346">
        <f>+H!X12</f>
        <v>27</v>
      </c>
      <c r="T14" s="1346">
        <f>+H!Y12</f>
        <v>28</v>
      </c>
      <c r="U14" s="1346">
        <f>+H!Z12</f>
        <v>29</v>
      </c>
      <c r="V14" s="1346">
        <f>+H!AA12</f>
        <v>30</v>
      </c>
      <c r="W14" s="1346">
        <f>+H!AB12</f>
        <v>16</v>
      </c>
      <c r="X14" s="223"/>
      <c r="Y14" s="1347" t="s">
        <v>130</v>
      </c>
      <c r="Z14" s="1429" t="s">
        <v>83</v>
      </c>
      <c r="AA14" s="1343" t="s">
        <v>131</v>
      </c>
      <c r="AB14" s="1343" t="s">
        <v>132</v>
      </c>
      <c r="AC14" s="224"/>
      <c r="AD14" s="1349" t="s">
        <v>77</v>
      </c>
      <c r="AE14" s="1349" t="s">
        <v>143</v>
      </c>
      <c r="AF14" s="1350" t="s">
        <v>78</v>
      </c>
      <c r="AG14" s="1342" t="s">
        <v>79</v>
      </c>
      <c r="AH14" s="1349" t="s">
        <v>80</v>
      </c>
      <c r="AI14" s="1351"/>
      <c r="AJ14" s="1351"/>
      <c r="AK14" s="1342" t="s">
        <v>83</v>
      </c>
      <c r="AL14" s="1352" t="s">
        <v>144</v>
      </c>
      <c r="AM14" s="1352" t="s">
        <v>145</v>
      </c>
      <c r="AN14" s="1349" t="s">
        <v>146</v>
      </c>
      <c r="AO14" s="1342" t="s">
        <v>93</v>
      </c>
      <c r="AP14" s="1342" t="s">
        <v>107</v>
      </c>
      <c r="AQ14" s="1349" t="s">
        <v>66</v>
      </c>
      <c r="AR14" s="1354" t="s">
        <v>134</v>
      </c>
      <c r="AS14" s="1354" t="s">
        <v>128</v>
      </c>
      <c r="AT14" s="1354" t="s">
        <v>135</v>
      </c>
      <c r="AU14" s="1354" t="s">
        <v>136</v>
      </c>
      <c r="AV14" s="1354" t="s">
        <v>137</v>
      </c>
      <c r="AW14" s="1354" t="s">
        <v>138</v>
      </c>
      <c r="AX14" s="1354" t="s">
        <v>139</v>
      </c>
      <c r="AY14" s="1354" t="s">
        <v>139</v>
      </c>
      <c r="AZ14" s="1246" t="s">
        <v>29</v>
      </c>
      <c r="BA14" s="1355" t="s">
        <v>156</v>
      </c>
      <c r="BB14" s="1353" t="s">
        <v>89</v>
      </c>
      <c r="BC14" s="1360" t="s">
        <v>52</v>
      </c>
      <c r="BD14" s="1360" t="s">
        <v>53</v>
      </c>
      <c r="BE14" s="1361" t="s">
        <v>17</v>
      </c>
      <c r="BF14" s="1362"/>
      <c r="BG14" s="1362"/>
      <c r="BH14" s="1362"/>
      <c r="BI14" s="1363" t="s">
        <v>65</v>
      </c>
      <c r="BJ14" s="1364" t="s">
        <v>180</v>
      </c>
      <c r="BK14" s="1358" t="s">
        <v>73</v>
      </c>
      <c r="BL14" s="1359" t="s">
        <v>38</v>
      </c>
    </row>
    <row r="15" spans="1:64" ht="23.25" customHeight="1" thickTop="1" thickBot="1" x14ac:dyDescent="0.25">
      <c r="A15" s="1339"/>
      <c r="B15" s="1340"/>
      <c r="C15" s="1341"/>
      <c r="D15" s="1342"/>
      <c r="E15" s="1342"/>
      <c r="F15" s="1346"/>
      <c r="G15" s="1346"/>
      <c r="H15" s="1346"/>
      <c r="I15" s="1346"/>
      <c r="J15" s="1346"/>
      <c r="K15" s="1346"/>
      <c r="L15" s="1346"/>
      <c r="M15" s="1344"/>
      <c r="N15" s="1430"/>
      <c r="O15" s="1346"/>
      <c r="P15" s="1346"/>
      <c r="Q15" s="1346"/>
      <c r="R15" s="1346"/>
      <c r="S15" s="1346"/>
      <c r="T15" s="1346"/>
      <c r="U15" s="1346"/>
      <c r="V15" s="1346"/>
      <c r="W15" s="1346"/>
      <c r="X15" s="223"/>
      <c r="Y15" s="1347"/>
      <c r="Z15" s="1429"/>
      <c r="AA15" s="1343"/>
      <c r="AB15" s="1343"/>
      <c r="AC15" s="224"/>
      <c r="AD15" s="1349"/>
      <c r="AE15" s="1349"/>
      <c r="AF15" s="1350"/>
      <c r="AG15" s="1342"/>
      <c r="AH15" s="1349"/>
      <c r="AI15" s="1351"/>
      <c r="AJ15" s="1351"/>
      <c r="AK15" s="1342"/>
      <c r="AL15" s="1352"/>
      <c r="AM15" s="1352"/>
      <c r="AN15" s="1349"/>
      <c r="AO15" s="1342"/>
      <c r="AP15" s="1342"/>
      <c r="AQ15" s="1349"/>
      <c r="AR15" s="1354"/>
      <c r="AS15" s="1354"/>
      <c r="AT15" s="1354"/>
      <c r="AU15" s="1354"/>
      <c r="AV15" s="1354"/>
      <c r="AW15" s="1354"/>
      <c r="AX15" s="1354"/>
      <c r="AY15" s="1354"/>
      <c r="AZ15" s="1247"/>
      <c r="BA15" s="1356"/>
      <c r="BB15" s="1353"/>
      <c r="BC15" s="1360"/>
      <c r="BD15" s="1360"/>
      <c r="BE15" s="1361"/>
      <c r="BF15" s="1362"/>
      <c r="BG15" s="1362"/>
      <c r="BH15" s="1362"/>
      <c r="BI15" s="1363"/>
      <c r="BJ15" s="1364"/>
      <c r="BK15" s="1358"/>
      <c r="BL15" s="1359"/>
    </row>
    <row r="16" spans="1:64" ht="21.75" customHeight="1" thickTop="1" thickBot="1" x14ac:dyDescent="0.25">
      <c r="A16" s="1339"/>
      <c r="B16" s="1340"/>
      <c r="C16" s="1341"/>
      <c r="D16" s="1342"/>
      <c r="E16" s="1342"/>
      <c r="F16" s="169" t="str">
        <f>+'COMISARIATO CON INSS'!H9</f>
        <v>S</v>
      </c>
      <c r="G16" s="169" t="str">
        <f>+'COMISARIATO CON INSS'!I9</f>
        <v>D</v>
      </c>
      <c r="H16" s="169" t="str">
        <f>+'COMISARIATO CON INSS'!J9</f>
        <v>L</v>
      </c>
      <c r="I16" s="169" t="str">
        <f>+'COMISARIATO CON INSS'!K9</f>
        <v>M</v>
      </c>
      <c r="J16" s="169" t="str">
        <f>+'COMISARIATO CON INSS'!L9</f>
        <v>M</v>
      </c>
      <c r="K16" s="169" t="str">
        <f>+'COMISARIATO CON INSS'!M9</f>
        <v>J</v>
      </c>
      <c r="L16" s="169" t="str">
        <f>+'COMISARIATO CON INSS'!N9</f>
        <v>V</v>
      </c>
      <c r="M16" s="1344"/>
      <c r="N16" s="1430"/>
      <c r="O16" s="169" t="str">
        <f>+'COMISARIATO CON INSS'!Q9</f>
        <v>S</v>
      </c>
      <c r="P16" s="169" t="str">
        <f>+'COMISARIATO CON INSS'!R9</f>
        <v>D</v>
      </c>
      <c r="Q16" s="169" t="str">
        <f>+'COMISARIATO CON INSS'!S9</f>
        <v>L</v>
      </c>
      <c r="R16" s="169" t="str">
        <f>+'COMISARIATO CON INSS'!T9</f>
        <v>M</v>
      </c>
      <c r="S16" s="169" t="str">
        <f>+'COMISARIATO CON INSS'!U9</f>
        <v>M</v>
      </c>
      <c r="T16" s="169" t="str">
        <f>+'COMISARIATO CON INSS'!V9</f>
        <v>J</v>
      </c>
      <c r="U16" s="169" t="str">
        <f>+'COMISARIATO CON INSS'!W9</f>
        <v>V</v>
      </c>
      <c r="V16" s="169" t="str">
        <f>+'COMISARIATO CON INSS'!X9</f>
        <v>S</v>
      </c>
      <c r="W16" s="169" t="s">
        <v>32</v>
      </c>
      <c r="X16" s="223"/>
      <c r="Y16" s="1347"/>
      <c r="Z16" s="1429"/>
      <c r="AA16" s="1343"/>
      <c r="AB16" s="1343"/>
      <c r="AC16" s="224"/>
      <c r="AD16" s="1349"/>
      <c r="AE16" s="1349"/>
      <c r="AF16" s="1350"/>
      <c r="AG16" s="1342"/>
      <c r="AH16" s="1349"/>
      <c r="AI16" s="1351"/>
      <c r="AJ16" s="1351"/>
      <c r="AK16" s="1342"/>
      <c r="AL16" s="1352"/>
      <c r="AM16" s="1352"/>
      <c r="AN16" s="1349"/>
      <c r="AO16" s="1342"/>
      <c r="AP16" s="1342"/>
      <c r="AQ16" s="1349"/>
      <c r="AR16" s="1354"/>
      <c r="AS16" s="1354"/>
      <c r="AT16" s="1354"/>
      <c r="AU16" s="1354"/>
      <c r="AV16" s="1354"/>
      <c r="AW16" s="1354"/>
      <c r="AX16" s="1354"/>
      <c r="AY16" s="1354"/>
      <c r="AZ16" s="1248"/>
      <c r="BA16" s="1357"/>
      <c r="BB16" s="1353"/>
      <c r="BC16" s="1360"/>
      <c r="BD16" s="1360"/>
      <c r="BE16" s="1361"/>
      <c r="BF16" s="168"/>
      <c r="BG16" s="168"/>
      <c r="BH16" s="168"/>
      <c r="BI16" s="1363"/>
      <c r="BJ16" s="1364"/>
      <c r="BK16" s="1358"/>
      <c r="BL16" s="1359"/>
    </row>
    <row r="17" spans="1:64" ht="38.25" customHeight="1" thickTop="1" thickBot="1" x14ac:dyDescent="0.25">
      <c r="A17" s="136">
        <v>1</v>
      </c>
      <c r="B17" s="137">
        <v>266.66000000000003</v>
      </c>
      <c r="C17" s="149" t="s">
        <v>210</v>
      </c>
      <c r="D17" s="138">
        <v>147.16</v>
      </c>
      <c r="E17" s="150" t="s">
        <v>30</v>
      </c>
      <c r="F17" s="138">
        <v>0</v>
      </c>
      <c r="G17" s="138">
        <v>0</v>
      </c>
      <c r="H17" s="138">
        <v>0</v>
      </c>
      <c r="I17" s="154">
        <v>0</v>
      </c>
      <c r="J17" s="138">
        <v>0</v>
      </c>
      <c r="K17" s="138">
        <v>0</v>
      </c>
      <c r="L17" s="138">
        <v>0</v>
      </c>
      <c r="M17" s="53">
        <f>COUNTIF(F17:L17,147.16)</f>
        <v>0</v>
      </c>
      <c r="N17" s="55">
        <f>COUNTIF(M17,6)</f>
        <v>0</v>
      </c>
      <c r="O17" s="138">
        <v>0</v>
      </c>
      <c r="P17" s="138">
        <v>0</v>
      </c>
      <c r="Q17" s="138">
        <v>0</v>
      </c>
      <c r="R17" s="154">
        <v>0</v>
      </c>
      <c r="S17" s="138">
        <v>0</v>
      </c>
      <c r="T17" s="138">
        <v>0</v>
      </c>
      <c r="U17" s="138">
        <v>0</v>
      </c>
      <c r="V17" s="138">
        <v>0</v>
      </c>
      <c r="W17" s="138">
        <v>0</v>
      </c>
      <c r="X17" s="55">
        <f>COUNTIF(N17:V17,147.16)</f>
        <v>0</v>
      </c>
      <c r="Y17" s="55">
        <f>COUNTIF(O17:W17,147.16)</f>
        <v>0</v>
      </c>
      <c r="Z17" s="55">
        <f>COUNTIF(X17,7)</f>
        <v>0</v>
      </c>
      <c r="AA17" s="221">
        <f>+Z17+N17</f>
        <v>0</v>
      </c>
      <c r="AB17" s="221">
        <f>+Y17+M17</f>
        <v>0</v>
      </c>
      <c r="AC17" s="221">
        <f>+AB17+AA17</f>
        <v>0</v>
      </c>
      <c r="AD17" s="142">
        <f>+AB17+AA17+AG17+AE17</f>
        <v>0</v>
      </c>
      <c r="AE17" s="143">
        <v>0</v>
      </c>
      <c r="AF17" s="144">
        <v>0</v>
      </c>
      <c r="AG17" s="155">
        <f>+R17+I17</f>
        <v>0</v>
      </c>
      <c r="AH17" s="203">
        <f>+W17+T17+S17+Q17+P17+O17+L17+K17+J17+H17+G17+F17+U17+V17</f>
        <v>0</v>
      </c>
      <c r="AI17" s="161">
        <v>147.16</v>
      </c>
      <c r="AJ17" s="161">
        <f>D17*Z17</f>
        <v>0</v>
      </c>
      <c r="AK17" s="158">
        <f>+AI17*N17+AJ17*Z17</f>
        <v>0</v>
      </c>
      <c r="AL17" s="160">
        <f>+D17</f>
        <v>147.16</v>
      </c>
      <c r="AM17" s="145">
        <f>+D17/8</f>
        <v>18.395</v>
      </c>
      <c r="AN17" s="138">
        <f>+AL17*AG17</f>
        <v>0</v>
      </c>
      <c r="AO17" s="138">
        <f>+AM17*AF17</f>
        <v>0</v>
      </c>
      <c r="AP17" s="138">
        <f>+AE17*D17</f>
        <v>0</v>
      </c>
      <c r="AQ17" s="138">
        <f>+AI17*I17+AJ17*R17</f>
        <v>0</v>
      </c>
      <c r="AR17" s="146">
        <f>+AD17</f>
        <v>0</v>
      </c>
      <c r="AS17" s="146">
        <f>+B17</f>
        <v>266.66000000000003</v>
      </c>
      <c r="AT17" s="146">
        <v>84</v>
      </c>
      <c r="AU17" s="147">
        <v>0.85714199999999996</v>
      </c>
      <c r="AV17" s="146">
        <f>AR17*AS17</f>
        <v>0</v>
      </c>
      <c r="AW17" s="146">
        <f>+AV17-BD17</f>
        <v>0</v>
      </c>
      <c r="AX17" s="146">
        <f>AR17*AT17*AU17</f>
        <v>0</v>
      </c>
      <c r="AY17" s="148">
        <v>0.85714199999999996</v>
      </c>
      <c r="AZ17" s="146">
        <f>+AK17+AH17</f>
        <v>0</v>
      </c>
      <c r="BA17" s="146">
        <f>+BE17-AZ17</f>
        <v>0</v>
      </c>
      <c r="BB17" s="170">
        <f>+AV17*AY17</f>
        <v>0</v>
      </c>
      <c r="BC17" s="171">
        <f>+BB17/12</f>
        <v>0</v>
      </c>
      <c r="BD17" s="158">
        <f>+BC17</f>
        <v>0</v>
      </c>
      <c r="BE17" s="172">
        <f>+BD17+BC17+BB17</f>
        <v>0</v>
      </c>
      <c r="BF17" s="140">
        <f>+BE17-BD17</f>
        <v>0</v>
      </c>
      <c r="BG17" s="152">
        <v>5</v>
      </c>
      <c r="BH17" s="139">
        <v>0</v>
      </c>
      <c r="BI17" s="170">
        <f>+BE17-BH17</f>
        <v>0</v>
      </c>
      <c r="BJ17" s="151">
        <v>0</v>
      </c>
      <c r="BK17" s="167">
        <f>+BI17+BJ17+AO17</f>
        <v>0</v>
      </c>
      <c r="BL17" s="72">
        <f>+A17</f>
        <v>1</v>
      </c>
    </row>
    <row r="18" spans="1:64" ht="50.25" customHeight="1" thickTop="1" x14ac:dyDescent="0.2"/>
    <row r="26" spans="1:64" x14ac:dyDescent="0.2">
      <c r="C26" s="156"/>
      <c r="D26" s="1365"/>
      <c r="E26" s="1365"/>
      <c r="F26" s="1365"/>
      <c r="G26" s="1365"/>
      <c r="H26" s="1365"/>
      <c r="I26" s="156"/>
      <c r="J26" s="156"/>
      <c r="K26" s="156"/>
      <c r="O26" t="s">
        <v>150</v>
      </c>
      <c r="AQ26" t="s">
        <v>121</v>
      </c>
    </row>
    <row r="27" spans="1:64" x14ac:dyDescent="0.2">
      <c r="C27" s="1259" t="s">
        <v>101</v>
      </c>
      <c r="D27" s="1259"/>
      <c r="E27" s="1259"/>
      <c r="F27" s="1259"/>
      <c r="G27" s="1259"/>
      <c r="H27" s="1259"/>
      <c r="I27" s="1259"/>
      <c r="J27" s="1259"/>
      <c r="K27" s="156"/>
      <c r="L27" s="34"/>
      <c r="M27" s="34"/>
      <c r="N27" s="34"/>
      <c r="O27" s="34"/>
      <c r="P27" s="1251" t="s">
        <v>102</v>
      </c>
      <c r="Q27" s="1251"/>
      <c r="R27" s="1251"/>
      <c r="S27" s="1251"/>
      <c r="T27" s="1251"/>
      <c r="U27" s="1251"/>
      <c r="V27" s="1251"/>
      <c r="W27" s="1251"/>
      <c r="X27" s="1251"/>
      <c r="Y27" s="1251"/>
      <c r="Z27" s="1251"/>
      <c r="AA27" s="37"/>
      <c r="AB27" s="37"/>
      <c r="AC27" s="37"/>
      <c r="AD27" s="37"/>
      <c r="AE27" s="37"/>
      <c r="AF27" s="37"/>
      <c r="AG27" s="37"/>
      <c r="AH27" s="37"/>
      <c r="AQ27" s="1251" t="s">
        <v>103</v>
      </c>
      <c r="AR27" s="1251"/>
      <c r="AS27" s="1251"/>
      <c r="AT27" s="1251"/>
      <c r="AU27" s="1251"/>
      <c r="AV27" s="1251"/>
      <c r="AW27" s="1251"/>
      <c r="AX27" s="1251"/>
      <c r="AY27" s="1251"/>
      <c r="AZ27" s="1251"/>
      <c r="BA27" s="1251"/>
      <c r="BB27" s="1251"/>
      <c r="BC27" s="1251"/>
      <c r="BD27" s="1251"/>
      <c r="BE27" s="1251"/>
      <c r="BF27" s="1251"/>
      <c r="BG27" s="1251"/>
      <c r="BH27" s="1251"/>
      <c r="BI27" s="1251"/>
    </row>
    <row r="28" spans="1:64" x14ac:dyDescent="0.2">
      <c r="C28" s="1250" t="s">
        <v>209</v>
      </c>
      <c r="D28" s="1250"/>
      <c r="E28" s="1250"/>
      <c r="F28" s="1250"/>
      <c r="G28" s="1250"/>
      <c r="H28" s="1250"/>
      <c r="I28" s="1250"/>
      <c r="J28" s="1250"/>
      <c r="K28" s="156"/>
      <c r="L28" s="34"/>
      <c r="M28" s="34"/>
      <c r="N28" s="34"/>
      <c r="O28" s="34"/>
      <c r="P28" s="37" t="s">
        <v>112</v>
      </c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4"/>
      <c r="AB28" s="34"/>
      <c r="AC28" s="34"/>
      <c r="AD28" s="34"/>
      <c r="AQ28" s="1251" t="s">
        <v>104</v>
      </c>
      <c r="AR28" s="1251"/>
      <c r="AS28" s="1251"/>
      <c r="AT28" s="1251"/>
      <c r="AU28" s="1251"/>
      <c r="AV28" s="1251"/>
      <c r="AW28" s="1251"/>
      <c r="AX28" s="1251"/>
      <c r="AY28" s="1251"/>
      <c r="AZ28" s="1251"/>
      <c r="BA28" s="1251"/>
      <c r="BB28" s="1251"/>
      <c r="BC28" s="1251"/>
      <c r="BD28" s="1251"/>
      <c r="BE28" s="1251"/>
      <c r="BF28" s="1251"/>
      <c r="BG28" s="1251"/>
      <c r="BH28" s="1251"/>
      <c r="BI28" s="1251"/>
      <c r="BJ28" s="1251"/>
    </row>
  </sheetData>
  <protectedRanges>
    <protectedRange sqref="AE17:AF17" name="Nomina2_3_1"/>
  </protectedRanges>
  <mergeCells count="69">
    <mergeCell ref="L14:L15"/>
    <mergeCell ref="A6:BL6"/>
    <mergeCell ref="A7:BL7"/>
    <mergeCell ref="A8:BL8"/>
    <mergeCell ref="A14:A16"/>
    <mergeCell ref="B14:B16"/>
    <mergeCell ref="C14:C16"/>
    <mergeCell ref="D14:D16"/>
    <mergeCell ref="E14:E16"/>
    <mergeCell ref="F14:F15"/>
    <mergeCell ref="G14:G15"/>
    <mergeCell ref="H14:H15"/>
    <mergeCell ref="I14:I15"/>
    <mergeCell ref="J14:J15"/>
    <mergeCell ref="K14:K15"/>
    <mergeCell ref="Y14:Y16"/>
    <mergeCell ref="M14:M16"/>
    <mergeCell ref="N14:N16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AL14:AL16"/>
    <mergeCell ref="Z14:Z16"/>
    <mergeCell ref="AA14:AA16"/>
    <mergeCell ref="AB14:AB16"/>
    <mergeCell ref="AD14:AD16"/>
    <mergeCell ref="AE14:AE16"/>
    <mergeCell ref="AF14:AF16"/>
    <mergeCell ref="AG14:AG16"/>
    <mergeCell ref="AH14:AH16"/>
    <mergeCell ref="AI14:AI16"/>
    <mergeCell ref="AJ14:AJ16"/>
    <mergeCell ref="AK14:AK16"/>
    <mergeCell ref="AX14:AX16"/>
    <mergeCell ref="AM14:AM16"/>
    <mergeCell ref="AN14:AN16"/>
    <mergeCell ref="AO14:AO16"/>
    <mergeCell ref="AP14:AP16"/>
    <mergeCell ref="AQ14:AQ16"/>
    <mergeCell ref="AR14:AR16"/>
    <mergeCell ref="AS14:AS16"/>
    <mergeCell ref="AT14:AT16"/>
    <mergeCell ref="AU14:AU16"/>
    <mergeCell ref="AV14:AV16"/>
    <mergeCell ref="AW14:AW16"/>
    <mergeCell ref="BL14:BL16"/>
    <mergeCell ref="AY14:AY16"/>
    <mergeCell ref="AZ14:AZ16"/>
    <mergeCell ref="BA14:BA16"/>
    <mergeCell ref="BB14:BB16"/>
    <mergeCell ref="BC14:BC16"/>
    <mergeCell ref="BD14:BD16"/>
    <mergeCell ref="BE14:BE16"/>
    <mergeCell ref="BF14:BH15"/>
    <mergeCell ref="BI14:BI16"/>
    <mergeCell ref="BJ14:BJ16"/>
    <mergeCell ref="BK14:BK16"/>
    <mergeCell ref="D26:H26"/>
    <mergeCell ref="C27:J27"/>
    <mergeCell ref="P27:Z27"/>
    <mergeCell ref="AQ27:BI27"/>
    <mergeCell ref="C28:J28"/>
    <mergeCell ref="AQ28:BJ28"/>
  </mergeCells>
  <printOptions horizontalCentered="1" verticalCentered="1"/>
  <pageMargins left="0" right="0" top="0.74803149606299213" bottom="0.74803149606299213" header="0.31496062992125984" footer="0.31496062992125984"/>
  <pageSetup paperSize="5" scale="80" orientation="landscape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4212-1A67-424C-80DD-B9CE83089FC0}">
  <sheetPr transitionEvaluation="1">
    <tabColor rgb="FFFFFF00"/>
    <pageSetUpPr fitToPage="1"/>
  </sheetPr>
  <dimension ref="A1:AI55"/>
  <sheetViews>
    <sheetView showGridLines="0" topLeftCell="B1" zoomScale="93" zoomScaleNormal="93" workbookViewId="0">
      <pane xSplit="8" ySplit="8" topLeftCell="J9" activePane="bottomRight" state="frozen"/>
      <selection activeCell="B1" sqref="B1"/>
      <selection pane="topRight" activeCell="K1" sqref="K1"/>
      <selection pane="bottomLeft" activeCell="B9" sqref="B9"/>
      <selection pane="bottomRight" activeCell="H16" sqref="H16"/>
    </sheetView>
  </sheetViews>
  <sheetFormatPr baseColWidth="10" defaultColWidth="9.85546875" defaultRowHeight="14.4" x14ac:dyDescent="0.2"/>
  <cols>
    <col min="1" max="1" width="5.42578125" style="1" bestFit="1" customWidth="1"/>
    <col min="2" max="2" width="5" style="1" bestFit="1" customWidth="1"/>
    <col min="3" max="3" width="7.28515625" style="1" customWidth="1"/>
    <col min="4" max="4" width="28.28515625" style="1" customWidth="1"/>
    <col min="5" max="5" width="5.28515625" style="1" customWidth="1"/>
    <col min="6" max="6" width="5.42578125" style="5" customWidth="1"/>
    <col min="7" max="7" width="14.42578125" style="616" hidden="1" customWidth="1"/>
    <col min="8" max="8" width="12.42578125" style="616" customWidth="1"/>
    <col min="9" max="9" width="14.7109375" style="1" bestFit="1" customWidth="1"/>
    <col min="10" max="10" width="19.85546875" style="1" bestFit="1" customWidth="1"/>
    <col min="11" max="11" width="11.28515625" style="6" customWidth="1"/>
    <col min="12" max="12" width="10.42578125" style="6" hidden="1" customWidth="1"/>
    <col min="13" max="13" width="10.85546875" style="6" hidden="1" customWidth="1"/>
    <col min="14" max="14" width="8" style="6" hidden="1" customWidth="1"/>
    <col min="15" max="15" width="15.42578125" style="1" customWidth="1"/>
    <col min="16" max="16" width="13.7109375" style="1" customWidth="1"/>
    <col min="17" max="17" width="13.140625" style="1" bestFit="1" customWidth="1"/>
    <col min="18" max="18" width="16.85546875" style="1" bestFit="1" customWidth="1"/>
    <col min="19" max="19" width="13.28515625" style="1" hidden="1" customWidth="1"/>
    <col min="20" max="20" width="12.42578125" style="1" customWidth="1"/>
    <col min="21" max="21" width="7.7109375" style="1" customWidth="1"/>
    <col min="22" max="22" width="9.42578125" style="1" hidden="1" customWidth="1"/>
    <col min="23" max="23" width="15" style="1" bestFit="1" customWidth="1"/>
    <col min="24" max="24" width="14.85546875" style="1" bestFit="1" customWidth="1"/>
    <col min="25" max="25" width="15.7109375" style="1" customWidth="1"/>
    <col min="26" max="26" width="15.140625" style="1" customWidth="1"/>
    <col min="27" max="27" width="21.42578125" style="1" customWidth="1"/>
    <col min="28" max="28" width="54" style="1" customWidth="1"/>
    <col min="29" max="29" width="10.42578125" style="1" hidden="1" customWidth="1"/>
    <col min="30" max="30" width="10.28515625" style="1" hidden="1" customWidth="1"/>
    <col min="31" max="32" width="1.85546875" style="1" hidden="1" customWidth="1"/>
    <col min="33" max="33" width="13.85546875" style="1" hidden="1" customWidth="1"/>
    <col min="34" max="34" width="6.85546875" style="1" hidden="1" customWidth="1"/>
    <col min="35" max="35" width="5.85546875" style="1" hidden="1" customWidth="1"/>
    <col min="36" max="36" width="7.85546875" style="1" customWidth="1"/>
    <col min="37" max="37" width="1.85546875" style="1" customWidth="1"/>
    <col min="38" max="38" width="38.85546875" style="1" customWidth="1"/>
    <col min="39" max="39" width="3.85546875" style="1" customWidth="1"/>
    <col min="40" max="40" width="8.85546875" style="1" customWidth="1"/>
    <col min="41" max="41" width="1.85546875" style="1" customWidth="1"/>
    <col min="42" max="16384" width="9.85546875" style="1"/>
  </cols>
  <sheetData>
    <row r="1" spans="1:31" x14ac:dyDescent="0.2">
      <c r="A1" s="11"/>
      <c r="B1" s="11"/>
      <c r="C1" s="11"/>
      <c r="D1" s="11"/>
      <c r="E1" s="11"/>
      <c r="F1" s="686"/>
      <c r="G1" s="686"/>
      <c r="H1" s="686"/>
      <c r="I1" s="11"/>
      <c r="J1" s="11"/>
      <c r="K1" s="687"/>
      <c r="L1" s="687"/>
      <c r="M1" s="687"/>
      <c r="N1" s="687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r="2" spans="1:31" s="15" customFormat="1" ht="19.2" customHeight="1" x14ac:dyDescent="0.2">
      <c r="A2" s="1370" t="s">
        <v>352</v>
      </c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  <c r="P2" s="1370"/>
      <c r="Q2" s="1370"/>
      <c r="R2" s="1370"/>
      <c r="S2" s="1370"/>
      <c r="T2" s="1370"/>
      <c r="U2" s="1370"/>
      <c r="V2" s="1370"/>
      <c r="W2" s="1370"/>
      <c r="X2" s="1370"/>
      <c r="Y2" s="1370"/>
      <c r="Z2" s="1370"/>
      <c r="AA2" s="1370"/>
      <c r="AB2" s="1370"/>
      <c r="AC2" s="1370"/>
      <c r="AD2" s="1370"/>
    </row>
    <row r="3" spans="1:31" s="15" customFormat="1" ht="19.2" customHeight="1" x14ac:dyDescent="0.2">
      <c r="A3" s="1370" t="s">
        <v>221</v>
      </c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0"/>
      <c r="AB3" s="1370"/>
      <c r="AC3" s="1370"/>
      <c r="AD3" s="1370"/>
    </row>
    <row r="4" spans="1:31" s="15" customFormat="1" ht="19.2" customHeight="1" x14ac:dyDescent="0.4">
      <c r="A4" s="1366" t="str">
        <f>+TECNICOS!A4</f>
        <v>QUINCENA DEL 16  AL 30  DE ABRIL - 2026</v>
      </c>
      <c r="B4" s="1366"/>
      <c r="C4" s="1366"/>
      <c r="D4" s="1366"/>
      <c r="E4" s="1366"/>
      <c r="F4" s="1366"/>
      <c r="G4" s="1366"/>
      <c r="H4" s="1366"/>
      <c r="I4" s="1366"/>
      <c r="J4" s="1366"/>
      <c r="K4" s="1366"/>
      <c r="L4" s="1366"/>
      <c r="M4" s="1366"/>
      <c r="N4" s="1366"/>
      <c r="O4" s="1366"/>
      <c r="P4" s="1366"/>
      <c r="Q4" s="1366"/>
      <c r="R4" s="1366"/>
      <c r="S4" s="1366"/>
      <c r="T4" s="1366"/>
      <c r="U4" s="1366"/>
      <c r="V4" s="1366"/>
      <c r="W4" s="1366"/>
      <c r="X4" s="1366"/>
      <c r="Y4" s="1366"/>
      <c r="Z4" s="1366"/>
      <c r="AA4" s="1366"/>
      <c r="AB4" s="1366"/>
      <c r="AC4" s="1366"/>
      <c r="AD4" s="1366"/>
    </row>
    <row r="5" spans="1:31" s="15" customFormat="1" ht="18" customHeight="1" thickBot="1" x14ac:dyDescent="0.35">
      <c r="A5" s="74"/>
      <c r="B5" s="75"/>
      <c r="C5" s="74"/>
      <c r="D5" s="74"/>
      <c r="E5" s="74"/>
      <c r="F5" s="74"/>
      <c r="G5" s="74"/>
      <c r="H5" s="74"/>
      <c r="I5" s="74"/>
      <c r="J5" s="74"/>
      <c r="K5" s="74"/>
      <c r="L5" s="74">
        <v>6</v>
      </c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26"/>
      <c r="AC5" s="26"/>
      <c r="AD5" s="26"/>
    </row>
    <row r="6" spans="1:31" s="11" customFormat="1" ht="15" customHeight="1" thickTop="1" thickBot="1" x14ac:dyDescent="0.25">
      <c r="A6" s="1143" t="s">
        <v>2</v>
      </c>
      <c r="B6" s="1143" t="s">
        <v>3</v>
      </c>
      <c r="C6" s="1179" t="s">
        <v>4</v>
      </c>
      <c r="D6" s="1143" t="s">
        <v>6</v>
      </c>
      <c r="E6" s="1179" t="s">
        <v>187</v>
      </c>
      <c r="F6" s="1143" t="s">
        <v>7</v>
      </c>
      <c r="G6" s="1375" t="s">
        <v>125</v>
      </c>
      <c r="H6" s="1376" t="s">
        <v>82</v>
      </c>
      <c r="I6" s="1143" t="s">
        <v>8</v>
      </c>
      <c r="J6" s="1151" t="s">
        <v>9</v>
      </c>
      <c r="K6" s="1151"/>
      <c r="L6" s="1151"/>
      <c r="M6" s="1151"/>
      <c r="N6" s="1151"/>
      <c r="O6" s="1151"/>
      <c r="P6" s="351"/>
      <c r="Q6" s="351"/>
      <c r="R6" s="1143" t="s">
        <v>10</v>
      </c>
      <c r="S6" s="1143"/>
      <c r="T6" s="1143"/>
      <c r="U6" s="1143"/>
      <c r="V6" s="1143"/>
      <c r="W6" s="1143"/>
      <c r="X6" s="1335" t="s">
        <v>29</v>
      </c>
      <c r="Y6" s="1157" t="s">
        <v>99</v>
      </c>
      <c r="Z6" s="1157" t="s">
        <v>114</v>
      </c>
      <c r="AA6" s="1143" t="s">
        <v>11</v>
      </c>
      <c r="AB6" s="1173" t="s">
        <v>12</v>
      </c>
      <c r="AC6" s="1143" t="str">
        <f>+P7</f>
        <v>VACACIONES</v>
      </c>
      <c r="AD6" s="1143" t="str">
        <f>+Q7</f>
        <v>13VO MES</v>
      </c>
    </row>
    <row r="7" spans="1:31" s="13" customFormat="1" ht="21.75" customHeight="1" thickTop="1" thickBot="1" x14ac:dyDescent="0.25">
      <c r="A7" s="1143"/>
      <c r="B7" s="1143"/>
      <c r="C7" s="1180"/>
      <c r="D7" s="1143"/>
      <c r="E7" s="1180"/>
      <c r="F7" s="1143"/>
      <c r="G7" s="1375"/>
      <c r="H7" s="1376"/>
      <c r="I7" s="1143"/>
      <c r="J7" s="1143" t="s">
        <v>177</v>
      </c>
      <c r="K7" s="1155" t="s">
        <v>16</v>
      </c>
      <c r="L7" s="1168" t="s">
        <v>196</v>
      </c>
      <c r="M7" s="1168" t="s">
        <v>197</v>
      </c>
      <c r="N7" s="1333" t="s">
        <v>195</v>
      </c>
      <c r="O7" s="1143" t="s">
        <v>200</v>
      </c>
      <c r="P7" s="1335" t="s">
        <v>199</v>
      </c>
      <c r="Q7" s="1335" t="s">
        <v>53</v>
      </c>
      <c r="R7" s="1143" t="s">
        <v>29</v>
      </c>
      <c r="S7" s="1170"/>
      <c r="T7" s="1335" t="s">
        <v>3</v>
      </c>
      <c r="U7" s="1143" t="s">
        <v>19</v>
      </c>
      <c r="V7" s="1143" t="s">
        <v>94</v>
      </c>
      <c r="W7" s="1143" t="s">
        <v>20</v>
      </c>
      <c r="X7" s="1337"/>
      <c r="Y7" s="1157"/>
      <c r="Z7" s="1157"/>
      <c r="AA7" s="1143"/>
      <c r="AB7" s="1173"/>
      <c r="AC7" s="1143"/>
      <c r="AD7" s="1143"/>
      <c r="AE7" s="12"/>
    </row>
    <row r="8" spans="1:31" s="13" customFormat="1" ht="43.65" customHeight="1" thickTop="1" thickBot="1" x14ac:dyDescent="0.25">
      <c r="A8" s="1143"/>
      <c r="B8" s="1143"/>
      <c r="C8" s="1181"/>
      <c r="D8" s="1143"/>
      <c r="E8" s="1181"/>
      <c r="F8" s="1143"/>
      <c r="G8" s="1375"/>
      <c r="H8" s="1376"/>
      <c r="I8" s="1143"/>
      <c r="J8" s="1143"/>
      <c r="K8" s="1155"/>
      <c r="L8" s="1169"/>
      <c r="M8" s="1169"/>
      <c r="N8" s="1334"/>
      <c r="O8" s="1143"/>
      <c r="P8" s="1336"/>
      <c r="Q8" s="1336"/>
      <c r="R8" s="1143"/>
      <c r="S8" s="1172"/>
      <c r="T8" s="1336"/>
      <c r="U8" s="1143"/>
      <c r="V8" s="1143"/>
      <c r="W8" s="1143"/>
      <c r="X8" s="1336"/>
      <c r="Y8" s="1157"/>
      <c r="Z8" s="1157"/>
      <c r="AA8" s="1143"/>
      <c r="AB8" s="1173"/>
      <c r="AC8" s="1143"/>
      <c r="AD8" s="1143"/>
    </row>
    <row r="9" spans="1:31" s="326" customFormat="1" ht="82.8" hidden="1" thickTop="1" thickBot="1" x14ac:dyDescent="0.25">
      <c r="A9" s="319">
        <v>1</v>
      </c>
      <c r="B9" s="354">
        <v>38675494</v>
      </c>
      <c r="C9" s="358" t="s">
        <v>248</v>
      </c>
      <c r="D9" s="632" t="s">
        <v>336</v>
      </c>
      <c r="E9" s="211" t="s">
        <v>32</v>
      </c>
      <c r="F9" s="353" t="s">
        <v>337</v>
      </c>
      <c r="G9" s="79">
        <f>+'Cambio del dia'!G36</f>
        <v>36.624299999999998</v>
      </c>
      <c r="H9" s="216">
        <v>320</v>
      </c>
      <c r="I9" s="321">
        <v>9600</v>
      </c>
      <c r="J9" s="631">
        <f t="shared" ref="J9:J14" si="0">(I9/30*K9)</f>
        <v>0</v>
      </c>
      <c r="K9" s="628">
        <v>0</v>
      </c>
      <c r="L9" s="328">
        <f t="shared" ref="L9:L18" si="1">+M9*N9</f>
        <v>0</v>
      </c>
      <c r="M9" s="584">
        <f t="shared" ref="M9:M18" si="2">H9*60%</f>
        <v>192</v>
      </c>
      <c r="N9" s="328">
        <v>0</v>
      </c>
      <c r="O9" s="585">
        <f t="shared" ref="O9:O18" si="3">+J9-P9-Q9</f>
        <v>0</v>
      </c>
      <c r="P9" s="585">
        <f t="shared" ref="P9:P18" si="4">+J9/12</f>
        <v>0</v>
      </c>
      <c r="Q9" s="585">
        <f t="shared" ref="Q9:Q18" si="5">+P9</f>
        <v>0</v>
      </c>
      <c r="R9" s="583">
        <f t="shared" ref="R9:R18" si="6">+Q9+O9+P9</f>
        <v>0</v>
      </c>
      <c r="S9" s="588">
        <f t="shared" ref="S9:S18" si="7">O9+P9</f>
        <v>0</v>
      </c>
      <c r="T9" s="583"/>
      <c r="U9" s="583"/>
      <c r="V9" s="583"/>
      <c r="W9" s="585">
        <f t="shared" ref="W9:W18" si="8">T9</f>
        <v>0</v>
      </c>
      <c r="X9" s="585">
        <f t="shared" ref="X9:X18" si="9">-W9+O9+P9+Q9</f>
        <v>0</v>
      </c>
      <c r="Y9" s="324">
        <v>0</v>
      </c>
      <c r="Z9" s="324">
        <v>0</v>
      </c>
      <c r="AA9" s="630">
        <f t="shared" ref="AA9:AA18" si="10">X9-Y9-Z9</f>
        <v>0</v>
      </c>
      <c r="AB9" s="325"/>
      <c r="AC9" s="325">
        <v>0</v>
      </c>
      <c r="AD9" s="325">
        <v>0</v>
      </c>
    </row>
    <row r="10" spans="1:31" s="326" customFormat="1" ht="62.4" hidden="1" thickTop="1" thickBot="1" x14ac:dyDescent="0.25">
      <c r="A10" s="319">
        <v>1</v>
      </c>
      <c r="B10" s="354">
        <v>38675494</v>
      </c>
      <c r="C10" s="358">
        <v>0</v>
      </c>
      <c r="D10" s="632" t="s">
        <v>368</v>
      </c>
      <c r="E10" s="211" t="s">
        <v>32</v>
      </c>
      <c r="F10" s="712" t="s">
        <v>369</v>
      </c>
      <c r="G10" s="79">
        <f>+'Cambio del dia'!G35</f>
        <v>36.624299999999998</v>
      </c>
      <c r="H10" s="216">
        <v>320</v>
      </c>
      <c r="I10" s="321">
        <v>9600</v>
      </c>
      <c r="J10" s="631">
        <f t="shared" ref="J10" si="11">(I10/30*K10)</f>
        <v>0</v>
      </c>
      <c r="K10" s="628">
        <v>0</v>
      </c>
      <c r="L10" s="328">
        <f t="shared" ref="L10" si="12">+M10*N10</f>
        <v>192</v>
      </c>
      <c r="M10" s="584">
        <f t="shared" ref="M10" si="13">H10*60%</f>
        <v>192</v>
      </c>
      <c r="N10" s="328">
        <v>1</v>
      </c>
      <c r="O10" s="585">
        <f t="shared" ref="O10" si="14">+J10-P10-Q10</f>
        <v>0</v>
      </c>
      <c r="P10" s="585">
        <f t="shared" ref="P10" si="15">+J10/12</f>
        <v>0</v>
      </c>
      <c r="Q10" s="585">
        <f t="shared" ref="Q10" si="16">+P10</f>
        <v>0</v>
      </c>
      <c r="R10" s="583">
        <f t="shared" ref="R10" si="17">+Q10+O10+P10</f>
        <v>0</v>
      </c>
      <c r="S10" s="588">
        <f t="shared" ref="S10" si="18">O10+P10</f>
        <v>0</v>
      </c>
      <c r="T10" s="583"/>
      <c r="U10" s="583"/>
      <c r="V10" s="583"/>
      <c r="W10" s="585">
        <f t="shared" ref="W10" si="19">T10</f>
        <v>0</v>
      </c>
      <c r="X10" s="585">
        <f t="shared" ref="X10" si="20">-W10+O10+P10+Q10</f>
        <v>0</v>
      </c>
      <c r="Y10" s="324">
        <v>0</v>
      </c>
      <c r="Z10" s="324">
        <v>0</v>
      </c>
      <c r="AA10" s="630">
        <f t="shared" ref="AA10" si="21">X10-Y10-Z10</f>
        <v>0</v>
      </c>
      <c r="AB10" s="325"/>
      <c r="AC10" s="325">
        <v>0</v>
      </c>
      <c r="AD10" s="325">
        <v>0</v>
      </c>
    </row>
    <row r="11" spans="1:31" s="326" customFormat="1" ht="62.4" hidden="1" thickTop="1" thickBot="1" x14ac:dyDescent="0.25">
      <c r="A11" s="319">
        <v>1</v>
      </c>
      <c r="B11" s="354">
        <v>38675494</v>
      </c>
      <c r="C11" s="358">
        <v>0</v>
      </c>
      <c r="D11" s="632" t="s">
        <v>366</v>
      </c>
      <c r="E11" s="211" t="s">
        <v>32</v>
      </c>
      <c r="F11" s="712" t="s">
        <v>347</v>
      </c>
      <c r="G11" s="79">
        <f>+'Cambio del dia'!G36</f>
        <v>36.624299999999998</v>
      </c>
      <c r="H11" s="216">
        <v>450</v>
      </c>
      <c r="I11" s="321">
        <v>13500</v>
      </c>
      <c r="J11" s="631">
        <f t="shared" si="0"/>
        <v>0</v>
      </c>
      <c r="K11" s="628">
        <v>0</v>
      </c>
      <c r="L11" s="328">
        <f t="shared" si="1"/>
        <v>270</v>
      </c>
      <c r="M11" s="584">
        <f t="shared" si="2"/>
        <v>270</v>
      </c>
      <c r="N11" s="328">
        <v>1</v>
      </c>
      <c r="O11" s="585">
        <f t="shared" si="3"/>
        <v>0</v>
      </c>
      <c r="P11" s="585">
        <f t="shared" si="4"/>
        <v>0</v>
      </c>
      <c r="Q11" s="585">
        <f t="shared" si="5"/>
        <v>0</v>
      </c>
      <c r="R11" s="583">
        <f t="shared" si="6"/>
        <v>0</v>
      </c>
      <c r="S11" s="588">
        <f t="shared" si="7"/>
        <v>0</v>
      </c>
      <c r="T11" s="583"/>
      <c r="U11" s="583"/>
      <c r="V11" s="583"/>
      <c r="W11" s="585">
        <f t="shared" si="8"/>
        <v>0</v>
      </c>
      <c r="X11" s="585">
        <f t="shared" si="9"/>
        <v>0</v>
      </c>
      <c r="Y11" s="324">
        <v>0</v>
      </c>
      <c r="Z11" s="324">
        <v>0</v>
      </c>
      <c r="AA11" s="630">
        <f t="shared" si="10"/>
        <v>0</v>
      </c>
      <c r="AB11" s="325"/>
      <c r="AC11" s="325">
        <v>0</v>
      </c>
      <c r="AD11" s="325">
        <v>0</v>
      </c>
    </row>
    <row r="12" spans="1:31" s="326" customFormat="1" ht="48.6" hidden="1" thickTop="1" thickBot="1" x14ac:dyDescent="0.25">
      <c r="A12" s="319">
        <v>1</v>
      </c>
      <c r="B12" s="354">
        <v>38675494</v>
      </c>
      <c r="C12" s="358">
        <v>0</v>
      </c>
      <c r="D12" s="632" t="s">
        <v>367</v>
      </c>
      <c r="E12" s="211" t="s">
        <v>32</v>
      </c>
      <c r="F12" s="353" t="s">
        <v>264</v>
      </c>
      <c r="G12" s="79">
        <f>+'Cambio del dia'!G36</f>
        <v>36.624299999999998</v>
      </c>
      <c r="H12" s="216">
        <v>290</v>
      </c>
      <c r="I12" s="321">
        <v>8700</v>
      </c>
      <c r="J12" s="631">
        <f t="shared" si="0"/>
        <v>0</v>
      </c>
      <c r="K12" s="628">
        <v>0</v>
      </c>
      <c r="L12" s="328">
        <f t="shared" si="1"/>
        <v>174</v>
      </c>
      <c r="M12" s="584">
        <f t="shared" si="2"/>
        <v>174</v>
      </c>
      <c r="N12" s="328">
        <v>1</v>
      </c>
      <c r="O12" s="585">
        <f t="shared" si="3"/>
        <v>0</v>
      </c>
      <c r="P12" s="585">
        <f t="shared" si="4"/>
        <v>0</v>
      </c>
      <c r="Q12" s="585">
        <f t="shared" si="5"/>
        <v>0</v>
      </c>
      <c r="R12" s="583">
        <f t="shared" si="6"/>
        <v>0</v>
      </c>
      <c r="S12" s="588">
        <f t="shared" si="7"/>
        <v>0</v>
      </c>
      <c r="T12" s="583"/>
      <c r="U12" s="583"/>
      <c r="V12" s="583"/>
      <c r="W12" s="585">
        <f t="shared" si="8"/>
        <v>0</v>
      </c>
      <c r="X12" s="585">
        <f t="shared" si="9"/>
        <v>0</v>
      </c>
      <c r="Y12" s="324">
        <v>0</v>
      </c>
      <c r="Z12" s="324">
        <v>0</v>
      </c>
      <c r="AA12" s="630">
        <f t="shared" si="10"/>
        <v>0</v>
      </c>
      <c r="AB12" s="325"/>
      <c r="AC12" s="325">
        <v>0</v>
      </c>
      <c r="AD12" s="325">
        <v>0</v>
      </c>
    </row>
    <row r="13" spans="1:31" s="326" customFormat="1" ht="48.6" hidden="1" thickTop="1" thickBot="1" x14ac:dyDescent="0.25">
      <c r="A13" s="319">
        <v>1</v>
      </c>
      <c r="B13" s="354">
        <v>38675494</v>
      </c>
      <c r="C13" s="358">
        <v>0</v>
      </c>
      <c r="D13" s="632">
        <v>0</v>
      </c>
      <c r="E13" s="211" t="s">
        <v>32</v>
      </c>
      <c r="F13" s="353" t="s">
        <v>264</v>
      </c>
      <c r="G13" s="79">
        <f>+'Cambio del dia'!G36</f>
        <v>36.624299999999998</v>
      </c>
      <c r="H13" s="216">
        <v>0</v>
      </c>
      <c r="I13" s="321">
        <v>0</v>
      </c>
      <c r="J13" s="631">
        <f t="shared" si="0"/>
        <v>0</v>
      </c>
      <c r="K13" s="628">
        <v>0</v>
      </c>
      <c r="L13" s="328">
        <f t="shared" si="1"/>
        <v>0</v>
      </c>
      <c r="M13" s="584">
        <f t="shared" si="2"/>
        <v>0</v>
      </c>
      <c r="N13" s="328">
        <v>1</v>
      </c>
      <c r="O13" s="585">
        <f t="shared" si="3"/>
        <v>0</v>
      </c>
      <c r="P13" s="585">
        <f t="shared" si="4"/>
        <v>0</v>
      </c>
      <c r="Q13" s="585">
        <f t="shared" si="5"/>
        <v>0</v>
      </c>
      <c r="R13" s="583">
        <f t="shared" si="6"/>
        <v>0</v>
      </c>
      <c r="S13" s="588">
        <f t="shared" si="7"/>
        <v>0</v>
      </c>
      <c r="T13" s="583"/>
      <c r="U13" s="583"/>
      <c r="V13" s="583"/>
      <c r="W13" s="585">
        <f t="shared" si="8"/>
        <v>0</v>
      </c>
      <c r="X13" s="585">
        <f t="shared" si="9"/>
        <v>0</v>
      </c>
      <c r="Y13" s="324">
        <v>0</v>
      </c>
      <c r="Z13" s="324">
        <v>0</v>
      </c>
      <c r="AA13" s="630">
        <f t="shared" si="10"/>
        <v>0</v>
      </c>
      <c r="AB13" s="325"/>
      <c r="AC13" s="325">
        <v>0</v>
      </c>
      <c r="AD13" s="325">
        <v>0</v>
      </c>
    </row>
    <row r="14" spans="1:31" s="326" customFormat="1" ht="48.6" hidden="1" thickTop="1" thickBot="1" x14ac:dyDescent="0.25">
      <c r="A14" s="319">
        <v>1</v>
      </c>
      <c r="B14" s="354">
        <v>38675494</v>
      </c>
      <c r="C14" s="358">
        <v>0</v>
      </c>
      <c r="D14" s="632">
        <v>0</v>
      </c>
      <c r="E14" s="211" t="s">
        <v>32</v>
      </c>
      <c r="F14" s="353" t="s">
        <v>264</v>
      </c>
      <c r="G14" s="79">
        <f>+'Cambio del dia'!G36</f>
        <v>36.624299999999998</v>
      </c>
      <c r="H14" s="216">
        <v>0</v>
      </c>
      <c r="I14" s="321">
        <v>0</v>
      </c>
      <c r="J14" s="631">
        <f t="shared" si="0"/>
        <v>0</v>
      </c>
      <c r="K14" s="628">
        <v>0</v>
      </c>
      <c r="L14" s="328">
        <f t="shared" si="1"/>
        <v>0</v>
      </c>
      <c r="M14" s="584">
        <f t="shared" si="2"/>
        <v>0</v>
      </c>
      <c r="N14" s="328">
        <v>1</v>
      </c>
      <c r="O14" s="585">
        <f t="shared" si="3"/>
        <v>0</v>
      </c>
      <c r="P14" s="585">
        <f t="shared" si="4"/>
        <v>0</v>
      </c>
      <c r="Q14" s="585">
        <f t="shared" si="5"/>
        <v>0</v>
      </c>
      <c r="R14" s="583">
        <f t="shared" si="6"/>
        <v>0</v>
      </c>
      <c r="S14" s="588">
        <f t="shared" si="7"/>
        <v>0</v>
      </c>
      <c r="T14" s="583"/>
      <c r="U14" s="583"/>
      <c r="V14" s="583"/>
      <c r="W14" s="585">
        <f t="shared" si="8"/>
        <v>0</v>
      </c>
      <c r="X14" s="585">
        <f t="shared" si="9"/>
        <v>0</v>
      </c>
      <c r="Y14" s="324">
        <v>0</v>
      </c>
      <c r="Z14" s="324">
        <v>0</v>
      </c>
      <c r="AA14" s="630">
        <f t="shared" si="10"/>
        <v>0</v>
      </c>
      <c r="AB14" s="325"/>
      <c r="AC14" s="325">
        <v>0</v>
      </c>
      <c r="AD14" s="325">
        <v>0</v>
      </c>
    </row>
    <row r="15" spans="1:31" s="326" customFormat="1" ht="48.6" hidden="1" thickTop="1" thickBot="1" x14ac:dyDescent="0.25">
      <c r="A15" s="319">
        <v>1</v>
      </c>
      <c r="B15" s="354">
        <v>38675494</v>
      </c>
      <c r="C15" s="358">
        <v>0</v>
      </c>
      <c r="D15" s="632">
        <v>0</v>
      </c>
      <c r="E15" s="211" t="s">
        <v>32</v>
      </c>
      <c r="F15" s="353" t="s">
        <v>264</v>
      </c>
      <c r="G15" s="79">
        <f>+'Cambio del dia'!G36</f>
        <v>36.624299999999998</v>
      </c>
      <c r="H15" s="216">
        <v>0</v>
      </c>
      <c r="I15" s="321">
        <v>0</v>
      </c>
      <c r="J15" s="631">
        <f t="shared" ref="J15:J17" si="22">(I15/30*K15)</f>
        <v>0</v>
      </c>
      <c r="K15" s="628">
        <v>0</v>
      </c>
      <c r="L15" s="328">
        <f t="shared" ref="L15:L17" si="23">+M15*N15</f>
        <v>0</v>
      </c>
      <c r="M15" s="584">
        <f t="shared" ref="M15:M17" si="24">H15*60%</f>
        <v>0</v>
      </c>
      <c r="N15" s="328">
        <v>1</v>
      </c>
      <c r="O15" s="585">
        <f t="shared" ref="O15:O17" si="25">+J15-P15-Q15</f>
        <v>0</v>
      </c>
      <c r="P15" s="585">
        <f t="shared" ref="P15:P17" si="26">+J15/12</f>
        <v>0</v>
      </c>
      <c r="Q15" s="585">
        <f t="shared" ref="Q15:Q17" si="27">+P15</f>
        <v>0</v>
      </c>
      <c r="R15" s="583">
        <f t="shared" ref="R15:R17" si="28">+Q15+O15+P15</f>
        <v>0</v>
      </c>
      <c r="S15" s="588">
        <f t="shared" ref="S15:S17" si="29">O15+P15</f>
        <v>0</v>
      </c>
      <c r="T15" s="583"/>
      <c r="U15" s="583"/>
      <c r="V15" s="583"/>
      <c r="W15" s="585">
        <f t="shared" ref="W15:W17" si="30">T15</f>
        <v>0</v>
      </c>
      <c r="X15" s="585">
        <f t="shared" ref="X15:X17" si="31">-W15+O15+P15+Q15</f>
        <v>0</v>
      </c>
      <c r="Y15" s="324">
        <v>0</v>
      </c>
      <c r="Z15" s="324">
        <v>0</v>
      </c>
      <c r="AA15" s="630">
        <f t="shared" ref="AA15:AA17" si="32">X15-Y15-Z15</f>
        <v>0</v>
      </c>
      <c r="AB15" s="325"/>
      <c r="AC15" s="325">
        <v>0</v>
      </c>
      <c r="AD15" s="325">
        <v>0</v>
      </c>
    </row>
    <row r="16" spans="1:31" s="326" customFormat="1" ht="48.6" thickTop="1" thickBot="1" x14ac:dyDescent="0.25">
      <c r="A16" s="319">
        <v>1</v>
      </c>
      <c r="B16" s="354">
        <v>38675494</v>
      </c>
      <c r="C16" s="358">
        <v>0</v>
      </c>
      <c r="D16" s="632" t="s">
        <v>349</v>
      </c>
      <c r="E16" s="211" t="s">
        <v>32</v>
      </c>
      <c r="F16" s="353" t="s">
        <v>264</v>
      </c>
      <c r="G16" s="79">
        <f>+'Cambio del dia'!G35</f>
        <v>36.624299999999998</v>
      </c>
      <c r="H16" s="216">
        <v>0</v>
      </c>
      <c r="I16" s="321">
        <v>0</v>
      </c>
      <c r="J16" s="631">
        <v>0</v>
      </c>
      <c r="K16" s="628">
        <v>0</v>
      </c>
      <c r="L16" s="328">
        <f t="shared" ref="L16" si="33">+M16*N16</f>
        <v>0</v>
      </c>
      <c r="M16" s="584">
        <f t="shared" ref="M16" si="34">H16*60%</f>
        <v>0</v>
      </c>
      <c r="N16" s="328">
        <v>1</v>
      </c>
      <c r="O16" s="585">
        <f t="shared" ref="O16" si="35">+J16-P16-Q16</f>
        <v>0</v>
      </c>
      <c r="P16" s="585">
        <f t="shared" ref="P16" si="36">+J16/12</f>
        <v>0</v>
      </c>
      <c r="Q16" s="585">
        <f t="shared" ref="Q16" si="37">+P16</f>
        <v>0</v>
      </c>
      <c r="R16" s="583">
        <f t="shared" ref="R16" si="38">+Q16+O16+P16</f>
        <v>0</v>
      </c>
      <c r="S16" s="588">
        <f t="shared" ref="S16" si="39">O16+P16</f>
        <v>0</v>
      </c>
      <c r="T16" s="583"/>
      <c r="U16" s="583"/>
      <c r="V16" s="583"/>
      <c r="W16" s="585">
        <f t="shared" ref="W16" si="40">T16</f>
        <v>0</v>
      </c>
      <c r="X16" s="585">
        <f t="shared" ref="X16" si="41">-W16+O16+P16+Q16</f>
        <v>0</v>
      </c>
      <c r="Y16" s="324">
        <v>0</v>
      </c>
      <c r="Z16" s="324">
        <v>0</v>
      </c>
      <c r="AA16" s="630">
        <f t="shared" ref="AA16" si="42">X16-Y16-Z16</f>
        <v>0</v>
      </c>
      <c r="AB16" s="325"/>
      <c r="AC16" s="325">
        <v>0</v>
      </c>
      <c r="AD16" s="325">
        <v>0</v>
      </c>
    </row>
    <row r="17" spans="1:30" s="326" customFormat="1" ht="82.8" hidden="1" thickTop="1" thickBot="1" x14ac:dyDescent="0.25">
      <c r="A17" s="319">
        <v>1</v>
      </c>
      <c r="B17" s="354">
        <v>38675494</v>
      </c>
      <c r="C17" s="358">
        <v>0</v>
      </c>
      <c r="D17" s="632" t="s">
        <v>336</v>
      </c>
      <c r="E17" s="211" t="s">
        <v>32</v>
      </c>
      <c r="F17" s="353" t="s">
        <v>337</v>
      </c>
      <c r="G17" s="79">
        <f>+'Cambio del dia'!G36</f>
        <v>36.624299999999998</v>
      </c>
      <c r="H17" s="216">
        <v>320</v>
      </c>
      <c r="I17" s="321">
        <v>9600</v>
      </c>
      <c r="J17" s="631">
        <f t="shared" si="22"/>
        <v>0</v>
      </c>
      <c r="K17" s="628">
        <v>0</v>
      </c>
      <c r="L17" s="328">
        <f t="shared" si="23"/>
        <v>192</v>
      </c>
      <c r="M17" s="584">
        <f t="shared" si="24"/>
        <v>192</v>
      </c>
      <c r="N17" s="328">
        <v>1</v>
      </c>
      <c r="O17" s="585">
        <f t="shared" si="25"/>
        <v>0</v>
      </c>
      <c r="P17" s="585">
        <f t="shared" si="26"/>
        <v>0</v>
      </c>
      <c r="Q17" s="585">
        <f t="shared" si="27"/>
        <v>0</v>
      </c>
      <c r="R17" s="583">
        <f t="shared" si="28"/>
        <v>0</v>
      </c>
      <c r="S17" s="588">
        <f t="shared" si="29"/>
        <v>0</v>
      </c>
      <c r="T17" s="583"/>
      <c r="U17" s="583"/>
      <c r="V17" s="583"/>
      <c r="W17" s="585">
        <f t="shared" si="30"/>
        <v>0</v>
      </c>
      <c r="X17" s="585">
        <f t="shared" si="31"/>
        <v>0</v>
      </c>
      <c r="Y17" s="324">
        <v>0</v>
      </c>
      <c r="Z17" s="324">
        <v>0</v>
      </c>
      <c r="AA17" s="630">
        <f t="shared" si="32"/>
        <v>0</v>
      </c>
      <c r="AB17" s="325"/>
      <c r="AC17" s="325">
        <v>0</v>
      </c>
      <c r="AD17" s="325">
        <v>0</v>
      </c>
    </row>
    <row r="18" spans="1:30" s="326" customFormat="1" ht="48.6" hidden="1" thickTop="1" thickBot="1" x14ac:dyDescent="0.25">
      <c r="A18" s="319">
        <v>1</v>
      </c>
      <c r="B18" s="354">
        <v>38675494</v>
      </c>
      <c r="C18" s="358">
        <v>0</v>
      </c>
      <c r="D18" s="632">
        <v>0</v>
      </c>
      <c r="E18" s="211" t="s">
        <v>32</v>
      </c>
      <c r="F18" s="353" t="s">
        <v>264</v>
      </c>
      <c r="G18" s="79">
        <f>+'Cambio del dia'!G37</f>
        <v>36.624299999999998</v>
      </c>
      <c r="H18" s="216">
        <v>0</v>
      </c>
      <c r="I18" s="321">
        <v>0</v>
      </c>
      <c r="J18" s="631">
        <v>0</v>
      </c>
      <c r="K18" s="628">
        <v>0</v>
      </c>
      <c r="L18" s="328">
        <f t="shared" si="1"/>
        <v>0</v>
      </c>
      <c r="M18" s="584">
        <f t="shared" si="2"/>
        <v>0</v>
      </c>
      <c r="N18" s="328">
        <v>1</v>
      </c>
      <c r="O18" s="585">
        <f t="shared" si="3"/>
        <v>0</v>
      </c>
      <c r="P18" s="585">
        <f t="shared" si="4"/>
        <v>0</v>
      </c>
      <c r="Q18" s="585">
        <f t="shared" si="5"/>
        <v>0</v>
      </c>
      <c r="R18" s="583">
        <f t="shared" si="6"/>
        <v>0</v>
      </c>
      <c r="S18" s="588">
        <f t="shared" si="7"/>
        <v>0</v>
      </c>
      <c r="T18" s="583"/>
      <c r="U18" s="583"/>
      <c r="V18" s="583"/>
      <c r="W18" s="585">
        <f t="shared" si="8"/>
        <v>0</v>
      </c>
      <c r="X18" s="585">
        <f t="shared" si="9"/>
        <v>0</v>
      </c>
      <c r="Y18" s="324">
        <v>0</v>
      </c>
      <c r="Z18" s="324">
        <v>0</v>
      </c>
      <c r="AA18" s="630">
        <f t="shared" si="10"/>
        <v>0</v>
      </c>
      <c r="AB18" s="325"/>
      <c r="AC18" s="325">
        <v>0</v>
      </c>
      <c r="AD18" s="325">
        <v>0</v>
      </c>
    </row>
    <row r="19" spans="1:30" s="7" customFormat="1" ht="75" customHeight="1" thickTop="1" thickBot="1" x14ac:dyDescent="0.25">
      <c r="A19" s="1162" t="s">
        <v>95</v>
      </c>
      <c r="B19" s="1163"/>
      <c r="C19" s="1163"/>
      <c r="D19" s="1164"/>
      <c r="E19" s="215"/>
      <c r="F19" s="215">
        <f>SUM(F18)</f>
        <v>0</v>
      </c>
      <c r="G19" s="215">
        <f>SUM(G18:G18)</f>
        <v>36.624299999999998</v>
      </c>
      <c r="H19" s="215">
        <f>SUM(H18:H18)</f>
        <v>0</v>
      </c>
      <c r="I19" s="215">
        <v>9000</v>
      </c>
      <c r="J19" s="215">
        <f>SUM(J18:J18)</f>
        <v>0</v>
      </c>
      <c r="K19" s="215">
        <f>SUM(K18:K18)</f>
        <v>0</v>
      </c>
      <c r="L19" s="215">
        <f>SUM(L18:L18)</f>
        <v>0</v>
      </c>
      <c r="M19" s="215">
        <f>SUM(M18:M18)</f>
        <v>0</v>
      </c>
      <c r="N19" s="215">
        <f>SUM(N18)</f>
        <v>1</v>
      </c>
      <c r="O19" s="215">
        <f t="shared" ref="O19:Z19" si="43">SUM(O9:O18)</f>
        <v>0</v>
      </c>
      <c r="P19" s="215">
        <f t="shared" si="43"/>
        <v>0</v>
      </c>
      <c r="Q19" s="215">
        <f t="shared" si="43"/>
        <v>0</v>
      </c>
      <c r="R19" s="215">
        <f t="shared" si="43"/>
        <v>0</v>
      </c>
      <c r="S19" s="215">
        <f t="shared" si="43"/>
        <v>0</v>
      </c>
      <c r="T19" s="215">
        <f t="shared" si="43"/>
        <v>0</v>
      </c>
      <c r="U19" s="215">
        <f t="shared" si="43"/>
        <v>0</v>
      </c>
      <c r="V19" s="215">
        <f t="shared" si="43"/>
        <v>0</v>
      </c>
      <c r="W19" s="215">
        <f t="shared" si="43"/>
        <v>0</v>
      </c>
      <c r="X19" s="714">
        <f>SUM(X9:X18)</f>
        <v>0</v>
      </c>
      <c r="Y19" s="215">
        <f t="shared" si="43"/>
        <v>0</v>
      </c>
      <c r="Z19" s="215">
        <f t="shared" si="43"/>
        <v>0</v>
      </c>
      <c r="AA19" s="663">
        <f>SUM(AA9:AA18)</f>
        <v>0</v>
      </c>
      <c r="AB19" s="87" t="s">
        <v>105</v>
      </c>
      <c r="AC19" s="86">
        <f>SUM(AC18:AC18)</f>
        <v>0</v>
      </c>
      <c r="AD19" s="86">
        <f>SUM(AD18:AD18)</f>
        <v>0</v>
      </c>
    </row>
    <row r="20" spans="1:30" s="14" customFormat="1" ht="19.5" customHeight="1" thickTop="1" x14ac:dyDescent="0.2">
      <c r="A20" s="27"/>
      <c r="B20" s="27"/>
      <c r="C20" s="27"/>
      <c r="D20" s="27"/>
      <c r="E20" s="27"/>
      <c r="F20" s="28"/>
      <c r="G20" s="613"/>
      <c r="H20" s="28"/>
      <c r="I20" s="27"/>
      <c r="J20" s="27"/>
      <c r="K20" s="29"/>
      <c r="L20" s="29"/>
      <c r="M20" s="29"/>
      <c r="N20" s="29"/>
      <c r="O20" s="27" t="s">
        <v>5</v>
      </c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s="14" customFormat="1" ht="19.5" hidden="1" customHeight="1" thickTop="1" x14ac:dyDescent="0.2">
      <c r="A21" s="27"/>
      <c r="B21" s="27"/>
      <c r="C21" s="27"/>
      <c r="D21" s="27"/>
      <c r="E21" s="27"/>
      <c r="F21" s="28"/>
      <c r="G21" s="613"/>
      <c r="H21" s="28">
        <v>10</v>
      </c>
      <c r="I21" s="27"/>
      <c r="J21" s="27"/>
      <c r="K21" s="29"/>
      <c r="L21" s="29"/>
      <c r="M21" s="29"/>
      <c r="N21" s="29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s="14" customFormat="1" ht="19.5" hidden="1" customHeight="1" x14ac:dyDescent="0.2">
      <c r="A22" s="27"/>
      <c r="B22" s="27"/>
      <c r="C22" s="27"/>
      <c r="D22" s="27"/>
      <c r="E22" s="27"/>
      <c r="F22" s="28"/>
      <c r="G22" s="613"/>
      <c r="H22" s="28">
        <v>350</v>
      </c>
      <c r="I22" s="27">
        <v>35.694800000000001</v>
      </c>
      <c r="J22" s="27">
        <f>+H22*I22</f>
        <v>12493.18</v>
      </c>
      <c r="K22" s="29"/>
      <c r="L22" s="29"/>
      <c r="M22" s="29"/>
      <c r="N22" s="29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s="14" customFormat="1" ht="19.5" hidden="1" customHeight="1" x14ac:dyDescent="0.2">
      <c r="A23" s="27"/>
      <c r="B23" s="27"/>
      <c r="C23" s="27"/>
      <c r="D23" s="27"/>
      <c r="E23" s="27"/>
      <c r="F23" s="28"/>
      <c r="G23" s="613"/>
      <c r="H23" s="28"/>
      <c r="I23" s="27"/>
      <c r="J23" s="27">
        <f>+H22/I22</f>
        <v>9.8053497988502532</v>
      </c>
      <c r="K23" s="29">
        <f>9.81*30</f>
        <v>294.3</v>
      </c>
      <c r="L23" s="29"/>
      <c r="M23" s="29"/>
      <c r="N23" s="29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s="14" customFormat="1" ht="19.5" hidden="1" customHeight="1" x14ac:dyDescent="0.2">
      <c r="A24" s="27"/>
      <c r="B24" s="27"/>
      <c r="C24" s="27"/>
      <c r="D24" s="27"/>
      <c r="E24" s="27"/>
      <c r="F24" s="28"/>
      <c r="G24" s="613"/>
      <c r="H24" s="28"/>
      <c r="I24" s="27"/>
      <c r="J24" s="27"/>
      <c r="K24" s="29"/>
      <c r="L24" s="29"/>
      <c r="M24" s="29"/>
      <c r="N24" s="29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s="14" customFormat="1" ht="19.5" hidden="1" customHeight="1" x14ac:dyDescent="0.2">
      <c r="A25" s="27"/>
      <c r="B25" s="27"/>
      <c r="C25" s="27"/>
      <c r="D25" s="27"/>
      <c r="E25" s="27"/>
      <c r="F25" s="28"/>
      <c r="G25" s="613"/>
      <c r="H25" s="28"/>
      <c r="I25" s="27"/>
      <c r="J25" s="27"/>
      <c r="K25" s="29"/>
      <c r="L25" s="29"/>
      <c r="M25" s="29"/>
      <c r="N25" s="29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spans="1:30" s="14" customFormat="1" ht="19.5" hidden="1" customHeight="1" x14ac:dyDescent="0.2">
      <c r="A26" s="27"/>
      <c r="B26" s="27"/>
      <c r="C26" s="27"/>
      <c r="D26" s="27"/>
      <c r="E26" s="27"/>
      <c r="F26" s="28"/>
      <c r="G26" s="613"/>
      <c r="H26" s="28"/>
      <c r="I26" s="27"/>
      <c r="J26" s="27"/>
      <c r="K26" s="29"/>
      <c r="L26" s="29"/>
      <c r="M26" s="29"/>
      <c r="N26" s="29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spans="1:30" s="14" customFormat="1" ht="19.5" customHeight="1" x14ac:dyDescent="0.2">
      <c r="A27" s="27"/>
      <c r="B27" s="27"/>
      <c r="C27" s="27"/>
      <c r="D27" s="27"/>
      <c r="E27" s="27"/>
      <c r="F27" s="28"/>
      <c r="G27" s="613"/>
      <c r="H27" s="28"/>
      <c r="I27" s="27"/>
      <c r="J27" s="27"/>
      <c r="K27" s="29"/>
      <c r="L27" s="29"/>
      <c r="M27" s="29"/>
      <c r="N27" s="29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spans="1:30" s="14" customFormat="1" ht="19.5" customHeight="1" x14ac:dyDescent="0.2">
      <c r="A28" s="27"/>
      <c r="B28" s="27"/>
      <c r="C28" s="27"/>
      <c r="D28" s="27"/>
      <c r="E28" s="27"/>
      <c r="F28" s="28"/>
      <c r="G28" s="613"/>
      <c r="H28" s="67"/>
      <c r="I28" s="338"/>
      <c r="J28" s="27"/>
      <c r="K28" s="29"/>
      <c r="L28" s="29"/>
      <c r="M28" s="29"/>
      <c r="N28" s="29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spans="1:30" s="11" customFormat="1" x14ac:dyDescent="0.2">
      <c r="A29" s="27"/>
      <c r="B29" s="27"/>
      <c r="C29" s="27"/>
      <c r="D29" s="27"/>
      <c r="E29" s="27"/>
      <c r="F29" s="28"/>
      <c r="G29" s="613"/>
      <c r="H29" s="28"/>
      <c r="I29" s="27"/>
      <c r="J29" s="27"/>
      <c r="K29" s="29"/>
      <c r="L29" s="29"/>
      <c r="M29" s="29"/>
      <c r="N29" s="29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spans="1:30" s="11" customFormat="1" x14ac:dyDescent="0.2">
      <c r="A30" s="30"/>
      <c r="B30" s="27"/>
      <c r="C30" s="30"/>
      <c r="D30" s="27"/>
      <c r="E30" s="27"/>
      <c r="F30" s="28"/>
      <c r="G30" s="613"/>
      <c r="H30" s="28"/>
      <c r="I30" s="27"/>
      <c r="J30" s="27"/>
      <c r="K30" s="29"/>
      <c r="L30" s="29"/>
      <c r="M30" s="29"/>
      <c r="N30" s="29"/>
      <c r="O30" s="30"/>
      <c r="P30" s="30"/>
      <c r="Q30" s="30"/>
      <c r="R30" s="27"/>
      <c r="S30" s="27"/>
      <c r="T30" s="27"/>
      <c r="U30" s="27"/>
      <c r="V30" s="31"/>
      <c r="W30" s="27"/>
      <c r="X30" s="27"/>
      <c r="Y30" s="27"/>
      <c r="Z30" s="27"/>
      <c r="AA30" s="30"/>
      <c r="AB30" s="27"/>
      <c r="AC30" s="27"/>
      <c r="AD30" s="27"/>
    </row>
    <row r="31" spans="1:30" s="11" customFormat="1" x14ac:dyDescent="0.2">
      <c r="A31" s="30"/>
      <c r="B31" s="27"/>
      <c r="C31" s="30"/>
      <c r="D31" s="27"/>
      <c r="E31" s="27"/>
      <c r="F31" s="28"/>
      <c r="G31" s="613"/>
      <c r="H31" s="28"/>
      <c r="I31" s="27"/>
      <c r="J31" s="27"/>
      <c r="K31" s="29"/>
      <c r="L31" s="29"/>
      <c r="M31" s="29"/>
      <c r="N31" s="29"/>
      <c r="O31" s="30"/>
      <c r="P31" s="30"/>
      <c r="Q31" s="30"/>
      <c r="R31" s="27"/>
      <c r="S31" s="27"/>
      <c r="T31" s="27"/>
      <c r="U31" s="27"/>
      <c r="V31" s="32"/>
      <c r="W31" s="27"/>
      <c r="X31" s="27"/>
      <c r="Y31" s="27"/>
      <c r="Z31" s="27"/>
      <c r="AA31" s="30"/>
      <c r="AB31" s="27"/>
      <c r="AC31" s="27"/>
      <c r="AD31" s="27"/>
    </row>
    <row r="32" spans="1:30" s="11" customFormat="1" x14ac:dyDescent="0.2">
      <c r="A32" s="30"/>
      <c r="B32" s="27"/>
      <c r="C32" s="1165"/>
      <c r="D32" s="1165"/>
      <c r="E32" s="1165"/>
      <c r="F32" s="1165"/>
      <c r="G32" s="614"/>
      <c r="H32" s="49"/>
      <c r="I32" s="27"/>
      <c r="J32" s="27"/>
      <c r="K32" s="1166"/>
      <c r="L32" s="1166"/>
      <c r="M32" s="1166"/>
      <c r="N32" s="1166"/>
      <c r="O32" s="1166"/>
      <c r="P32" s="1166"/>
      <c r="Q32" s="1166"/>
      <c r="R32" s="1166"/>
      <c r="S32" s="1166"/>
      <c r="T32" s="1166"/>
      <c r="U32" s="1166"/>
      <c r="V32" s="1166"/>
      <c r="W32" s="1166"/>
      <c r="X32" s="29"/>
      <c r="Y32" s="27"/>
      <c r="Z32" s="27"/>
      <c r="AA32" s="1165"/>
      <c r="AB32" s="1165"/>
      <c r="AC32" s="1165"/>
      <c r="AD32" s="1165"/>
    </row>
    <row r="33" spans="1:30" s="11" customFormat="1" ht="13.5" customHeight="1" x14ac:dyDescent="0.2">
      <c r="A33" s="27"/>
      <c r="B33" s="27"/>
      <c r="C33" s="1167" t="s">
        <v>23</v>
      </c>
      <c r="D33" s="1167"/>
      <c r="E33" s="1167"/>
      <c r="F33" s="1167"/>
      <c r="G33" s="674"/>
      <c r="H33" s="52"/>
      <c r="I33" s="27"/>
      <c r="J33" s="27"/>
      <c r="K33" s="1167" t="s">
        <v>24</v>
      </c>
      <c r="L33" s="1167"/>
      <c r="M33" s="1167"/>
      <c r="N33" s="1167"/>
      <c r="O33" s="1167"/>
      <c r="P33" s="1167"/>
      <c r="Q33" s="1167"/>
      <c r="R33" s="1167"/>
      <c r="S33" s="1167"/>
      <c r="T33" s="1167"/>
      <c r="U33" s="1167"/>
      <c r="V33" s="1167"/>
      <c r="W33" s="1167"/>
      <c r="X33" s="52"/>
      <c r="Y33" s="27"/>
      <c r="Z33" s="27"/>
      <c r="AA33" s="1167" t="s">
        <v>25</v>
      </c>
      <c r="AB33" s="1167"/>
      <c r="AC33" s="1167"/>
      <c r="AD33" s="1167"/>
    </row>
    <row r="34" spans="1:30" s="11" customFormat="1" x14ac:dyDescent="0.2">
      <c r="A34" s="30"/>
      <c r="B34" s="27"/>
      <c r="C34" s="1159" t="str">
        <f>+'ADMON COM. '!C50:F50</f>
        <v>Jose Martin Conrrado</v>
      </c>
      <c r="D34" s="1159"/>
      <c r="E34" s="1159"/>
      <c r="F34" s="1159"/>
      <c r="G34" s="675"/>
      <c r="H34" s="48"/>
      <c r="I34" s="27"/>
      <c r="J34" s="30"/>
      <c r="K34" s="1159" t="s">
        <v>296</v>
      </c>
      <c r="L34" s="1159"/>
      <c r="M34" s="1159"/>
      <c r="N34" s="1159"/>
      <c r="O34" s="1159"/>
      <c r="P34" s="1159"/>
      <c r="Q34" s="1159"/>
      <c r="R34" s="1159"/>
      <c r="S34" s="1159"/>
      <c r="T34" s="1159"/>
      <c r="U34" s="1159"/>
      <c r="V34" s="1159"/>
      <c r="W34" s="1159"/>
      <c r="X34" s="48"/>
      <c r="Y34" s="33"/>
      <c r="Z34" s="33"/>
      <c r="AA34" s="1160" t="s">
        <v>27</v>
      </c>
      <c r="AB34" s="1160"/>
      <c r="AC34" s="1160"/>
      <c r="AD34" s="1160"/>
    </row>
    <row r="35" spans="1:30" s="11" customFormat="1" x14ac:dyDescent="0.2">
      <c r="A35" s="8"/>
      <c r="B35" s="8"/>
      <c r="C35" s="1161"/>
      <c r="D35" s="1161"/>
      <c r="E35" s="25"/>
      <c r="F35" s="25"/>
      <c r="G35" s="671"/>
      <c r="H35" s="25"/>
      <c r="I35" s="8"/>
      <c r="J35" s="8"/>
      <c r="K35" s="9"/>
      <c r="L35" s="9"/>
      <c r="M35" s="9"/>
      <c r="N35" s="9"/>
      <c r="O35" s="1161"/>
      <c r="P35" s="1161"/>
      <c r="Q35" s="1161"/>
      <c r="R35" s="1161"/>
      <c r="S35" s="1161"/>
      <c r="T35" s="1161"/>
      <c r="U35" s="1161"/>
      <c r="V35" s="25"/>
      <c r="W35" s="25"/>
      <c r="X35" s="25"/>
      <c r="Y35" s="25"/>
      <c r="Z35" s="25"/>
      <c r="AA35" s="8"/>
      <c r="AB35" s="8"/>
      <c r="AC35" s="8"/>
      <c r="AD35" s="8"/>
    </row>
    <row r="36" spans="1:30" x14ac:dyDescent="0.2">
      <c r="A36" s="3"/>
      <c r="B36" s="3"/>
      <c r="C36" s="3"/>
      <c r="D36" s="3"/>
      <c r="E36" s="3"/>
      <c r="F36" s="4"/>
      <c r="G36" s="615"/>
      <c r="H36" s="685"/>
      <c r="I36" s="3"/>
      <c r="J36" s="3"/>
      <c r="K36" s="2"/>
      <c r="L36" s="2"/>
      <c r="M36" s="2"/>
      <c r="N36" s="2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s="3"/>
      <c r="B37" s="3"/>
      <c r="C37" s="3"/>
      <c r="D37" s="3"/>
      <c r="E37" s="3"/>
      <c r="F37" s="4"/>
      <c r="G37" s="615"/>
      <c r="H37" s="685"/>
      <c r="I37" s="3"/>
      <c r="J37" s="3"/>
      <c r="K37" s="2"/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s="3"/>
      <c r="B38" s="3"/>
      <c r="C38" s="3"/>
      <c r="D38" s="3"/>
      <c r="E38" s="3"/>
      <c r="F38" s="4"/>
      <c r="G38" s="615"/>
      <c r="H38" s="685"/>
      <c r="I38" s="3"/>
      <c r="J38" s="3"/>
      <c r="K38" s="2"/>
      <c r="L38" s="2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s="3"/>
      <c r="B39" s="3"/>
      <c r="C39" s="3"/>
      <c r="D39" s="3"/>
      <c r="E39" s="3"/>
      <c r="F39" s="4"/>
      <c r="G39" s="615"/>
      <c r="H39" s="685"/>
      <c r="I39" s="3"/>
      <c r="J39" s="3"/>
      <c r="K39" s="2"/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s="3"/>
      <c r="B40" s="3"/>
      <c r="C40" s="3"/>
      <c r="D40" s="3"/>
      <c r="E40" s="3"/>
      <c r="F40" s="4"/>
      <c r="G40" s="615"/>
      <c r="H40" s="685"/>
      <c r="I40" s="3"/>
      <c r="J40" s="3"/>
      <c r="K40" s="2"/>
      <c r="L40" s="2"/>
      <c r="M40" s="2"/>
      <c r="N40" s="2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s="3"/>
      <c r="B41" s="3"/>
      <c r="C41" s="3"/>
      <c r="D41" s="3"/>
      <c r="E41" s="3"/>
      <c r="F41" s="4"/>
      <c r="G41" s="615"/>
      <c r="H41" s="685"/>
      <c r="I41" s="3"/>
      <c r="J41" s="3"/>
      <c r="K41" s="2"/>
      <c r="L41" s="2"/>
      <c r="M41" s="2"/>
      <c r="N41" s="2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H42" s="686"/>
    </row>
    <row r="43" spans="1:30" x14ac:dyDescent="0.2">
      <c r="H43" s="686"/>
    </row>
    <row r="44" spans="1:30" x14ac:dyDescent="0.2">
      <c r="H44" s="686"/>
    </row>
    <row r="45" spans="1:30" x14ac:dyDescent="0.2">
      <c r="H45" s="686"/>
    </row>
    <row r="46" spans="1:30" x14ac:dyDescent="0.2">
      <c r="H46" s="686"/>
    </row>
    <row r="47" spans="1:30" x14ac:dyDescent="0.2">
      <c r="H47" s="686"/>
    </row>
    <row r="48" spans="1:30" x14ac:dyDescent="0.2">
      <c r="H48" s="686"/>
    </row>
    <row r="52" spans="1:30" x14ac:dyDescent="0.2">
      <c r="A52" s="3"/>
      <c r="B52" s="3"/>
      <c r="C52" s="3"/>
      <c r="D52" s="3"/>
      <c r="E52" s="3"/>
      <c r="F52" s="4"/>
      <c r="G52" s="615"/>
      <c r="H52" s="615"/>
      <c r="I52" s="3"/>
      <c r="J52" s="3"/>
      <c r="K52" s="2"/>
      <c r="L52" s="2"/>
      <c r="M52" s="2"/>
      <c r="N52" s="2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3"/>
      <c r="B53" s="3"/>
      <c r="C53" s="3"/>
      <c r="D53" s="3"/>
      <c r="E53" s="3"/>
      <c r="F53" s="4"/>
      <c r="G53" s="615"/>
      <c r="H53" s="615"/>
      <c r="I53" s="3"/>
      <c r="J53" s="3"/>
      <c r="K53" s="2"/>
      <c r="L53" s="2"/>
      <c r="M53" s="2"/>
      <c r="N53" s="2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s="3"/>
      <c r="B54" s="3"/>
      <c r="C54" s="3"/>
      <c r="D54" s="3"/>
      <c r="E54" s="3"/>
      <c r="F54" s="4"/>
      <c r="G54" s="615"/>
      <c r="H54" s="615"/>
      <c r="I54" s="3"/>
      <c r="J54" s="3"/>
      <c r="K54" s="2"/>
      <c r="L54" s="2"/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s="3"/>
      <c r="B55" s="3"/>
      <c r="C55" s="3"/>
      <c r="D55" s="3"/>
      <c r="E55" s="3"/>
      <c r="F55" s="4"/>
      <c r="G55" s="615"/>
      <c r="H55" s="615"/>
      <c r="I55" s="3"/>
      <c r="J55" s="3"/>
      <c r="K55" s="2"/>
      <c r="L55" s="2"/>
      <c r="M55" s="2"/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</sheetData>
  <protectedRanges>
    <protectedRange sqref="D9:D18" name="Nomina_2_1_2"/>
  </protectedRanges>
  <mergeCells count="47">
    <mergeCell ref="A2:AD2"/>
    <mergeCell ref="A3:AD3"/>
    <mergeCell ref="A4:AD4"/>
    <mergeCell ref="A6:A8"/>
    <mergeCell ref="B6:B8"/>
    <mergeCell ref="C6:C8"/>
    <mergeCell ref="D6:D8"/>
    <mergeCell ref="E6:E8"/>
    <mergeCell ref="F6:F8"/>
    <mergeCell ref="AD6:AD8"/>
    <mergeCell ref="G6:G8"/>
    <mergeCell ref="H6:H8"/>
    <mergeCell ref="I6:I8"/>
    <mergeCell ref="J6:O6"/>
    <mergeCell ref="R6:W6"/>
    <mergeCell ref="X6:X8"/>
    <mergeCell ref="U7:U8"/>
    <mergeCell ref="V7:V8"/>
    <mergeCell ref="W7:W8"/>
    <mergeCell ref="R7:R8"/>
    <mergeCell ref="S7:S8"/>
    <mergeCell ref="T7:T8"/>
    <mergeCell ref="Y6:Y8"/>
    <mergeCell ref="Z6:Z8"/>
    <mergeCell ref="AA6:AA8"/>
    <mergeCell ref="AB6:AB8"/>
    <mergeCell ref="AC6:AC8"/>
    <mergeCell ref="A19:D19"/>
    <mergeCell ref="N7:N8"/>
    <mergeCell ref="O7:O8"/>
    <mergeCell ref="P7:P8"/>
    <mergeCell ref="Q7:Q8"/>
    <mergeCell ref="J7:J8"/>
    <mergeCell ref="K7:K8"/>
    <mergeCell ref="L7:L8"/>
    <mergeCell ref="M7:M8"/>
    <mergeCell ref="C35:D35"/>
    <mergeCell ref="O35:U35"/>
    <mergeCell ref="AA32:AD32"/>
    <mergeCell ref="C33:F33"/>
    <mergeCell ref="K33:W33"/>
    <mergeCell ref="AA33:AD33"/>
    <mergeCell ref="C34:F34"/>
    <mergeCell ref="K34:W34"/>
    <mergeCell ref="AA34:AD34"/>
    <mergeCell ref="C32:F32"/>
    <mergeCell ref="K32:W32"/>
  </mergeCells>
  <printOptions horizontalCentered="1" verticalCentered="1"/>
  <pageMargins left="0" right="0" top="0" bottom="0" header="0" footer="0"/>
  <pageSetup paperSize="5" scale="59" fitToHeight="0" orientation="landscape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91A9-85D8-4A40-8CCE-286BC3D1D570}">
  <sheetPr>
    <tabColor rgb="FFCCFFFF"/>
  </sheetPr>
  <dimension ref="A2:F21"/>
  <sheetViews>
    <sheetView workbookViewId="0">
      <selection activeCell="A16" sqref="A16"/>
    </sheetView>
  </sheetViews>
  <sheetFormatPr baseColWidth="10" defaultRowHeight="10.199999999999999" x14ac:dyDescent="0.2"/>
  <cols>
    <col min="1" max="1" width="44.85546875" customWidth="1"/>
    <col min="2" max="2" width="31.85546875" customWidth="1"/>
    <col min="3" max="3" width="31.140625" customWidth="1"/>
    <col min="4" max="4" width="27" customWidth="1"/>
    <col min="5" max="5" width="32.28515625" customWidth="1"/>
    <col min="6" max="6" width="51.85546875" customWidth="1"/>
  </cols>
  <sheetData>
    <row r="2" spans="1:6" ht="24.6" x14ac:dyDescent="0.4">
      <c r="A2" s="1431" t="s">
        <v>0</v>
      </c>
      <c r="B2" s="1431"/>
      <c r="C2" s="1431"/>
      <c r="D2" s="1431"/>
      <c r="E2" s="1431"/>
      <c r="F2" s="1431"/>
    </row>
    <row r="3" spans="1:6" ht="24.6" x14ac:dyDescent="0.4">
      <c r="A3" s="1431" t="str">
        <f>+ADMON!A5</f>
        <v>QUINCENA DEL 16  AL 30  DE ABRIL - 2026</v>
      </c>
      <c r="B3" s="1431"/>
      <c r="C3" s="1431"/>
      <c r="D3" s="1431"/>
      <c r="E3" s="1431"/>
      <c r="F3" s="1431"/>
    </row>
    <row r="4" spans="1:6" ht="24.6" x14ac:dyDescent="0.4">
      <c r="A4" s="1431" t="s">
        <v>333</v>
      </c>
      <c r="B4" s="1431"/>
      <c r="C4" s="1431"/>
      <c r="D4" s="1431"/>
      <c r="E4" s="1431"/>
      <c r="F4" s="1431"/>
    </row>
    <row r="6" spans="1:6" ht="10.8" thickBot="1" x14ac:dyDescent="0.25"/>
    <row r="7" spans="1:6" ht="33.450000000000003" customHeight="1" x14ac:dyDescent="0.2">
      <c r="A7" s="1440" t="s">
        <v>6</v>
      </c>
      <c r="B7" s="1441"/>
      <c r="C7" s="656" t="s">
        <v>388</v>
      </c>
      <c r="D7" s="730" t="s">
        <v>114</v>
      </c>
      <c r="E7" s="730" t="s">
        <v>73</v>
      </c>
      <c r="F7" s="657" t="s">
        <v>302</v>
      </c>
    </row>
    <row r="8" spans="1:6" ht="33.450000000000003" customHeight="1" x14ac:dyDescent="0.2">
      <c r="A8" s="1433" t="str">
        <f>+'Cambio del dia'!D48</f>
        <v>PEDRO JOAQUIN HUETE</v>
      </c>
      <c r="B8" s="1434"/>
      <c r="C8" s="662">
        <f>+'Cambio del dia'!U48</f>
        <v>9339.2000000000007</v>
      </c>
      <c r="D8" s="731"/>
      <c r="E8" s="731">
        <f>C8-D8</f>
        <v>9339.2000000000007</v>
      </c>
      <c r="F8" s="661"/>
    </row>
    <row r="9" spans="1:6" ht="33" customHeight="1" x14ac:dyDescent="0.2">
      <c r="A9" s="1435" t="str">
        <f>+'Cambio del dia'!D49</f>
        <v>YEMIN DAVID GUTIERREZ MORENO</v>
      </c>
      <c r="B9" s="1436"/>
      <c r="C9" s="662">
        <f>+'Cambio del dia'!U49</f>
        <v>3334.2762720000001</v>
      </c>
      <c r="D9" s="1049">
        <v>0</v>
      </c>
      <c r="E9" s="731">
        <f t="shared" ref="E9:E13" si="0">C9-D9</f>
        <v>3334.2762720000001</v>
      </c>
      <c r="F9" s="659"/>
    </row>
    <row r="10" spans="1:6" ht="33" customHeight="1" x14ac:dyDescent="0.2">
      <c r="A10" s="1435" t="str">
        <f>+'Cambio del dia'!D50</f>
        <v>JOAQUIN ENRRIQUE CASTILLO CARCACHE</v>
      </c>
      <c r="B10" s="1436"/>
      <c r="C10" s="662">
        <f>+'Cambio del dia'!U50</f>
        <v>6409.2524999999996</v>
      </c>
      <c r="D10" s="1049"/>
      <c r="E10" s="731">
        <f t="shared" ref="E10:E12" si="1">C10-D10</f>
        <v>6409.2524999999996</v>
      </c>
      <c r="F10" s="659"/>
    </row>
    <row r="11" spans="1:6" ht="33" customHeight="1" x14ac:dyDescent="0.2">
      <c r="A11" s="1435" t="str">
        <f>+'Cambio del dia'!D51</f>
        <v>LUIS FERNANDO PALACIOS RIOS</v>
      </c>
      <c r="B11" s="1436"/>
      <c r="C11" s="662">
        <f>+'Cambio del dia'!U51</f>
        <v>6409.2524999999996</v>
      </c>
      <c r="D11" s="1049"/>
      <c r="E11" s="731">
        <f t="shared" si="1"/>
        <v>6409.2524999999996</v>
      </c>
      <c r="F11" s="659"/>
    </row>
    <row r="12" spans="1:6" ht="33" customHeight="1" x14ac:dyDescent="0.2">
      <c r="A12" s="1094" t="str">
        <f>'Cambio del dia'!D52</f>
        <v>MARTIN CONRRADO RIZO</v>
      </c>
      <c r="B12" s="1095"/>
      <c r="C12" s="662">
        <f>'Cambio del dia'!L52</f>
        <v>6000.0034157249993</v>
      </c>
      <c r="D12" s="1049"/>
      <c r="E12" s="731">
        <f t="shared" si="1"/>
        <v>6000.0034157249993</v>
      </c>
      <c r="F12" s="659"/>
    </row>
    <row r="13" spans="1:6" ht="33" customHeight="1" x14ac:dyDescent="0.2">
      <c r="A13" s="1435" t="str">
        <f>+'Cambio del dia'!D53</f>
        <v>NELLY DEL CARMEN  SOBALVARRO THOMAS</v>
      </c>
      <c r="B13" s="1436"/>
      <c r="C13" s="662">
        <f>+'Cambio del dia'!U53</f>
        <v>5474.9995688700001</v>
      </c>
      <c r="D13" s="1049"/>
      <c r="E13" s="731">
        <f t="shared" si="0"/>
        <v>5474.9995688700001</v>
      </c>
      <c r="F13" s="659"/>
    </row>
    <row r="14" spans="1:6" ht="34.200000000000003" customHeight="1" thickBot="1" x14ac:dyDescent="0.45">
      <c r="A14" s="1442" t="s">
        <v>140</v>
      </c>
      <c r="B14" s="1443"/>
      <c r="C14" s="658">
        <f>SUM(C8:C13)</f>
        <v>36966.984256594995</v>
      </c>
      <c r="D14" s="658">
        <f t="shared" ref="D14:E14" si="2">SUM(D8:D13)</f>
        <v>0</v>
      </c>
      <c r="E14" s="658">
        <f t="shared" si="2"/>
        <v>36966.984256594995</v>
      </c>
      <c r="F14" s="746" t="s">
        <v>303</v>
      </c>
    </row>
    <row r="18" spans="1:6" x14ac:dyDescent="0.2">
      <c r="A18" s="1438"/>
      <c r="B18" s="1438"/>
      <c r="C18" s="1438"/>
      <c r="D18" s="1438"/>
      <c r="E18" s="1438"/>
      <c r="F18" s="1438"/>
    </row>
    <row r="19" spans="1:6" x14ac:dyDescent="0.2">
      <c r="A19" s="1439"/>
      <c r="B19" s="1439"/>
      <c r="C19" s="1439"/>
      <c r="D19" s="1439"/>
      <c r="E19" s="1439"/>
      <c r="F19" s="1439"/>
    </row>
    <row r="20" spans="1:6" ht="13.2" x14ac:dyDescent="0.25">
      <c r="A20" s="1432" t="s">
        <v>304</v>
      </c>
      <c r="B20" s="1432"/>
      <c r="C20" s="1432"/>
      <c r="D20" s="1432"/>
      <c r="E20" s="1432"/>
      <c r="F20" s="1432"/>
    </row>
    <row r="21" spans="1:6" ht="13.2" x14ac:dyDescent="0.25">
      <c r="A21" s="1437" t="s">
        <v>305</v>
      </c>
      <c r="B21" s="1437"/>
      <c r="C21" s="1437"/>
      <c r="D21" s="1437"/>
      <c r="E21" s="1437"/>
      <c r="F21" s="1437"/>
    </row>
  </sheetData>
  <mergeCells count="13">
    <mergeCell ref="A21:F21"/>
    <mergeCell ref="A18:F19"/>
    <mergeCell ref="A7:B7"/>
    <mergeCell ref="A14:B14"/>
    <mergeCell ref="A9:B9"/>
    <mergeCell ref="A13:B13"/>
    <mergeCell ref="A11:B11"/>
    <mergeCell ref="A2:F2"/>
    <mergeCell ref="A3:F3"/>
    <mergeCell ref="A4:F4"/>
    <mergeCell ref="A20:F20"/>
    <mergeCell ref="A8:B8"/>
    <mergeCell ref="A10:B10"/>
  </mergeCells>
  <pageMargins left="0.59055118110236227" right="0.70866141732283472" top="0.74803149606299213" bottom="0.74803149606299213" header="0.31496062992125984" footer="0.31496062992125984"/>
  <pageSetup paperSize="5" scale="8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71C2-A8EC-4787-9474-69582BF898F4}">
  <sheetPr transitionEvaluation="1">
    <tabColor rgb="FF00B0F0"/>
  </sheetPr>
  <dimension ref="A1:AI50"/>
  <sheetViews>
    <sheetView showGridLines="0" topLeftCell="O2" zoomScale="130" zoomScaleNormal="130" workbookViewId="0">
      <selection activeCell="AH11" sqref="AH11"/>
    </sheetView>
  </sheetViews>
  <sheetFormatPr baseColWidth="10" defaultColWidth="9.85546875" defaultRowHeight="14.4" x14ac:dyDescent="0.2"/>
  <cols>
    <col min="1" max="1" width="5.140625" style="1" customWidth="1"/>
    <col min="2" max="3" width="5.85546875" style="1" customWidth="1"/>
    <col min="4" max="4" width="28.28515625" style="1" customWidth="1"/>
    <col min="5" max="5" width="5.28515625" style="1" customWidth="1"/>
    <col min="6" max="6" width="7.42578125" style="5" bestFit="1" customWidth="1"/>
    <col min="7" max="7" width="13.28515625" style="575" customWidth="1"/>
    <col min="8" max="9" width="14.42578125" style="1" bestFit="1" customWidth="1"/>
    <col min="10" max="10" width="8.85546875" style="6" customWidth="1"/>
    <col min="11" max="12" width="10.7109375" style="6" hidden="1" customWidth="1"/>
    <col min="13" max="13" width="8.85546875" style="6" hidden="1" customWidth="1"/>
    <col min="14" max="14" width="14.42578125" style="1" bestFit="1" customWidth="1"/>
    <col min="15" max="15" width="12" style="1" bestFit="1" customWidth="1"/>
    <col min="16" max="16" width="11.28515625" style="1" bestFit="1" customWidth="1"/>
    <col min="17" max="17" width="14.42578125" style="1" customWidth="1"/>
    <col min="18" max="18" width="14.42578125" style="1" hidden="1" customWidth="1"/>
    <col min="19" max="19" width="11.28515625" style="1" customWidth="1"/>
    <col min="20" max="20" width="7.7109375" style="1" hidden="1" customWidth="1"/>
    <col min="21" max="21" width="11.7109375" style="619" hidden="1" customWidth="1"/>
    <col min="22" max="22" width="14.85546875" style="1" customWidth="1"/>
    <col min="23" max="23" width="16.85546875" style="1" bestFit="1" customWidth="1"/>
    <col min="24" max="24" width="13.42578125" style="1" hidden="1" customWidth="1"/>
    <col min="25" max="25" width="11.7109375" style="1" customWidth="1"/>
    <col min="26" max="26" width="19.28515625" style="1" customWidth="1"/>
    <col min="27" max="27" width="45.140625" style="1" customWidth="1"/>
    <col min="28" max="28" width="8.85546875" style="1" hidden="1" customWidth="1"/>
    <col min="29" max="29" width="15.42578125" style="1" hidden="1" customWidth="1"/>
    <col min="30" max="30" width="14.42578125" style="1" customWidth="1"/>
    <col min="31" max="32" width="12" style="1" hidden="1" customWidth="1"/>
    <col min="33" max="33" width="12" style="1" bestFit="1" customWidth="1"/>
    <col min="34" max="34" width="17.140625" style="1" bestFit="1" customWidth="1"/>
    <col min="35" max="36" width="1.85546875" style="1" customWidth="1"/>
    <col min="37" max="37" width="13.85546875" style="1" customWidth="1"/>
    <col min="38" max="38" width="6.85546875" style="1" customWidth="1"/>
    <col min="39" max="39" width="5.85546875" style="1" customWidth="1"/>
    <col min="40" max="40" width="7.85546875" style="1" customWidth="1"/>
    <col min="41" max="41" width="1.85546875" style="1" customWidth="1"/>
    <col min="42" max="42" width="38.85546875" style="1" customWidth="1"/>
    <col min="43" max="43" width="3.85546875" style="1" customWidth="1"/>
    <col min="44" max="44" width="8.85546875" style="1" customWidth="1"/>
    <col min="45" max="45" width="1.85546875" style="1" customWidth="1"/>
    <col min="46" max="16384" width="9.85546875" style="1"/>
  </cols>
  <sheetData>
    <row r="1" spans="1:35" s="915" customFormat="1" ht="36" hidden="1" customHeight="1" x14ac:dyDescent="0.2">
      <c r="G1" s="910"/>
      <c r="J1" s="917"/>
      <c r="K1" s="917"/>
      <c r="L1" s="917"/>
      <c r="M1" s="917" t="s">
        <v>278</v>
      </c>
      <c r="U1" s="916"/>
    </row>
    <row r="2" spans="1:35" s="15" customFormat="1" ht="17.25" customHeight="1" x14ac:dyDescent="0.2">
      <c r="A2" s="1444" t="s">
        <v>278</v>
      </c>
      <c r="B2" s="1444"/>
      <c r="C2" s="1444"/>
      <c r="D2" s="1444"/>
      <c r="E2" s="1444"/>
      <c r="F2" s="1444"/>
      <c r="G2" s="1444"/>
      <c r="H2" s="1444"/>
      <c r="I2" s="1444"/>
      <c r="J2" s="1444"/>
      <c r="K2" s="1444"/>
      <c r="L2" s="1444"/>
      <c r="M2" s="1444"/>
      <c r="N2" s="1444"/>
      <c r="O2" s="1444"/>
      <c r="P2" s="1444"/>
      <c r="Q2" s="1444"/>
      <c r="R2" s="1444"/>
      <c r="S2" s="1444"/>
      <c r="T2" s="1444"/>
      <c r="U2" s="1444"/>
      <c r="V2" s="1444"/>
      <c r="W2" s="1444"/>
      <c r="X2" s="1444"/>
      <c r="Y2" s="1444"/>
      <c r="Z2" s="1444"/>
      <c r="AA2" s="1444"/>
      <c r="AB2" s="934"/>
      <c r="AC2" s="934"/>
      <c r="AD2" s="934"/>
      <c r="AE2" s="934"/>
      <c r="AF2" s="934"/>
      <c r="AG2" s="934"/>
      <c r="AH2" s="934"/>
    </row>
    <row r="3" spans="1:35" s="15" customFormat="1" ht="17.25" customHeight="1" x14ac:dyDescent="0.2">
      <c r="A3" s="1331" t="s">
        <v>97</v>
      </c>
      <c r="B3" s="1331"/>
      <c r="C3" s="1331"/>
      <c r="D3" s="1331"/>
      <c r="E3" s="1331"/>
      <c r="F3" s="1331"/>
      <c r="G3" s="1331"/>
      <c r="H3" s="1331"/>
      <c r="I3" s="1331"/>
      <c r="J3" s="1331"/>
      <c r="K3" s="1331"/>
      <c r="L3" s="1331"/>
      <c r="M3" s="1331"/>
      <c r="N3" s="1331"/>
      <c r="O3" s="1331"/>
      <c r="P3" s="1331"/>
      <c r="Q3" s="1331"/>
      <c r="R3" s="1331"/>
      <c r="S3" s="1331"/>
      <c r="T3" s="1331"/>
      <c r="U3" s="1331"/>
      <c r="V3" s="1331"/>
      <c r="W3" s="1331"/>
      <c r="X3" s="1331"/>
      <c r="Y3" s="1331"/>
      <c r="Z3" s="1331"/>
      <c r="AA3" s="1331"/>
      <c r="AB3" s="1331"/>
      <c r="AC3" s="1331"/>
    </row>
    <row r="4" spans="1:35" s="15" customFormat="1" ht="17.25" customHeight="1" x14ac:dyDescent="0.2">
      <c r="A4" s="1331" t="s">
        <v>390</v>
      </c>
      <c r="B4" s="1331"/>
      <c r="C4" s="1331"/>
      <c r="D4" s="1331"/>
      <c r="E4" s="1331"/>
      <c r="F4" s="1331"/>
      <c r="G4" s="1331"/>
      <c r="H4" s="1331"/>
      <c r="I4" s="1331"/>
      <c r="J4" s="1331"/>
      <c r="K4" s="1331"/>
      <c r="L4" s="1331"/>
      <c r="M4" s="1331"/>
      <c r="N4" s="1331"/>
      <c r="O4" s="1331"/>
      <c r="P4" s="1331"/>
      <c r="Q4" s="1331"/>
      <c r="R4" s="1331"/>
      <c r="S4" s="1331"/>
      <c r="T4" s="1331"/>
      <c r="U4" s="1331"/>
      <c r="V4" s="1331"/>
      <c r="W4" s="1331"/>
      <c r="X4" s="1331"/>
      <c r="Y4" s="1331"/>
      <c r="Z4" s="1331"/>
      <c r="AA4" s="1331"/>
      <c r="AB4" s="1331"/>
      <c r="AC4" s="1331"/>
    </row>
    <row r="5" spans="1:35" s="15" customFormat="1" ht="17.25" customHeight="1" x14ac:dyDescent="0.35">
      <c r="A5" s="1332" t="str">
        <f>+ADMON!A5</f>
        <v>QUINCENA DEL 16  AL 30  DE ABRIL - 2026</v>
      </c>
      <c r="B5" s="1332"/>
      <c r="C5" s="1332"/>
      <c r="D5" s="1332"/>
      <c r="E5" s="1332"/>
      <c r="F5" s="1332"/>
      <c r="G5" s="1332"/>
      <c r="H5" s="1332"/>
      <c r="I5" s="1332"/>
      <c r="J5" s="1332"/>
      <c r="K5" s="1332"/>
      <c r="L5" s="1332"/>
      <c r="M5" s="1332"/>
      <c r="N5" s="1332"/>
      <c r="O5" s="1332"/>
      <c r="P5" s="1332"/>
      <c r="Q5" s="1332"/>
      <c r="R5" s="1332"/>
      <c r="S5" s="1332"/>
      <c r="T5" s="1332"/>
      <c r="U5" s="1332"/>
      <c r="V5" s="1332"/>
      <c r="W5" s="1332"/>
      <c r="X5" s="1332"/>
      <c r="Y5" s="1332"/>
      <c r="Z5" s="1332"/>
      <c r="AA5" s="1332"/>
      <c r="AB5" s="547"/>
      <c r="AC5" s="547"/>
    </row>
    <row r="6" spans="1:35" s="15" customFormat="1" ht="18" customHeight="1" thickBot="1" x14ac:dyDescent="0.45">
      <c r="A6" s="547"/>
      <c r="B6" s="548"/>
      <c r="C6" s="547"/>
      <c r="D6" s="547"/>
      <c r="E6" s="547"/>
      <c r="F6" s="547"/>
      <c r="G6" s="547"/>
      <c r="H6" s="547"/>
      <c r="I6" s="547"/>
      <c r="J6" s="547"/>
      <c r="K6" s="547"/>
      <c r="L6" s="547"/>
      <c r="M6" s="547"/>
      <c r="N6" s="547"/>
      <c r="O6" s="547"/>
      <c r="P6" s="547"/>
      <c r="Q6" s="547"/>
      <c r="R6" s="547"/>
      <c r="S6" s="547"/>
      <c r="T6" s="547"/>
      <c r="U6" s="668"/>
      <c r="V6" s="547"/>
      <c r="W6" s="547"/>
      <c r="X6" s="547"/>
      <c r="Y6" s="547"/>
      <c r="Z6" s="547"/>
      <c r="AA6" s="549"/>
      <c r="AB6" s="549"/>
      <c r="AC6" s="549"/>
      <c r="AD6" s="26"/>
      <c r="AE6" s="26"/>
      <c r="AF6" s="26"/>
      <c r="AG6" s="26"/>
      <c r="AH6" s="26"/>
    </row>
    <row r="7" spans="1:35" s="11" customFormat="1" ht="15" customHeight="1" thickTop="1" thickBot="1" x14ac:dyDescent="0.25">
      <c r="A7" s="1143" t="s">
        <v>2</v>
      </c>
      <c r="B7" s="1143" t="s">
        <v>3</v>
      </c>
      <c r="C7" s="1179" t="s">
        <v>4</v>
      </c>
      <c r="D7" s="1143" t="s">
        <v>6</v>
      </c>
      <c r="E7" s="1179" t="s">
        <v>187</v>
      </c>
      <c r="F7" s="1143" t="s">
        <v>7</v>
      </c>
      <c r="G7" s="1143" t="s">
        <v>82</v>
      </c>
      <c r="H7" s="1143" t="s">
        <v>8</v>
      </c>
      <c r="I7" s="1151" t="s">
        <v>9</v>
      </c>
      <c r="J7" s="1151"/>
      <c r="K7" s="1151"/>
      <c r="L7" s="1151"/>
      <c r="M7" s="1151"/>
      <c r="N7" s="1151"/>
      <c r="O7" s="351"/>
      <c r="P7" s="351"/>
      <c r="Q7" s="1143" t="s">
        <v>10</v>
      </c>
      <c r="R7" s="1143"/>
      <c r="S7" s="1143"/>
      <c r="T7" s="1143"/>
      <c r="U7" s="1143"/>
      <c r="V7" s="1143"/>
      <c r="W7" s="1335" t="s">
        <v>29</v>
      </c>
      <c r="X7" s="1157" t="s">
        <v>99</v>
      </c>
      <c r="Y7" s="1157" t="s">
        <v>114</v>
      </c>
      <c r="Z7" s="1143" t="s">
        <v>11</v>
      </c>
      <c r="AA7" s="1173" t="s">
        <v>12</v>
      </c>
      <c r="AB7" s="1143"/>
      <c r="AC7" s="1143"/>
      <c r="AD7" s="1143" t="s">
        <v>13</v>
      </c>
      <c r="AE7" s="1143" t="s">
        <v>282</v>
      </c>
      <c r="AF7" s="1143" t="s">
        <v>53</v>
      </c>
      <c r="AG7" s="1143" t="s">
        <v>14</v>
      </c>
      <c r="AH7" s="1143" t="s">
        <v>15</v>
      </c>
    </row>
    <row r="8" spans="1:35" s="13" customFormat="1" ht="21.75" customHeight="1" thickTop="1" thickBot="1" x14ac:dyDescent="0.25">
      <c r="A8" s="1143"/>
      <c r="B8" s="1143"/>
      <c r="C8" s="1180"/>
      <c r="D8" s="1143"/>
      <c r="E8" s="1180"/>
      <c r="F8" s="1143"/>
      <c r="G8" s="1143"/>
      <c r="H8" s="1143"/>
      <c r="I8" s="1143" t="s">
        <v>177</v>
      </c>
      <c r="J8" s="1155" t="s">
        <v>16</v>
      </c>
      <c r="K8" s="1168" t="s">
        <v>196</v>
      </c>
      <c r="L8" s="1168" t="s">
        <v>197</v>
      </c>
      <c r="M8" s="1333" t="s">
        <v>195</v>
      </c>
      <c r="N8" s="1143" t="s">
        <v>200</v>
      </c>
      <c r="O8" s="1335" t="s">
        <v>199</v>
      </c>
      <c r="P8" s="1335" t="s">
        <v>53</v>
      </c>
      <c r="Q8" s="1143" t="s">
        <v>29</v>
      </c>
      <c r="R8" s="1170"/>
      <c r="S8" s="1335" t="s">
        <v>3</v>
      </c>
      <c r="T8" s="1143" t="s">
        <v>19</v>
      </c>
      <c r="U8" s="1157" t="s">
        <v>94</v>
      </c>
      <c r="V8" s="1143" t="s">
        <v>20</v>
      </c>
      <c r="W8" s="1337"/>
      <c r="X8" s="1157"/>
      <c r="Y8" s="1157"/>
      <c r="Z8" s="1143"/>
      <c r="AA8" s="1173"/>
      <c r="AB8" s="1143"/>
      <c r="AC8" s="1143"/>
      <c r="AD8" s="1143"/>
      <c r="AE8" s="1143"/>
      <c r="AF8" s="1143"/>
      <c r="AG8" s="1143"/>
      <c r="AH8" s="1143"/>
      <c r="AI8" s="12"/>
    </row>
    <row r="9" spans="1:35" s="13" customFormat="1" ht="11.4" thickTop="1" thickBot="1" x14ac:dyDescent="0.25">
      <c r="A9" s="1143"/>
      <c r="B9" s="1143"/>
      <c r="C9" s="1181"/>
      <c r="D9" s="1143"/>
      <c r="E9" s="1181"/>
      <c r="F9" s="1143"/>
      <c r="G9" s="1143"/>
      <c r="H9" s="1143"/>
      <c r="I9" s="1143"/>
      <c r="J9" s="1155"/>
      <c r="K9" s="1169"/>
      <c r="L9" s="1169"/>
      <c r="M9" s="1334"/>
      <c r="N9" s="1143"/>
      <c r="O9" s="1336"/>
      <c r="P9" s="1336"/>
      <c r="Q9" s="1143"/>
      <c r="R9" s="1172"/>
      <c r="S9" s="1336"/>
      <c r="T9" s="1143"/>
      <c r="U9" s="1157"/>
      <c r="V9" s="1143"/>
      <c r="W9" s="1336"/>
      <c r="X9" s="1157"/>
      <c r="Y9" s="1157"/>
      <c r="Z9" s="1143"/>
      <c r="AA9" s="1173"/>
      <c r="AB9" s="1143"/>
      <c r="AC9" s="1143"/>
      <c r="AD9" s="1143"/>
      <c r="AE9" s="1143"/>
      <c r="AF9" s="1143"/>
      <c r="AG9" s="1143"/>
      <c r="AH9" s="1143"/>
    </row>
    <row r="10" spans="1:35" s="326" customFormat="1" ht="89.4" hidden="1" customHeight="1" thickTop="1" thickBot="1" x14ac:dyDescent="0.25">
      <c r="A10" s="319">
        <v>1</v>
      </c>
      <c r="B10" s="354">
        <v>7305067</v>
      </c>
      <c r="C10" s="358"/>
      <c r="D10" s="356" t="s">
        <v>186</v>
      </c>
      <c r="E10" s="211" t="s">
        <v>188</v>
      </c>
      <c r="F10" s="353" t="s">
        <v>404</v>
      </c>
      <c r="G10" s="216">
        <v>240</v>
      </c>
      <c r="H10" s="321">
        <v>0</v>
      </c>
      <c r="I10" s="321">
        <f>(H10/30)*J10</f>
        <v>0</v>
      </c>
      <c r="J10" s="682">
        <v>15</v>
      </c>
      <c r="K10" s="322">
        <f>+L10*M10</f>
        <v>0</v>
      </c>
      <c r="L10" s="323">
        <f>G10*60%</f>
        <v>144</v>
      </c>
      <c r="M10" s="322">
        <v>0</v>
      </c>
      <c r="N10" s="324">
        <f>+I10-O10-P10</f>
        <v>0</v>
      </c>
      <c r="O10" s="324">
        <v>0</v>
      </c>
      <c r="P10" s="324">
        <f>+O10</f>
        <v>0</v>
      </c>
      <c r="Q10" s="321">
        <f>+P10+N10+O10</f>
        <v>0</v>
      </c>
      <c r="R10" s="359">
        <f>N10+O10</f>
        <v>0</v>
      </c>
      <c r="S10" s="321">
        <f>+R10*5%</f>
        <v>0</v>
      </c>
      <c r="T10" s="321"/>
      <c r="U10" s="359"/>
      <c r="V10" s="324">
        <f>S10</f>
        <v>0</v>
      </c>
      <c r="W10" s="324">
        <f>-V10+N10+O10+P10</f>
        <v>0</v>
      </c>
      <c r="X10" s="324">
        <v>0</v>
      </c>
      <c r="Y10" s="324">
        <v>0</v>
      </c>
      <c r="Z10" s="355">
        <f>W10-X10-Y10</f>
        <v>0</v>
      </c>
      <c r="AA10" s="325"/>
      <c r="AB10" s="325">
        <v>0.155</v>
      </c>
      <c r="AC10" s="325">
        <f>+Q10-P10</f>
        <v>0</v>
      </c>
      <c r="AD10" s="321">
        <f>AB10*Q10</f>
        <v>0</v>
      </c>
      <c r="AE10" s="321">
        <f>+I10/12</f>
        <v>0</v>
      </c>
      <c r="AF10" s="321">
        <f>+I10/12</f>
        <v>0</v>
      </c>
      <c r="AG10" s="321">
        <f>0.02*Z10</f>
        <v>0</v>
      </c>
      <c r="AH10" s="321">
        <f>Z10+AD10+AG10+AE10+AF10</f>
        <v>0</v>
      </c>
    </row>
    <row r="11" spans="1:35" s="326" customFormat="1" ht="81.599999999999994" customHeight="1" thickTop="1" thickBot="1" x14ac:dyDescent="0.25">
      <c r="A11" s="319">
        <v>1</v>
      </c>
      <c r="B11" s="354">
        <v>36922907</v>
      </c>
      <c r="C11" s="358" t="s">
        <v>465</v>
      </c>
      <c r="D11" s="356" t="s">
        <v>464</v>
      </c>
      <c r="E11" s="211" t="s">
        <v>32</v>
      </c>
      <c r="F11" s="353" t="s">
        <v>405</v>
      </c>
      <c r="G11" s="216">
        <v>257.16000000000003</v>
      </c>
      <c r="H11" s="321">
        <v>6171.6</v>
      </c>
      <c r="I11" s="321">
        <f>(H11/30)*J11</f>
        <v>3085.8</v>
      </c>
      <c r="J11" s="1063">
        <v>15</v>
      </c>
      <c r="K11" s="322">
        <f>+L11*M11</f>
        <v>0</v>
      </c>
      <c r="L11" s="323">
        <f>G11*60%</f>
        <v>154.29600000000002</v>
      </c>
      <c r="M11" s="322">
        <v>0</v>
      </c>
      <c r="N11" s="324">
        <f>G11*J11</f>
        <v>3857.4000000000005</v>
      </c>
      <c r="O11" s="324">
        <v>0</v>
      </c>
      <c r="P11" s="324">
        <v>0</v>
      </c>
      <c r="Q11" s="321">
        <f>+P11+N11+O11</f>
        <v>3857.4000000000005</v>
      </c>
      <c r="R11" s="359">
        <f>N11+O11</f>
        <v>3857.4000000000005</v>
      </c>
      <c r="S11" s="321">
        <f>+R11*5%</f>
        <v>192.87000000000003</v>
      </c>
      <c r="T11" s="321"/>
      <c r="U11" s="359"/>
      <c r="V11" s="324">
        <f>S11</f>
        <v>192.87000000000003</v>
      </c>
      <c r="W11" s="324">
        <f>-V11+N11+O11+P11</f>
        <v>3664.5300000000007</v>
      </c>
      <c r="X11" s="324">
        <v>0</v>
      </c>
      <c r="Y11" s="324">
        <v>0</v>
      </c>
      <c r="Z11" s="355">
        <f>W11-X11-Y11</f>
        <v>3664.5300000000007</v>
      </c>
      <c r="AA11" s="325"/>
      <c r="AB11" s="325">
        <v>0.155</v>
      </c>
      <c r="AC11" s="325">
        <f>+Q11-P11</f>
        <v>3857.4000000000005</v>
      </c>
      <c r="AD11" s="321">
        <f>AB11*Q11</f>
        <v>597.89700000000005</v>
      </c>
      <c r="AE11" s="321">
        <v>0</v>
      </c>
      <c r="AF11" s="321">
        <v>0</v>
      </c>
      <c r="AG11" s="321">
        <f>0.02*Z11</f>
        <v>73.290600000000012</v>
      </c>
      <c r="AH11" s="321">
        <f>Z11+AD11+AG11</f>
        <v>4335.7176000000009</v>
      </c>
    </row>
    <row r="12" spans="1:35" s="7" customFormat="1" ht="75" customHeight="1" thickTop="1" thickBot="1" x14ac:dyDescent="0.25">
      <c r="A12" s="1162" t="s">
        <v>95</v>
      </c>
      <c r="B12" s="1163"/>
      <c r="C12" s="1163"/>
      <c r="D12" s="1164"/>
      <c r="E12" s="211"/>
      <c r="F12" s="210"/>
      <c r="G12" s="215">
        <v>0</v>
      </c>
      <c r="H12" s="215">
        <f>SUM(H10:H11)</f>
        <v>6171.6</v>
      </c>
      <c r="I12" s="215">
        <f t="shared" ref="I12:X12" si="0">SUM(I10:I11)</f>
        <v>3085.8</v>
      </c>
      <c r="J12" s="215">
        <f t="shared" si="0"/>
        <v>30</v>
      </c>
      <c r="K12" s="215">
        <f t="shared" si="0"/>
        <v>0</v>
      </c>
      <c r="L12" s="215">
        <f t="shared" si="0"/>
        <v>298.29600000000005</v>
      </c>
      <c r="M12" s="215">
        <f t="shared" si="0"/>
        <v>0</v>
      </c>
      <c r="N12" s="215">
        <f t="shared" si="0"/>
        <v>3857.4000000000005</v>
      </c>
      <c r="O12" s="215">
        <f t="shared" si="0"/>
        <v>0</v>
      </c>
      <c r="P12" s="732"/>
      <c r="Q12" s="714">
        <f>SUM(Q10:Q11)</f>
        <v>3857.4000000000005</v>
      </c>
      <c r="R12" s="215">
        <f t="shared" si="0"/>
        <v>3857.4000000000005</v>
      </c>
      <c r="S12" s="215">
        <f>SUM(S10:S11)</f>
        <v>192.87000000000003</v>
      </c>
      <c r="T12" s="215"/>
      <c r="U12" s="663">
        <f t="shared" si="0"/>
        <v>0</v>
      </c>
      <c r="V12" s="215">
        <f t="shared" si="0"/>
        <v>192.87000000000003</v>
      </c>
      <c r="W12" s="317">
        <f>SUM(W10:W11)</f>
        <v>3664.5300000000007</v>
      </c>
      <c r="X12" s="215">
        <f t="shared" si="0"/>
        <v>0</v>
      </c>
      <c r="Y12" s="324">
        <f>SUM(Y10:Y11)</f>
        <v>0</v>
      </c>
      <c r="Z12" s="317">
        <f>SUM(Z10:Z11)</f>
        <v>3664.5300000000007</v>
      </c>
      <c r="AA12" s="87" t="s">
        <v>105</v>
      </c>
      <c r="AB12" s="86" t="e">
        <f>SUM(#REF!)</f>
        <v>#REF!</v>
      </c>
      <c r="AC12" s="86" t="e">
        <f>SUM(#REF!)</f>
        <v>#REF!</v>
      </c>
      <c r="AD12" s="86">
        <f>SUM(AD10:AD11)</f>
        <v>597.89700000000005</v>
      </c>
      <c r="AE12" s="86">
        <f>SUM(AE10:AE11)</f>
        <v>0</v>
      </c>
      <c r="AF12" s="86">
        <f>SUM(AF10:AF11)</f>
        <v>0</v>
      </c>
      <c r="AG12" s="86">
        <f>SUM(AG10:AG11)</f>
        <v>73.290600000000012</v>
      </c>
      <c r="AH12" s="86">
        <f>SUM(AH10:AH11)</f>
        <v>4335.7176000000009</v>
      </c>
    </row>
    <row r="13" spans="1:35" s="14" customFormat="1" ht="19.5" customHeight="1" thickTop="1" x14ac:dyDescent="0.2">
      <c r="A13" s="27"/>
      <c r="B13" s="27"/>
      <c r="C13" s="27"/>
      <c r="D13" s="27"/>
      <c r="E13" s="27"/>
      <c r="F13" s="28"/>
      <c r="G13" s="28"/>
      <c r="H13" s="27"/>
      <c r="I13" s="27"/>
      <c r="J13" s="29"/>
      <c r="K13" s="29"/>
      <c r="L13" s="29"/>
      <c r="M13" s="29"/>
      <c r="N13" s="27" t="s">
        <v>5</v>
      </c>
      <c r="O13" s="27"/>
      <c r="P13" s="27"/>
      <c r="Q13" s="27"/>
      <c r="R13" s="27"/>
      <c r="S13" s="27"/>
      <c r="T13" s="27"/>
      <c r="U13" s="61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5" s="14" customFormat="1" ht="19.5" hidden="1" customHeight="1" thickTop="1" x14ac:dyDescent="0.2">
      <c r="A14" s="27"/>
      <c r="B14" s="27"/>
      <c r="C14" s="27"/>
      <c r="D14" s="27"/>
      <c r="E14" s="27"/>
      <c r="F14" s="28"/>
      <c r="G14" s="568">
        <v>10</v>
      </c>
      <c r="H14" s="27"/>
      <c r="I14" s="27"/>
      <c r="J14" s="29"/>
      <c r="K14" s="29"/>
      <c r="L14" s="29"/>
      <c r="M14" s="29"/>
      <c r="N14" s="27"/>
      <c r="O14" s="27"/>
      <c r="P14" s="27"/>
      <c r="Q14" s="27"/>
      <c r="R14" s="27"/>
      <c r="S14" s="27"/>
      <c r="T14" s="27"/>
      <c r="U14" s="61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5" s="14" customFormat="1" ht="19.5" hidden="1" customHeight="1" x14ac:dyDescent="0.2">
      <c r="A15" s="27"/>
      <c r="B15" s="27"/>
      <c r="C15" s="27"/>
      <c r="D15" s="27"/>
      <c r="E15" s="27"/>
      <c r="F15" s="28"/>
      <c r="G15" s="568">
        <v>350</v>
      </c>
      <c r="H15" s="27">
        <v>35.694800000000001</v>
      </c>
      <c r="I15" s="27">
        <f>+G15*H15</f>
        <v>12493.18</v>
      </c>
      <c r="J15" s="29"/>
      <c r="K15" s="29"/>
      <c r="L15" s="29"/>
      <c r="M15" s="29"/>
      <c r="N15" s="27"/>
      <c r="O15" s="27"/>
      <c r="P15" s="27"/>
      <c r="Q15" s="27"/>
      <c r="R15" s="27"/>
      <c r="S15" s="27"/>
      <c r="T15" s="27"/>
      <c r="U15" s="61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5" s="14" customFormat="1" ht="19.5" hidden="1" customHeight="1" x14ac:dyDescent="0.2">
      <c r="A16" s="27"/>
      <c r="B16" s="27"/>
      <c r="C16" s="27"/>
      <c r="D16" s="27"/>
      <c r="E16" s="27"/>
      <c r="F16" s="28"/>
      <c r="G16" s="568"/>
      <c r="H16" s="27"/>
      <c r="I16" s="27">
        <f>+G15/H15</f>
        <v>9.8053497988502532</v>
      </c>
      <c r="J16" s="29">
        <f>9.81*30</f>
        <v>294.3</v>
      </c>
      <c r="K16" s="29"/>
      <c r="L16" s="29"/>
      <c r="M16" s="29"/>
      <c r="N16" s="27"/>
      <c r="O16" s="27"/>
      <c r="P16" s="27"/>
      <c r="Q16" s="27"/>
      <c r="R16" s="27"/>
      <c r="S16" s="27"/>
      <c r="T16" s="27"/>
      <c r="U16" s="61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s="14" customFormat="1" ht="19.5" hidden="1" customHeight="1" x14ac:dyDescent="0.2">
      <c r="A17" s="27"/>
      <c r="B17" s="27"/>
      <c r="C17" s="27"/>
      <c r="D17" s="27"/>
      <c r="E17" s="27"/>
      <c r="F17" s="28"/>
      <c r="G17" s="568"/>
      <c r="H17" s="27"/>
      <c r="I17" s="27"/>
      <c r="J17" s="29"/>
      <c r="K17" s="29"/>
      <c r="L17" s="29"/>
      <c r="M17" s="29"/>
      <c r="N17" s="27"/>
      <c r="O17" s="27"/>
      <c r="P17" s="27"/>
      <c r="Q17" s="27"/>
      <c r="R17" s="27"/>
      <c r="S17" s="27"/>
      <c r="T17" s="27"/>
      <c r="U17" s="61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s="14" customFormat="1" ht="19.5" hidden="1" customHeight="1" x14ac:dyDescent="0.2">
      <c r="A18" s="27"/>
      <c r="B18" s="27"/>
      <c r="C18" s="27"/>
      <c r="D18" s="27"/>
      <c r="E18" s="27"/>
      <c r="F18" s="28"/>
      <c r="G18" s="568"/>
      <c r="H18" s="27"/>
      <c r="I18" s="27"/>
      <c r="J18" s="29"/>
      <c r="K18" s="29"/>
      <c r="L18" s="29"/>
      <c r="M18" s="29"/>
      <c r="N18" s="27"/>
      <c r="O18" s="27"/>
      <c r="P18" s="27"/>
      <c r="Q18" s="27"/>
      <c r="R18" s="27"/>
      <c r="S18" s="27"/>
      <c r="T18" s="27"/>
      <c r="U18" s="61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s="14" customFormat="1" ht="19.5" hidden="1" customHeight="1" x14ac:dyDescent="0.2">
      <c r="A19" s="27"/>
      <c r="B19" s="27"/>
      <c r="C19" s="27"/>
      <c r="D19" s="27"/>
      <c r="E19" s="27"/>
      <c r="F19" s="28"/>
      <c r="G19" s="568"/>
      <c r="H19" s="27"/>
      <c r="I19" s="27"/>
      <c r="J19" s="29"/>
      <c r="K19" s="29"/>
      <c r="L19" s="29"/>
      <c r="M19" s="29"/>
      <c r="N19" s="27"/>
      <c r="O19" s="27"/>
      <c r="P19" s="27"/>
      <c r="Q19" s="27"/>
      <c r="R19" s="27"/>
      <c r="S19" s="27"/>
      <c r="T19" s="27"/>
      <c r="U19" s="61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 spans="1:34" s="14" customFormat="1" ht="19.5" customHeight="1" x14ac:dyDescent="0.2">
      <c r="A20" s="27"/>
      <c r="B20" s="27"/>
      <c r="C20" s="27"/>
      <c r="D20" s="27"/>
      <c r="E20" s="27"/>
      <c r="F20" s="28"/>
      <c r="G20" s="28"/>
      <c r="H20" s="27"/>
      <c r="I20" s="27"/>
      <c r="J20" s="29"/>
      <c r="K20" s="29"/>
      <c r="L20" s="29"/>
      <c r="M20" s="29"/>
      <c r="N20" s="27"/>
      <c r="O20" s="27"/>
      <c r="P20" s="27"/>
      <c r="Q20" s="27"/>
      <c r="R20" s="27"/>
      <c r="S20" s="27"/>
      <c r="T20" s="27"/>
      <c r="U20" s="61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s="14" customFormat="1" ht="19.5" customHeight="1" x14ac:dyDescent="0.2">
      <c r="A21" s="27"/>
      <c r="B21" s="27"/>
      <c r="C21" s="27"/>
      <c r="D21" s="27"/>
      <c r="E21" s="27"/>
      <c r="F21" s="28"/>
      <c r="G21" s="67"/>
      <c r="H21" s="338"/>
      <c r="I21" s="27"/>
      <c r="J21" s="29"/>
      <c r="K21" s="29"/>
      <c r="L21" s="29"/>
      <c r="M21" s="29"/>
      <c r="N21" s="27"/>
      <c r="O21" s="27"/>
      <c r="P21" s="27"/>
      <c r="Q21" s="27"/>
      <c r="R21" s="27"/>
      <c r="S21" s="27"/>
      <c r="T21" s="27"/>
      <c r="U21" s="61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 s="11" customFormat="1" ht="23.4" x14ac:dyDescent="0.2">
      <c r="A22" s="27"/>
      <c r="B22" s="27"/>
      <c r="C22" s="27"/>
      <c r="D22" s="914"/>
      <c r="E22" s="27"/>
      <c r="F22" s="28"/>
      <c r="G22" s="28"/>
      <c r="H22" s="27"/>
      <c r="I22" s="27"/>
      <c r="J22" s="29"/>
      <c r="K22" s="29"/>
      <c r="L22" s="29"/>
      <c r="M22" s="29"/>
      <c r="N22" s="27"/>
      <c r="O22" s="27"/>
      <c r="P22" s="27"/>
      <c r="Q22" s="27"/>
      <c r="R22" s="27"/>
      <c r="S22" s="27"/>
      <c r="T22" s="27"/>
      <c r="U22" s="61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spans="1:34" s="11" customFormat="1" x14ac:dyDescent="0.2">
      <c r="A23" s="30"/>
      <c r="B23" s="27"/>
      <c r="C23" s="30"/>
      <c r="D23" s="27"/>
      <c r="E23" s="27"/>
      <c r="F23" s="28"/>
      <c r="G23" s="28"/>
      <c r="H23" s="27"/>
      <c r="I23" s="27"/>
      <c r="J23" s="29"/>
      <c r="K23" s="29"/>
      <c r="L23" s="29"/>
      <c r="M23" s="29"/>
      <c r="N23" s="30"/>
      <c r="O23" s="30"/>
      <c r="P23" s="30"/>
      <c r="Q23" s="27"/>
      <c r="R23" s="27"/>
      <c r="S23" s="27"/>
      <c r="T23" s="27"/>
      <c r="U23" s="669"/>
      <c r="V23" s="27"/>
      <c r="W23" s="27"/>
      <c r="X23" s="27"/>
      <c r="Y23" s="27"/>
      <c r="Z23" s="30"/>
      <c r="AA23" s="27"/>
      <c r="AB23" s="27"/>
      <c r="AC23" s="27"/>
      <c r="AD23" s="27"/>
      <c r="AE23" s="27"/>
      <c r="AF23" s="27"/>
      <c r="AG23" s="27"/>
      <c r="AH23" s="27"/>
    </row>
    <row r="24" spans="1:34" s="11" customFormat="1" x14ac:dyDescent="0.2">
      <c r="A24" s="30"/>
      <c r="B24" s="27"/>
      <c r="C24" s="30"/>
      <c r="D24" s="27"/>
      <c r="E24" s="27"/>
      <c r="F24" s="28"/>
      <c r="G24" s="28"/>
      <c r="H24" s="27"/>
      <c r="I24" s="27"/>
      <c r="J24" s="29"/>
      <c r="K24" s="29"/>
      <c r="L24" s="29"/>
      <c r="M24" s="29"/>
      <c r="N24" s="30"/>
      <c r="O24" s="30"/>
      <c r="P24" s="30"/>
      <c r="Q24" s="27"/>
      <c r="R24" s="27"/>
      <c r="S24" s="27"/>
      <c r="T24" s="27"/>
      <c r="U24" s="670"/>
      <c r="V24" s="27"/>
      <c r="W24" s="27"/>
      <c r="X24" s="27"/>
      <c r="Y24" s="27"/>
      <c r="Z24" s="30"/>
      <c r="AA24" s="27"/>
      <c r="AB24" s="27"/>
      <c r="AC24" s="27"/>
      <c r="AD24" s="27"/>
      <c r="AE24" s="27"/>
      <c r="AF24" s="27"/>
      <c r="AG24" s="27"/>
      <c r="AH24" s="27"/>
    </row>
    <row r="25" spans="1:34" s="11" customFormat="1" x14ac:dyDescent="0.2">
      <c r="A25" s="30"/>
      <c r="B25" s="27"/>
      <c r="C25" s="30"/>
      <c r="D25" s="27"/>
      <c r="E25" s="27"/>
      <c r="F25" s="28"/>
      <c r="G25" s="28"/>
      <c r="H25" s="27"/>
      <c r="I25" s="27"/>
      <c r="J25" s="29"/>
      <c r="K25" s="29"/>
      <c r="L25" s="29"/>
      <c r="M25" s="29"/>
      <c r="N25" s="30"/>
      <c r="O25" s="30"/>
      <c r="P25" s="30"/>
      <c r="Q25" s="27"/>
      <c r="R25" s="27"/>
      <c r="S25" s="27"/>
      <c r="T25" s="27"/>
      <c r="U25" s="670"/>
      <c r="V25" s="27"/>
      <c r="W25" s="27"/>
      <c r="X25" s="27"/>
      <c r="Y25" s="27"/>
      <c r="Z25" s="30"/>
      <c r="AA25" s="27"/>
      <c r="AB25" s="27"/>
      <c r="AC25" s="27"/>
      <c r="AD25" s="27"/>
      <c r="AE25" s="27"/>
      <c r="AF25" s="27"/>
      <c r="AG25" s="27"/>
      <c r="AH25" s="27"/>
    </row>
    <row r="26" spans="1:34" s="11" customFormat="1" x14ac:dyDescent="0.2">
      <c r="A26" s="30"/>
      <c r="B26" s="27"/>
      <c r="C26" s="30"/>
      <c r="D26" s="27"/>
      <c r="E26" s="27"/>
      <c r="F26" s="28"/>
      <c r="G26" s="28"/>
      <c r="H26" s="27"/>
      <c r="I26" s="27"/>
      <c r="J26" s="29"/>
      <c r="K26" s="29"/>
      <c r="L26" s="29"/>
      <c r="M26" s="29"/>
      <c r="N26" s="30"/>
      <c r="O26" s="30"/>
      <c r="P26" s="30"/>
      <c r="Q26" s="27"/>
      <c r="R26" s="27"/>
      <c r="S26" s="27"/>
      <c r="T26" s="27"/>
      <c r="U26" s="670"/>
      <c r="V26" s="27"/>
      <c r="W26" s="27"/>
      <c r="X26" s="27"/>
      <c r="Y26" s="27"/>
      <c r="Z26" s="30"/>
      <c r="AA26" s="27"/>
      <c r="AB26" s="27"/>
      <c r="AC26" s="27"/>
      <c r="AD26" s="27"/>
      <c r="AE26" s="27"/>
      <c r="AF26" s="27"/>
      <c r="AG26" s="27"/>
      <c r="AH26" s="27"/>
    </row>
    <row r="27" spans="1:34" s="11" customFormat="1" x14ac:dyDescent="0.2">
      <c r="A27" s="30"/>
      <c r="B27" s="27"/>
      <c r="C27" s="1165"/>
      <c r="D27" s="1165"/>
      <c r="E27" s="1165"/>
      <c r="F27" s="1165"/>
      <c r="G27" s="49"/>
      <c r="H27" s="27"/>
      <c r="I27" s="27"/>
      <c r="J27" s="1166"/>
      <c r="K27" s="1166"/>
      <c r="L27" s="1166"/>
      <c r="M27" s="1166"/>
      <c r="N27" s="1166"/>
      <c r="O27" s="1166"/>
      <c r="P27" s="1166"/>
      <c r="Q27" s="1166"/>
      <c r="R27" s="1166"/>
      <c r="S27" s="1166"/>
      <c r="T27" s="1166"/>
      <c r="U27" s="1166"/>
      <c r="V27" s="1166"/>
      <c r="W27" s="29"/>
      <c r="X27" s="27"/>
      <c r="Y27" s="27"/>
      <c r="Z27" s="1165"/>
      <c r="AA27" s="1165"/>
      <c r="AB27" s="1165"/>
      <c r="AC27" s="1165"/>
      <c r="AG27" s="27"/>
      <c r="AH27" s="27"/>
    </row>
    <row r="28" spans="1:34" s="11" customFormat="1" ht="13.5" customHeight="1" x14ac:dyDescent="0.2">
      <c r="A28" s="27"/>
      <c r="B28" s="27"/>
      <c r="C28" s="1167" t="s">
        <v>23</v>
      </c>
      <c r="D28" s="1167"/>
      <c r="E28" s="1167"/>
      <c r="F28" s="1167"/>
      <c r="G28" s="52"/>
      <c r="H28" s="27"/>
      <c r="I28" s="27"/>
      <c r="J28" s="1167" t="s">
        <v>24</v>
      </c>
      <c r="K28" s="1167"/>
      <c r="L28" s="1167"/>
      <c r="M28" s="1167"/>
      <c r="N28" s="1167"/>
      <c r="O28" s="1167"/>
      <c r="P28" s="1167"/>
      <c r="Q28" s="1167"/>
      <c r="R28" s="1167"/>
      <c r="S28" s="1167"/>
      <c r="T28" s="1167"/>
      <c r="U28" s="1167"/>
      <c r="V28" s="1167"/>
      <c r="W28" s="52"/>
      <c r="X28" s="27"/>
      <c r="Y28" s="27"/>
      <c r="Z28" s="1167" t="s">
        <v>25</v>
      </c>
      <c r="AA28" s="1167"/>
      <c r="AB28" s="1167"/>
      <c r="AC28" s="1167"/>
      <c r="AG28" s="27"/>
      <c r="AH28" s="27"/>
    </row>
    <row r="29" spans="1:34" s="11" customFormat="1" x14ac:dyDescent="0.2">
      <c r="A29" s="30"/>
      <c r="B29" s="27"/>
      <c r="C29" s="1159" t="str">
        <f>+'ADMON COM. '!C50:F50</f>
        <v>Jose Martin Conrrado</v>
      </c>
      <c r="D29" s="1159"/>
      <c r="E29" s="1159"/>
      <c r="F29" s="1159"/>
      <c r="G29" s="48"/>
      <c r="H29" s="27"/>
      <c r="I29" s="30"/>
      <c r="J29" s="1159" t="s">
        <v>350</v>
      </c>
      <c r="K29" s="1159"/>
      <c r="L29" s="1159"/>
      <c r="M29" s="1159"/>
      <c r="N29" s="1159"/>
      <c r="O29" s="1159"/>
      <c r="P29" s="1159"/>
      <c r="Q29" s="1159"/>
      <c r="R29" s="1159"/>
      <c r="S29" s="1159"/>
      <c r="T29" s="1159"/>
      <c r="U29" s="1159"/>
      <c r="V29" s="1159"/>
      <c r="W29" s="48"/>
      <c r="X29" s="33"/>
      <c r="Y29" s="33"/>
      <c r="Z29" s="1160" t="s">
        <v>497</v>
      </c>
      <c r="AA29" s="1160"/>
      <c r="AB29" s="1160"/>
      <c r="AC29" s="1160"/>
      <c r="AG29" s="27"/>
      <c r="AH29" s="27"/>
    </row>
    <row r="30" spans="1:34" s="11" customFormat="1" x14ac:dyDescent="0.2">
      <c r="A30" s="8"/>
      <c r="B30" s="8"/>
      <c r="C30" s="1161"/>
      <c r="D30" s="1161"/>
      <c r="E30" s="25"/>
      <c r="F30" s="25"/>
      <c r="G30" s="25"/>
      <c r="H30" s="8"/>
      <c r="I30" s="8"/>
      <c r="J30" s="9"/>
      <c r="K30" s="9"/>
      <c r="L30" s="9"/>
      <c r="M30" s="9"/>
      <c r="N30" s="1161"/>
      <c r="O30" s="1161"/>
      <c r="P30" s="1161"/>
      <c r="Q30" s="1161"/>
      <c r="R30" s="1161"/>
      <c r="S30" s="1161"/>
      <c r="T30" s="1161"/>
      <c r="U30" s="671"/>
      <c r="V30" s="25"/>
      <c r="W30" s="25"/>
      <c r="X30" s="25"/>
      <c r="Y30" s="25"/>
      <c r="Z30" s="8"/>
      <c r="AA30" s="8"/>
      <c r="AB30" s="8"/>
      <c r="AC30" s="8"/>
      <c r="AD30" s="10"/>
      <c r="AE30" s="10"/>
      <c r="AF30" s="10"/>
      <c r="AG30" s="10"/>
      <c r="AH30" s="10"/>
    </row>
    <row r="31" spans="1:34" x14ac:dyDescent="0.2">
      <c r="A31" s="3"/>
      <c r="B31" s="3"/>
      <c r="C31" s="3"/>
      <c r="D31" s="3"/>
      <c r="E31" s="3"/>
      <c r="F31" s="4"/>
      <c r="G31" s="685"/>
      <c r="H31" s="3"/>
      <c r="I31" s="3"/>
      <c r="J31" s="2"/>
      <c r="K31" s="2"/>
      <c r="L31" s="2"/>
      <c r="M31" s="2"/>
      <c r="N31" s="3"/>
      <c r="O31" s="3"/>
      <c r="P31" s="3"/>
      <c r="Q31" s="3"/>
      <c r="R31" s="3"/>
      <c r="S31" s="3"/>
      <c r="T31" s="3"/>
      <c r="U31" s="618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">
      <c r="A32" s="3"/>
      <c r="B32" s="3"/>
      <c r="C32" s="3"/>
      <c r="D32" s="3"/>
      <c r="E32" s="3"/>
      <c r="F32" s="4"/>
      <c r="G32" s="685"/>
      <c r="H32" s="3"/>
      <c r="I32" s="3"/>
      <c r="J32" s="2"/>
      <c r="K32" s="2"/>
      <c r="L32" s="2"/>
      <c r="M32" s="2"/>
      <c r="N32" s="3"/>
      <c r="O32" s="3"/>
      <c r="P32" s="3"/>
      <c r="Q32" s="3"/>
      <c r="R32" s="3"/>
      <c r="S32" s="3"/>
      <c r="T32" s="3"/>
      <c r="U32" s="618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x14ac:dyDescent="0.2">
      <c r="A33" s="3"/>
      <c r="B33" s="3"/>
      <c r="C33" s="3"/>
      <c r="D33" s="3"/>
      <c r="E33" s="3"/>
      <c r="F33" s="4"/>
      <c r="G33" s="685"/>
      <c r="H33" s="3"/>
      <c r="I33" s="3"/>
      <c r="J33" s="2"/>
      <c r="K33" s="2"/>
      <c r="L33" s="2"/>
      <c r="M33" s="2"/>
      <c r="N33" s="3"/>
      <c r="O33" s="3"/>
      <c r="P33" s="3"/>
      <c r="Q33" s="3"/>
      <c r="R33" s="3"/>
      <c r="S33" s="3"/>
      <c r="T33" s="3"/>
      <c r="U33" s="618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x14ac:dyDescent="0.2">
      <c r="A34" s="3"/>
      <c r="B34" s="3"/>
      <c r="C34" s="3"/>
      <c r="D34" s="3"/>
      <c r="E34" s="3"/>
      <c r="F34" s="4"/>
      <c r="G34" s="685"/>
      <c r="H34" s="3"/>
      <c r="I34" s="3"/>
      <c r="J34" s="2"/>
      <c r="K34" s="2"/>
      <c r="L34" s="2"/>
      <c r="M34" s="2"/>
      <c r="N34" s="3"/>
      <c r="O34" s="3"/>
      <c r="P34" s="3"/>
      <c r="Q34" s="3"/>
      <c r="R34" s="3"/>
      <c r="S34" s="3"/>
      <c r="T34" s="3"/>
      <c r="U34" s="618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x14ac:dyDescent="0.2">
      <c r="A35" s="3"/>
      <c r="B35" s="3"/>
      <c r="C35" s="3"/>
      <c r="D35" s="3"/>
      <c r="E35" s="3"/>
      <c r="F35" s="4"/>
      <c r="G35" s="685"/>
      <c r="H35" s="3"/>
      <c r="I35" s="3"/>
      <c r="J35" s="2"/>
      <c r="K35" s="2"/>
      <c r="L35" s="2"/>
      <c r="M35" s="2"/>
      <c r="N35" s="3"/>
      <c r="O35" s="3"/>
      <c r="P35" s="3"/>
      <c r="Q35" s="3"/>
      <c r="R35" s="3"/>
      <c r="S35" s="3"/>
      <c r="T35" s="3"/>
      <c r="U35" s="618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4" x14ac:dyDescent="0.2">
      <c r="A36" s="3"/>
      <c r="B36" s="3"/>
      <c r="C36" s="3"/>
      <c r="D36" s="3"/>
      <c r="E36" s="3"/>
      <c r="F36" s="4"/>
      <c r="G36" s="685"/>
      <c r="H36" s="3"/>
      <c r="I36" s="3"/>
      <c r="J36" s="2"/>
      <c r="K36" s="2"/>
      <c r="L36" s="2"/>
      <c r="M36" s="2"/>
      <c r="N36" s="3"/>
      <c r="O36" s="3"/>
      <c r="P36" s="3"/>
      <c r="Q36" s="3"/>
      <c r="R36" s="3"/>
      <c r="S36" s="3"/>
      <c r="T36" s="3"/>
      <c r="U36" s="618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47" spans="1:34" x14ac:dyDescent="0.2">
      <c r="A47" s="3"/>
      <c r="B47" s="3"/>
      <c r="C47" s="3"/>
      <c r="D47" s="3"/>
      <c r="E47" s="3"/>
      <c r="F47" s="4"/>
      <c r="G47" s="574"/>
      <c r="H47" s="3"/>
      <c r="I47" s="3"/>
      <c r="J47" s="2"/>
      <c r="K47" s="2"/>
      <c r="L47" s="2"/>
      <c r="M47" s="2"/>
      <c r="N47" s="3"/>
      <c r="O47" s="3"/>
      <c r="P47" s="3"/>
      <c r="Q47" s="3"/>
      <c r="R47" s="3"/>
      <c r="S47" s="3"/>
      <c r="T47" s="3"/>
      <c r="U47" s="618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x14ac:dyDescent="0.2">
      <c r="A48" s="3"/>
      <c r="B48" s="3"/>
      <c r="C48" s="3"/>
      <c r="D48" s="3"/>
      <c r="E48" s="3"/>
      <c r="F48" s="4"/>
      <c r="G48" s="574"/>
      <c r="H48" s="3"/>
      <c r="I48" s="3"/>
      <c r="J48" s="2"/>
      <c r="K48" s="2"/>
      <c r="L48" s="2"/>
      <c r="M48" s="2"/>
      <c r="N48" s="3"/>
      <c r="O48" s="3"/>
      <c r="P48" s="3"/>
      <c r="Q48" s="3"/>
      <c r="R48" s="3"/>
      <c r="S48" s="3"/>
      <c r="T48" s="3"/>
      <c r="U48" s="618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3" x14ac:dyDescent="0.2">
      <c r="A49" s="3"/>
      <c r="B49" s="3"/>
      <c r="C49" s="3"/>
      <c r="D49" s="3"/>
      <c r="E49" s="3"/>
      <c r="F49" s="4"/>
      <c r="G49" s="574"/>
      <c r="H49" s="3"/>
      <c r="I49" s="3"/>
      <c r="J49" s="2"/>
      <c r="K49" s="2"/>
      <c r="L49" s="2"/>
      <c r="M49" s="2"/>
      <c r="N49" s="3"/>
      <c r="O49" s="3"/>
      <c r="P49" s="3"/>
      <c r="Q49" s="3"/>
      <c r="R49" s="3"/>
      <c r="S49" s="3"/>
      <c r="T49" s="3"/>
      <c r="U49" s="618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x14ac:dyDescent="0.2">
      <c r="A50" s="3"/>
      <c r="B50" s="3"/>
      <c r="C50" s="3"/>
      <c r="D50" s="3"/>
      <c r="E50" s="3"/>
      <c r="F50" s="4"/>
      <c r="G50" s="574"/>
      <c r="H50" s="3"/>
      <c r="I50" s="3"/>
      <c r="J50" s="2"/>
      <c r="K50" s="2"/>
      <c r="L50" s="2"/>
      <c r="M50" s="2"/>
      <c r="N50" s="3"/>
      <c r="O50" s="3"/>
      <c r="P50" s="3"/>
      <c r="Q50" s="3"/>
      <c r="R50" s="3"/>
      <c r="S50" s="3"/>
      <c r="T50" s="3"/>
      <c r="U50" s="618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</sheetData>
  <mergeCells count="52">
    <mergeCell ref="A3:AC3"/>
    <mergeCell ref="A4:AC4"/>
    <mergeCell ref="A7:A9"/>
    <mergeCell ref="B7:B9"/>
    <mergeCell ref="C7:C9"/>
    <mergeCell ref="D7:D9"/>
    <mergeCell ref="E7:E9"/>
    <mergeCell ref="F7:F9"/>
    <mergeCell ref="W7:W9"/>
    <mergeCell ref="P8:P9"/>
    <mergeCell ref="Q8:Q9"/>
    <mergeCell ref="R8:R9"/>
    <mergeCell ref="T8:T9"/>
    <mergeCell ref="X7:X9"/>
    <mergeCell ref="G7:G9"/>
    <mergeCell ref="A5:AA5"/>
    <mergeCell ref="AD7:AD9"/>
    <mergeCell ref="AG7:AG9"/>
    <mergeCell ref="AH7:AH9"/>
    <mergeCell ref="AA7:AA9"/>
    <mergeCell ref="AB7:AB9"/>
    <mergeCell ref="AC7:AC9"/>
    <mergeCell ref="AE7:AE9"/>
    <mergeCell ref="AF7:AF9"/>
    <mergeCell ref="A12:D12"/>
    <mergeCell ref="H7:H9"/>
    <mergeCell ref="I7:N7"/>
    <mergeCell ref="Q7:V7"/>
    <mergeCell ref="N8:N9"/>
    <mergeCell ref="O8:O9"/>
    <mergeCell ref="I8:I9"/>
    <mergeCell ref="J8:J9"/>
    <mergeCell ref="K8:K9"/>
    <mergeCell ref="L8:L9"/>
    <mergeCell ref="M8:M9"/>
    <mergeCell ref="S8:S9"/>
    <mergeCell ref="A2:AA2"/>
    <mergeCell ref="Y7:Y9"/>
    <mergeCell ref="Z7:Z9"/>
    <mergeCell ref="U8:U9"/>
    <mergeCell ref="C30:D30"/>
    <mergeCell ref="N30:T30"/>
    <mergeCell ref="Z27:AC27"/>
    <mergeCell ref="C28:F28"/>
    <mergeCell ref="J28:V28"/>
    <mergeCell ref="Z28:AC28"/>
    <mergeCell ref="C29:F29"/>
    <mergeCell ref="J29:V29"/>
    <mergeCell ref="Z29:AC29"/>
    <mergeCell ref="C27:F27"/>
    <mergeCell ref="J27:V27"/>
    <mergeCell ref="V8:V9"/>
  </mergeCells>
  <printOptions horizontalCentered="1" verticalCentered="1"/>
  <pageMargins left="0" right="0" top="0" bottom="1.9685039370078741" header="0" footer="0"/>
  <pageSetup paperSize="5" scale="55" fitToWidth="0" fitToHeight="0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73A4-09BE-4351-9AC9-EA760DF9782F}">
  <sheetPr>
    <tabColor rgb="FF00B050"/>
  </sheetPr>
  <dimension ref="A1:AK28"/>
  <sheetViews>
    <sheetView topLeftCell="J2" zoomScaleNormal="100" workbookViewId="0">
      <selection activeCell="AC10" sqref="AC10"/>
    </sheetView>
  </sheetViews>
  <sheetFormatPr baseColWidth="10" defaultRowHeight="10.199999999999999" x14ac:dyDescent="0.2"/>
  <cols>
    <col min="1" max="2" width="5.7109375" customWidth="1"/>
    <col min="3" max="3" width="6.140625" customWidth="1"/>
    <col min="4" max="4" width="28.85546875" customWidth="1"/>
    <col min="5" max="7" width="12" customWidth="1"/>
    <col min="8" max="8" width="12.85546875" customWidth="1"/>
    <col min="9" max="9" width="15.42578125" customWidth="1"/>
    <col min="10" max="10" width="18.85546875" customWidth="1"/>
    <col min="11" max="11" width="12" customWidth="1"/>
    <col min="12" max="14" width="12" hidden="1" customWidth="1"/>
    <col min="15" max="15" width="14.42578125" customWidth="1"/>
    <col min="16" max="17" width="12.85546875" customWidth="1"/>
    <col min="18" max="18" width="14.42578125" customWidth="1"/>
    <col min="19" max="19" width="13.42578125" hidden="1" customWidth="1"/>
    <col min="20" max="23" width="12" hidden="1" customWidth="1"/>
    <col min="24" max="24" width="14.42578125" customWidth="1"/>
    <col min="25" max="25" width="16" customWidth="1"/>
    <col min="26" max="26" width="16" hidden="1" customWidth="1"/>
    <col min="27" max="27" width="16" customWidth="1"/>
    <col min="28" max="28" width="19.140625" customWidth="1"/>
    <col min="29" max="29" width="19.42578125" customWidth="1"/>
    <col min="30" max="30" width="54.140625" customWidth="1"/>
    <col min="31" max="31" width="11.85546875" hidden="1" customWidth="1"/>
    <col min="32" max="32" width="0" hidden="1" customWidth="1"/>
  </cols>
  <sheetData>
    <row r="1" spans="1:37" s="913" customFormat="1" ht="39.75" customHeight="1" x14ac:dyDescent="0.2">
      <c r="A1" s="1370" t="s">
        <v>308</v>
      </c>
      <c r="B1" s="1370"/>
      <c r="C1" s="1370"/>
      <c r="D1" s="1370"/>
      <c r="E1" s="1370"/>
      <c r="F1" s="1370"/>
      <c r="G1" s="1370"/>
      <c r="H1" s="1370"/>
      <c r="I1" s="1370"/>
      <c r="J1" s="1370"/>
      <c r="K1" s="1370"/>
      <c r="L1" s="1370"/>
      <c r="M1" s="1370"/>
      <c r="N1" s="1370"/>
      <c r="O1" s="1370"/>
      <c r="P1" s="1370"/>
      <c r="Q1" s="1370"/>
      <c r="R1" s="1370"/>
      <c r="S1" s="1370"/>
      <c r="T1" s="1370"/>
      <c r="U1" s="1370"/>
      <c r="V1" s="1370"/>
      <c r="W1" s="1370"/>
      <c r="X1" s="1370"/>
      <c r="Y1" s="1370"/>
      <c r="Z1" s="1370"/>
      <c r="AA1" s="1370"/>
      <c r="AB1" s="1370"/>
      <c r="AC1" s="1370"/>
      <c r="AD1" s="1370"/>
      <c r="AE1" s="910"/>
      <c r="AF1" s="910"/>
      <c r="AG1" s="910"/>
      <c r="AH1" s="910"/>
      <c r="AI1" s="910"/>
      <c r="AJ1" s="910"/>
      <c r="AK1" s="910"/>
    </row>
    <row r="2" spans="1:37" ht="22.8" x14ac:dyDescent="0.2">
      <c r="A2" s="1370" t="s">
        <v>440</v>
      </c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  <c r="P2" s="1370"/>
      <c r="Q2" s="1370"/>
      <c r="R2" s="1370"/>
      <c r="S2" s="1370"/>
      <c r="T2" s="1370"/>
      <c r="U2" s="1370"/>
      <c r="V2" s="1370"/>
      <c r="W2" s="1370"/>
      <c r="X2" s="1370"/>
      <c r="Y2" s="1370"/>
      <c r="Z2" s="1370"/>
      <c r="AA2" s="1370"/>
      <c r="AB2" s="1370"/>
      <c r="AC2" s="1370"/>
      <c r="AD2" s="1370"/>
      <c r="AE2" s="1370"/>
      <c r="AF2" s="1370"/>
    </row>
    <row r="3" spans="1:37" ht="22.8" x14ac:dyDescent="0.2">
      <c r="A3" s="1370" t="s">
        <v>221</v>
      </c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0"/>
      <c r="AB3" s="1370"/>
      <c r="AC3" s="1370"/>
      <c r="AD3" s="1370"/>
      <c r="AE3" s="1370"/>
      <c r="AF3" s="1370"/>
    </row>
    <row r="4" spans="1:37" ht="22.8" x14ac:dyDescent="0.4">
      <c r="A4" s="74"/>
      <c r="B4" s="1366" t="str">
        <f>+ADMON!A5</f>
        <v>QUINCENA DEL 16  AL 30  DE ABRIL - 2026</v>
      </c>
      <c r="C4" s="1366"/>
      <c r="D4" s="1366"/>
      <c r="E4" s="1366"/>
      <c r="F4" s="1366"/>
      <c r="G4" s="1366"/>
      <c r="H4" s="1366"/>
      <c r="I4" s="1366"/>
      <c r="J4" s="1366"/>
      <c r="K4" s="1366"/>
      <c r="L4" s="1366"/>
      <c r="M4" s="1366"/>
      <c r="N4" s="1366"/>
      <c r="O4" s="1366"/>
      <c r="P4" s="1366"/>
      <c r="Q4" s="1366"/>
      <c r="R4" s="1366"/>
      <c r="S4" s="1366"/>
      <c r="T4" s="1366"/>
      <c r="U4" s="1366"/>
      <c r="V4" s="1366"/>
      <c r="W4" s="1366"/>
      <c r="X4" s="1366"/>
      <c r="Y4" s="1366"/>
      <c r="Z4" s="1366"/>
      <c r="AA4" s="1366"/>
      <c r="AB4" s="1366"/>
      <c r="AC4" s="1366"/>
      <c r="AD4" s="1366"/>
      <c r="AE4" s="1366"/>
      <c r="AF4" s="1366"/>
    </row>
    <row r="5" spans="1:37" ht="18" thickBot="1" x14ac:dyDescent="0.35">
      <c r="A5" s="74"/>
      <c r="B5" s="75"/>
      <c r="C5" s="74"/>
      <c r="D5" s="74"/>
      <c r="E5" s="74"/>
      <c r="F5" s="74"/>
      <c r="G5" s="74"/>
      <c r="H5" s="74"/>
      <c r="I5" s="74"/>
      <c r="J5" s="74"/>
      <c r="K5" s="74"/>
      <c r="L5" s="74">
        <v>6</v>
      </c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  <c r="AD5" s="26"/>
      <c r="AE5" s="26"/>
      <c r="AF5" s="26"/>
    </row>
    <row r="6" spans="1:37" ht="11.4" thickTop="1" thickBot="1" x14ac:dyDescent="0.25">
      <c r="A6" s="1143" t="s">
        <v>2</v>
      </c>
      <c r="B6" s="1143" t="s">
        <v>3</v>
      </c>
      <c r="C6" s="1179" t="s">
        <v>4</v>
      </c>
      <c r="D6" s="1143" t="s">
        <v>6</v>
      </c>
      <c r="E6" s="1179" t="s">
        <v>187</v>
      </c>
      <c r="F6" s="1143" t="s">
        <v>7</v>
      </c>
      <c r="G6" s="1375" t="s">
        <v>125</v>
      </c>
      <c r="H6" s="1376" t="s">
        <v>82</v>
      </c>
      <c r="I6" s="1143" t="s">
        <v>8</v>
      </c>
      <c r="J6" s="1151" t="s">
        <v>9</v>
      </c>
      <c r="K6" s="1151"/>
      <c r="L6" s="1151"/>
      <c r="M6" s="1151"/>
      <c r="N6" s="1151"/>
      <c r="O6" s="1151"/>
      <c r="P6" s="351"/>
      <c r="Q6" s="351"/>
      <c r="R6" s="1143" t="s">
        <v>10</v>
      </c>
      <c r="S6" s="1143"/>
      <c r="T6" s="1143"/>
      <c r="U6" s="1143"/>
      <c r="V6" s="1143"/>
      <c r="W6" s="1143"/>
      <c r="X6" s="1335" t="s">
        <v>29</v>
      </c>
      <c r="Y6" s="1143" t="s">
        <v>114</v>
      </c>
      <c r="Z6" s="1000"/>
      <c r="AA6" s="1335" t="s">
        <v>510</v>
      </c>
      <c r="AB6" s="1143" t="s">
        <v>99</v>
      </c>
      <c r="AC6" s="1143" t="s">
        <v>11</v>
      </c>
      <c r="AD6" s="1173" t="s">
        <v>12</v>
      </c>
      <c r="AE6" s="1143" t="str">
        <f>+P7</f>
        <v>VACACIONES</v>
      </c>
      <c r="AF6" s="1143" t="str">
        <f>+Q7</f>
        <v>13VO MES</v>
      </c>
    </row>
    <row r="7" spans="1:37" ht="21.75" customHeight="1" thickTop="1" thickBot="1" x14ac:dyDescent="0.25">
      <c r="A7" s="1143"/>
      <c r="B7" s="1143"/>
      <c r="C7" s="1180"/>
      <c r="D7" s="1143"/>
      <c r="E7" s="1180"/>
      <c r="F7" s="1143"/>
      <c r="G7" s="1375"/>
      <c r="H7" s="1376"/>
      <c r="I7" s="1143"/>
      <c r="J7" s="1143" t="s">
        <v>177</v>
      </c>
      <c r="K7" s="1445" t="s">
        <v>16</v>
      </c>
      <c r="L7" s="1168" t="s">
        <v>196</v>
      </c>
      <c r="M7" s="1168" t="s">
        <v>197</v>
      </c>
      <c r="N7" s="1333" t="s">
        <v>195</v>
      </c>
      <c r="O7" s="1143" t="s">
        <v>200</v>
      </c>
      <c r="P7" s="1335" t="s">
        <v>199</v>
      </c>
      <c r="Q7" s="1335" t="s">
        <v>53</v>
      </c>
      <c r="R7" s="1143" t="s">
        <v>29</v>
      </c>
      <c r="S7" s="1170"/>
      <c r="T7" s="1335" t="s">
        <v>3</v>
      </c>
      <c r="U7" s="1143" t="s">
        <v>19</v>
      </c>
      <c r="V7" s="1143" t="s">
        <v>94</v>
      </c>
      <c r="W7" s="1143" t="s">
        <v>20</v>
      </c>
      <c r="X7" s="1337"/>
      <c r="Y7" s="1143"/>
      <c r="Z7" s="1000" t="s">
        <v>29</v>
      </c>
      <c r="AA7" s="1337"/>
      <c r="AB7" s="1143"/>
      <c r="AC7" s="1143"/>
      <c r="AD7" s="1173"/>
      <c r="AE7" s="1143"/>
      <c r="AF7" s="1143"/>
    </row>
    <row r="8" spans="1:37" ht="21.75" customHeight="1" thickTop="1" thickBot="1" x14ac:dyDescent="0.25">
      <c r="A8" s="1143"/>
      <c r="B8" s="1143"/>
      <c r="C8" s="1181"/>
      <c r="D8" s="1143"/>
      <c r="E8" s="1181"/>
      <c r="F8" s="1143"/>
      <c r="G8" s="1375"/>
      <c r="H8" s="1376"/>
      <c r="I8" s="1143"/>
      <c r="J8" s="1143"/>
      <c r="K8" s="1445"/>
      <c r="L8" s="1169"/>
      <c r="M8" s="1169"/>
      <c r="N8" s="1334"/>
      <c r="O8" s="1143"/>
      <c r="P8" s="1336"/>
      <c r="Q8" s="1336"/>
      <c r="R8" s="1143"/>
      <c r="S8" s="1172"/>
      <c r="T8" s="1336"/>
      <c r="U8" s="1143"/>
      <c r="V8" s="1143"/>
      <c r="W8" s="1143"/>
      <c r="X8" s="1336"/>
      <c r="Y8" s="1143"/>
      <c r="Z8" s="1000"/>
      <c r="AA8" s="1336"/>
      <c r="AB8" s="1143"/>
      <c r="AC8" s="1143"/>
      <c r="AD8" s="1173"/>
      <c r="AE8" s="1143"/>
      <c r="AF8" s="1143"/>
    </row>
    <row r="9" spans="1:37" ht="84.75" customHeight="1" thickTop="1" thickBot="1" x14ac:dyDescent="0.25">
      <c r="A9" s="319">
        <v>1</v>
      </c>
      <c r="B9" s="354">
        <v>0</v>
      </c>
      <c r="C9" s="358" t="s">
        <v>467</v>
      </c>
      <c r="D9" s="632" t="s">
        <v>310</v>
      </c>
      <c r="E9" s="211" t="s">
        <v>32</v>
      </c>
      <c r="F9" s="353" t="s">
        <v>444</v>
      </c>
      <c r="G9" s="79" t="e">
        <f>+#REF!</f>
        <v>#REF!</v>
      </c>
      <c r="H9" s="216">
        <v>400</v>
      </c>
      <c r="I9" s="321">
        <f>+H9*30</f>
        <v>12000</v>
      </c>
      <c r="J9" s="631">
        <f t="shared" ref="J9:J11" si="0">(I9/30*K9)</f>
        <v>0</v>
      </c>
      <c r="K9" s="1027">
        <v>0</v>
      </c>
      <c r="L9" s="328">
        <f>+M9*N9</f>
        <v>0</v>
      </c>
      <c r="M9" s="584">
        <f t="shared" ref="M9:M11" si="1">H9*60%</f>
        <v>240</v>
      </c>
      <c r="N9" s="328">
        <v>0</v>
      </c>
      <c r="O9" s="585">
        <f t="shared" ref="O9:O11" si="2">+J9-P9-Q9</f>
        <v>0</v>
      </c>
      <c r="P9" s="585">
        <f t="shared" ref="P9:P11" si="3">+J9/12</f>
        <v>0</v>
      </c>
      <c r="Q9" s="585">
        <f t="shared" ref="Q9:Q11" si="4">+P9</f>
        <v>0</v>
      </c>
      <c r="R9" s="583">
        <f t="shared" ref="R9:R11" si="5">+Q9+O9+P9</f>
        <v>0</v>
      </c>
      <c r="S9" s="588">
        <f>O9+P9</f>
        <v>0</v>
      </c>
      <c r="T9" s="583"/>
      <c r="U9" s="583"/>
      <c r="V9" s="583"/>
      <c r="W9" s="585">
        <f t="shared" ref="W9:W11" si="6">T9</f>
        <v>0</v>
      </c>
      <c r="X9" s="585">
        <f t="shared" ref="X9:X10" si="7">-W9+O9+P9+Q9</f>
        <v>0</v>
      </c>
      <c r="Y9" s="324">
        <v>0</v>
      </c>
      <c r="Z9" s="324">
        <v>0</v>
      </c>
      <c r="AA9" s="324">
        <f>+R9-Y9</f>
        <v>0</v>
      </c>
      <c r="AB9" s="324">
        <v>0</v>
      </c>
      <c r="AC9" s="630">
        <f t="shared" ref="AC9:AC11" si="8">X9-Y9-AB9</f>
        <v>0</v>
      </c>
      <c r="AD9" s="325"/>
      <c r="AE9" s="325">
        <v>0</v>
      </c>
      <c r="AF9" s="325">
        <v>0</v>
      </c>
    </row>
    <row r="10" spans="1:37" ht="66" customHeight="1" thickTop="1" thickBot="1" x14ac:dyDescent="0.25">
      <c r="A10" s="319">
        <v>2</v>
      </c>
      <c r="B10" s="354">
        <v>0</v>
      </c>
      <c r="C10" s="358">
        <v>0</v>
      </c>
      <c r="D10" s="632" t="s">
        <v>476</v>
      </c>
      <c r="E10" s="211" t="s">
        <v>32</v>
      </c>
      <c r="F10" s="353" t="s">
        <v>337</v>
      </c>
      <c r="G10" s="79" t="e">
        <f>+#REF!</f>
        <v>#REF!</v>
      </c>
      <c r="H10" s="216">
        <v>400</v>
      </c>
      <c r="I10" s="321">
        <f>+H10*30</f>
        <v>12000</v>
      </c>
      <c r="J10" s="631">
        <f t="shared" si="0"/>
        <v>0</v>
      </c>
      <c r="K10" s="1027">
        <v>0</v>
      </c>
      <c r="L10" s="328">
        <f t="shared" ref="L10:L11" si="9">+M10*N10</f>
        <v>0</v>
      </c>
      <c r="M10" s="584">
        <f t="shared" si="1"/>
        <v>240</v>
      </c>
      <c r="N10" s="328">
        <v>0</v>
      </c>
      <c r="O10" s="585">
        <f t="shared" si="2"/>
        <v>0</v>
      </c>
      <c r="P10" s="585">
        <f t="shared" si="3"/>
        <v>0</v>
      </c>
      <c r="Q10" s="585">
        <f t="shared" si="4"/>
        <v>0</v>
      </c>
      <c r="R10" s="583">
        <f t="shared" si="5"/>
        <v>0</v>
      </c>
      <c r="S10" s="588">
        <f t="shared" ref="S10:S11" si="10">O10+P10</f>
        <v>0</v>
      </c>
      <c r="T10" s="583"/>
      <c r="U10" s="583"/>
      <c r="V10" s="583"/>
      <c r="W10" s="585">
        <f t="shared" si="6"/>
        <v>0</v>
      </c>
      <c r="X10" s="585">
        <f t="shared" si="7"/>
        <v>0</v>
      </c>
      <c r="Y10" s="324">
        <v>0</v>
      </c>
      <c r="Z10" s="324">
        <v>0</v>
      </c>
      <c r="AA10" s="324">
        <f>+R10-Y10</f>
        <v>0</v>
      </c>
      <c r="AB10" s="324">
        <v>0</v>
      </c>
      <c r="AC10" s="630">
        <f t="shared" si="8"/>
        <v>0</v>
      </c>
      <c r="AD10" s="325"/>
      <c r="AE10" s="325">
        <v>0</v>
      </c>
      <c r="AF10" s="325">
        <v>0</v>
      </c>
    </row>
    <row r="11" spans="1:37" ht="83.25" customHeight="1" thickTop="1" thickBot="1" x14ac:dyDescent="0.25">
      <c r="A11" s="319">
        <v>3</v>
      </c>
      <c r="B11" s="354">
        <v>38675494</v>
      </c>
      <c r="C11" s="358">
        <v>0</v>
      </c>
      <c r="D11" s="632" t="s">
        <v>491</v>
      </c>
      <c r="E11" s="211" t="s">
        <v>32</v>
      </c>
      <c r="F11" s="353" t="s">
        <v>264</v>
      </c>
      <c r="G11" s="79" t="e">
        <f>+#REF!</f>
        <v>#REF!</v>
      </c>
      <c r="H11" s="216">
        <v>500</v>
      </c>
      <c r="I11" s="321">
        <f>+H11*30</f>
        <v>15000</v>
      </c>
      <c r="J11" s="631">
        <f t="shared" si="0"/>
        <v>0</v>
      </c>
      <c r="K11" s="1027">
        <v>0</v>
      </c>
      <c r="L11" s="328">
        <f t="shared" si="9"/>
        <v>0</v>
      </c>
      <c r="M11" s="584">
        <f t="shared" si="1"/>
        <v>300</v>
      </c>
      <c r="N11" s="328">
        <v>0</v>
      </c>
      <c r="O11" s="585">
        <f t="shared" si="2"/>
        <v>0</v>
      </c>
      <c r="P11" s="585">
        <f t="shared" si="3"/>
        <v>0</v>
      </c>
      <c r="Q11" s="585">
        <f t="shared" si="4"/>
        <v>0</v>
      </c>
      <c r="R11" s="583">
        <f t="shared" si="5"/>
        <v>0</v>
      </c>
      <c r="S11" s="588">
        <f t="shared" si="10"/>
        <v>0</v>
      </c>
      <c r="T11" s="583"/>
      <c r="U11" s="583"/>
      <c r="V11" s="583"/>
      <c r="W11" s="585">
        <f t="shared" si="6"/>
        <v>0</v>
      </c>
      <c r="X11" s="585">
        <f>-W11+O11+P11+Q11</f>
        <v>0</v>
      </c>
      <c r="Y11" s="324">
        <v>0</v>
      </c>
      <c r="Z11" s="324">
        <v>0</v>
      </c>
      <c r="AA11" s="324">
        <f>+R11-Y11</f>
        <v>0</v>
      </c>
      <c r="AB11" s="324">
        <v>0</v>
      </c>
      <c r="AC11" s="630">
        <f t="shared" si="8"/>
        <v>0</v>
      </c>
      <c r="AD11" s="325"/>
      <c r="AE11" s="325">
        <v>0</v>
      </c>
      <c r="AF11" s="325">
        <v>0</v>
      </c>
    </row>
    <row r="12" spans="1:37" ht="66" customHeight="1" thickTop="1" thickBot="1" x14ac:dyDescent="0.25">
      <c r="A12" s="1162" t="s">
        <v>95</v>
      </c>
      <c r="B12" s="1163"/>
      <c r="C12" s="1163"/>
      <c r="D12" s="1164"/>
      <c r="E12" s="215"/>
      <c r="F12" s="215"/>
      <c r="G12" s="215" t="e">
        <f>SUM(#REF!)</f>
        <v>#REF!</v>
      </c>
      <c r="H12" s="215">
        <f t="shared" ref="H12:AB12" si="11">SUM(H9:H11)</f>
        <v>1300</v>
      </c>
      <c r="I12" s="215">
        <f t="shared" si="11"/>
        <v>39000</v>
      </c>
      <c r="J12" s="215">
        <f t="shared" si="11"/>
        <v>0</v>
      </c>
      <c r="K12" s="869">
        <f t="shared" si="11"/>
        <v>0</v>
      </c>
      <c r="L12" s="215">
        <f t="shared" si="11"/>
        <v>0</v>
      </c>
      <c r="M12" s="215">
        <f t="shared" si="11"/>
        <v>780</v>
      </c>
      <c r="N12" s="215">
        <f t="shared" si="11"/>
        <v>0</v>
      </c>
      <c r="O12" s="215">
        <f t="shared" si="11"/>
        <v>0</v>
      </c>
      <c r="P12" s="215">
        <f t="shared" si="11"/>
        <v>0</v>
      </c>
      <c r="Q12" s="215">
        <f t="shared" si="11"/>
        <v>0</v>
      </c>
      <c r="R12" s="663">
        <f t="shared" si="11"/>
        <v>0</v>
      </c>
      <c r="S12" s="663">
        <f t="shared" si="11"/>
        <v>0</v>
      </c>
      <c r="T12" s="663">
        <f t="shared" si="11"/>
        <v>0</v>
      </c>
      <c r="U12" s="663">
        <f t="shared" si="11"/>
        <v>0</v>
      </c>
      <c r="V12" s="663">
        <f t="shared" si="11"/>
        <v>0</v>
      </c>
      <c r="W12" s="663">
        <f t="shared" si="11"/>
        <v>0</v>
      </c>
      <c r="X12" s="663">
        <f>R12</f>
        <v>0</v>
      </c>
      <c r="Y12" s="663">
        <f t="shared" si="11"/>
        <v>0</v>
      </c>
      <c r="Z12" s="663">
        <f t="shared" si="11"/>
        <v>0</v>
      </c>
      <c r="AA12" s="663">
        <f>+R12-Y12</f>
        <v>0</v>
      </c>
      <c r="AB12" s="663">
        <f t="shared" si="11"/>
        <v>0</v>
      </c>
      <c r="AC12" s="957">
        <f>+AA12-AB12</f>
        <v>0</v>
      </c>
      <c r="AD12" s="87" t="s">
        <v>105</v>
      </c>
      <c r="AE12" s="86">
        <f>SUM(AE9:AE11)</f>
        <v>0</v>
      </c>
      <c r="AF12" s="86">
        <f>SUM(AF9:AF11)</f>
        <v>0</v>
      </c>
    </row>
    <row r="13" spans="1:37" ht="15" thickTop="1" x14ac:dyDescent="0.2">
      <c r="A13" s="27"/>
      <c r="B13" s="27"/>
      <c r="C13" s="27"/>
      <c r="D13" s="27"/>
      <c r="E13" s="27"/>
      <c r="F13" s="28"/>
      <c r="G13" s="613"/>
      <c r="H13" s="28"/>
      <c r="I13" s="27"/>
      <c r="J13" s="27"/>
      <c r="K13" s="29"/>
      <c r="L13" s="29"/>
      <c r="M13" s="29"/>
      <c r="N13" s="29"/>
      <c r="O13" s="27" t="s">
        <v>5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</row>
    <row r="14" spans="1:37" ht="14.4" x14ac:dyDescent="0.2">
      <c r="A14" s="27"/>
      <c r="B14" s="27"/>
      <c r="C14" s="27"/>
      <c r="D14" s="27"/>
      <c r="E14" s="27"/>
      <c r="F14" s="28"/>
      <c r="G14" s="613"/>
      <c r="H14" s="28"/>
      <c r="I14" s="27"/>
      <c r="J14" s="27"/>
      <c r="K14" s="29"/>
      <c r="L14" s="29"/>
      <c r="M14" s="29"/>
      <c r="N14" s="29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</row>
    <row r="15" spans="1:37" ht="14.4" x14ac:dyDescent="0.2">
      <c r="A15" s="27"/>
      <c r="B15" s="27"/>
      <c r="C15" s="27"/>
      <c r="D15" s="27"/>
      <c r="E15" s="27"/>
      <c r="F15" s="28"/>
      <c r="G15" s="613"/>
      <c r="H15" s="28"/>
      <c r="I15" s="27"/>
      <c r="J15" s="27"/>
      <c r="K15" s="29"/>
      <c r="L15" s="29"/>
      <c r="M15" s="29"/>
      <c r="N15" s="29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</row>
    <row r="16" spans="1:37" ht="14.4" x14ac:dyDescent="0.2">
      <c r="A16" s="27"/>
      <c r="B16" s="27"/>
      <c r="C16" s="27"/>
      <c r="D16" s="27"/>
      <c r="E16" s="27"/>
      <c r="F16" s="28"/>
      <c r="G16" s="613"/>
      <c r="H16" s="28"/>
      <c r="I16" s="27"/>
      <c r="J16" s="27"/>
      <c r="K16" s="29"/>
      <c r="L16" s="29"/>
      <c r="M16" s="29"/>
      <c r="N16" s="29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</row>
    <row r="17" spans="1:32" ht="14.4" x14ac:dyDescent="0.2">
      <c r="A17" s="27"/>
      <c r="B17" s="27"/>
      <c r="C17" s="27"/>
      <c r="D17" s="27"/>
      <c r="E17" s="27"/>
      <c r="F17" s="28"/>
      <c r="G17" s="613"/>
      <c r="H17" s="28"/>
      <c r="I17" s="27"/>
      <c r="J17" s="27"/>
      <c r="K17" s="29"/>
      <c r="L17" s="29"/>
      <c r="M17" s="29"/>
      <c r="N17" s="29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</row>
    <row r="18" spans="1:32" ht="14.4" x14ac:dyDescent="0.2">
      <c r="A18" s="27"/>
      <c r="B18" s="27"/>
      <c r="C18" s="27"/>
      <c r="D18" s="27"/>
      <c r="E18" s="27"/>
      <c r="F18" s="28"/>
      <c r="G18" s="613"/>
      <c r="H18" s="28"/>
      <c r="I18" s="27"/>
      <c r="J18" s="27"/>
      <c r="K18" s="29"/>
      <c r="L18" s="29"/>
      <c r="M18" s="29"/>
      <c r="N18" s="29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</row>
    <row r="19" spans="1:32" ht="14.4" x14ac:dyDescent="0.2">
      <c r="A19" s="27"/>
      <c r="B19" s="27"/>
      <c r="C19" s="27"/>
      <c r="D19" s="27"/>
      <c r="E19" s="27"/>
      <c r="F19" s="28"/>
      <c r="G19" s="613"/>
      <c r="H19" s="28"/>
      <c r="I19" s="27"/>
      <c r="J19" s="27"/>
      <c r="K19" s="29"/>
      <c r="L19" s="29"/>
      <c r="M19" s="29"/>
      <c r="N19" s="29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</row>
    <row r="20" spans="1:32" ht="14.4" x14ac:dyDescent="0.2">
      <c r="A20" s="27"/>
      <c r="B20" s="27"/>
      <c r="C20" s="27"/>
      <c r="D20" s="27"/>
      <c r="E20" s="27"/>
      <c r="F20" s="28"/>
      <c r="G20" s="613"/>
      <c r="H20" s="28"/>
      <c r="I20" s="27"/>
      <c r="J20" s="27"/>
      <c r="K20" s="29"/>
      <c r="L20" s="29"/>
      <c r="M20" s="29"/>
      <c r="N20" s="29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</row>
    <row r="21" spans="1:32" ht="14.4" x14ac:dyDescent="0.2">
      <c r="A21" s="27"/>
      <c r="B21" s="27"/>
      <c r="C21" s="27"/>
      <c r="D21" s="27"/>
      <c r="E21" s="27"/>
      <c r="F21" s="28"/>
      <c r="G21" s="613"/>
      <c r="H21" s="67"/>
      <c r="I21" s="338"/>
      <c r="J21" s="27"/>
      <c r="K21" s="29"/>
      <c r="L21" s="29"/>
      <c r="M21" s="29"/>
      <c r="N21" s="29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</row>
    <row r="22" spans="1:32" ht="14.4" x14ac:dyDescent="0.2">
      <c r="A22" s="27"/>
      <c r="B22" s="27"/>
      <c r="C22" s="27"/>
      <c r="D22" s="27"/>
      <c r="E22" s="27"/>
      <c r="F22" s="28"/>
      <c r="G22" s="613"/>
      <c r="H22" s="28"/>
      <c r="I22" s="27"/>
      <c r="J22" s="27"/>
      <c r="K22" s="29"/>
      <c r="L22" s="29"/>
      <c r="M22" s="29"/>
      <c r="N22" s="29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</row>
    <row r="23" spans="1:32" ht="14.4" x14ac:dyDescent="0.2">
      <c r="A23" s="30"/>
      <c r="B23" s="27"/>
      <c r="C23" s="30"/>
      <c r="D23" s="27"/>
      <c r="E23" s="27"/>
      <c r="F23" s="28"/>
      <c r="G23" s="613"/>
      <c r="H23" s="28"/>
      <c r="I23" s="27"/>
      <c r="J23" s="27"/>
      <c r="K23" s="29"/>
      <c r="L23" s="29"/>
      <c r="M23" s="29"/>
      <c r="N23" s="29"/>
      <c r="O23" s="30"/>
      <c r="P23" s="30"/>
      <c r="Q23" s="30"/>
      <c r="R23" s="27"/>
      <c r="S23" s="27"/>
      <c r="T23" s="27"/>
      <c r="U23" s="27"/>
      <c r="V23" s="31"/>
      <c r="W23" s="27"/>
      <c r="X23" s="27"/>
      <c r="Y23" s="27"/>
      <c r="Z23" s="27"/>
      <c r="AA23" s="27"/>
      <c r="AB23" s="27"/>
      <c r="AC23" s="30"/>
      <c r="AD23" s="27"/>
      <c r="AE23" s="27"/>
      <c r="AF23" s="27"/>
    </row>
    <row r="24" spans="1:32" ht="14.4" x14ac:dyDescent="0.2">
      <c r="A24" s="30"/>
      <c r="B24" s="27"/>
      <c r="C24" s="30"/>
      <c r="D24" s="27"/>
      <c r="E24" s="27"/>
      <c r="F24" s="28"/>
      <c r="G24" s="613"/>
      <c r="H24" s="28"/>
      <c r="I24" s="27"/>
      <c r="J24" s="27"/>
      <c r="K24" s="29"/>
      <c r="L24" s="29"/>
      <c r="M24" s="29"/>
      <c r="N24" s="29"/>
      <c r="O24" s="30"/>
      <c r="P24" s="30"/>
      <c r="Q24" s="30"/>
      <c r="R24" s="27"/>
      <c r="S24" s="27"/>
      <c r="T24" s="27"/>
      <c r="U24" s="27"/>
      <c r="V24" s="32"/>
      <c r="W24" s="27"/>
      <c r="X24" s="27"/>
      <c r="Y24" s="27"/>
      <c r="Z24" s="27"/>
      <c r="AA24" s="27"/>
      <c r="AB24" s="27"/>
      <c r="AC24" s="30"/>
      <c r="AD24" s="27"/>
      <c r="AE24" s="27"/>
      <c r="AF24" s="27"/>
    </row>
    <row r="25" spans="1:32" ht="14.4" x14ac:dyDescent="0.2">
      <c r="A25" s="30"/>
      <c r="B25" s="27"/>
      <c r="C25" s="1165"/>
      <c r="D25" s="1165"/>
      <c r="E25" s="1165"/>
      <c r="F25" s="1165"/>
      <c r="G25" s="614"/>
      <c r="H25" s="49"/>
      <c r="I25" s="27"/>
      <c r="J25" s="27"/>
      <c r="K25" s="1166"/>
      <c r="L25" s="1166"/>
      <c r="M25" s="1166"/>
      <c r="N25" s="1166"/>
      <c r="O25" s="1166"/>
      <c r="P25" s="1166"/>
      <c r="Q25" s="1166"/>
      <c r="R25" s="1166"/>
      <c r="S25" s="1166"/>
      <c r="T25" s="1166"/>
      <c r="U25" s="1166"/>
      <c r="V25" s="1166"/>
      <c r="W25" s="1166"/>
      <c r="X25" s="29"/>
      <c r="Y25" s="27"/>
      <c r="Z25" s="27"/>
      <c r="AA25" s="27"/>
      <c r="AB25" s="27"/>
      <c r="AC25" s="1165"/>
      <c r="AD25" s="1165"/>
      <c r="AE25" s="1165"/>
      <c r="AF25" s="1165"/>
    </row>
    <row r="26" spans="1:32" ht="14.4" x14ac:dyDescent="0.2">
      <c r="A26" s="27"/>
      <c r="B26" s="27"/>
      <c r="C26" s="1167" t="s">
        <v>23</v>
      </c>
      <c r="D26" s="1167"/>
      <c r="E26" s="1167"/>
      <c r="F26" s="1167"/>
      <c r="G26" s="674"/>
      <c r="H26" s="52"/>
      <c r="I26" s="27"/>
      <c r="J26" s="27"/>
      <c r="K26" s="1167" t="s">
        <v>24</v>
      </c>
      <c r="L26" s="1167"/>
      <c r="M26" s="1167"/>
      <c r="N26" s="1167"/>
      <c r="O26" s="1167"/>
      <c r="P26" s="1167"/>
      <c r="Q26" s="1167"/>
      <c r="R26" s="1167"/>
      <c r="S26" s="1167"/>
      <c r="T26" s="1167"/>
      <c r="U26" s="1167"/>
      <c r="V26" s="1167"/>
      <c r="W26" s="1167"/>
      <c r="X26" s="52"/>
      <c r="Y26" s="27"/>
      <c r="Z26" s="27"/>
      <c r="AA26" s="27"/>
      <c r="AB26" s="27"/>
      <c r="AC26" s="1167" t="s">
        <v>25</v>
      </c>
      <c r="AD26" s="1167"/>
      <c r="AE26" s="1167"/>
      <c r="AF26" s="1167"/>
    </row>
    <row r="27" spans="1:32" ht="14.4" x14ac:dyDescent="0.2">
      <c r="A27" s="30"/>
      <c r="B27" s="27"/>
      <c r="C27" s="1159" t="str">
        <f>+ADMON!C30</f>
        <v>Jose Martin Conrrado</v>
      </c>
      <c r="D27" s="1159"/>
      <c r="E27" s="1159"/>
      <c r="F27" s="1159"/>
      <c r="G27" s="675"/>
      <c r="H27" s="48"/>
      <c r="I27" s="27"/>
      <c r="J27" s="30"/>
      <c r="K27" s="1159" t="s">
        <v>296</v>
      </c>
      <c r="L27" s="1159"/>
      <c r="M27" s="1159"/>
      <c r="N27" s="1159"/>
      <c r="O27" s="1159"/>
      <c r="P27" s="1159"/>
      <c r="Q27" s="1159"/>
      <c r="R27" s="1159"/>
      <c r="S27" s="1159"/>
      <c r="T27" s="1159"/>
      <c r="U27" s="1159"/>
      <c r="V27" s="1159"/>
      <c r="W27" s="1159"/>
      <c r="X27" s="48"/>
      <c r="Y27" s="33"/>
      <c r="Z27" s="33"/>
      <c r="AA27" s="33"/>
      <c r="AB27" s="33"/>
      <c r="AC27" s="1160" t="s">
        <v>27</v>
      </c>
      <c r="AD27" s="1160"/>
      <c r="AE27" s="1160"/>
      <c r="AF27" s="1160"/>
    </row>
    <row r="28" spans="1:32" ht="14.4" x14ac:dyDescent="0.2">
      <c r="A28" s="8"/>
      <c r="B28" s="8"/>
      <c r="C28" s="1161"/>
      <c r="D28" s="1161"/>
      <c r="E28" s="25"/>
      <c r="F28" s="25"/>
      <c r="G28" s="671"/>
      <c r="H28" s="25"/>
      <c r="I28" s="8"/>
      <c r="J28" s="8"/>
      <c r="K28" s="9"/>
      <c r="L28" s="9"/>
      <c r="M28" s="9"/>
      <c r="N28" s="9"/>
      <c r="O28" s="1161"/>
      <c r="P28" s="1161"/>
      <c r="Q28" s="1161"/>
      <c r="R28" s="1161"/>
      <c r="S28" s="1161"/>
      <c r="T28" s="1161"/>
      <c r="U28" s="1161"/>
      <c r="V28" s="25"/>
      <c r="W28" s="25"/>
      <c r="X28" s="25"/>
      <c r="Y28" s="25"/>
      <c r="Z28" s="25"/>
      <c r="AA28" s="25"/>
      <c r="AB28" s="25"/>
      <c r="AC28" s="8"/>
      <c r="AD28" s="8"/>
      <c r="AE28" s="8"/>
      <c r="AF28" s="8"/>
    </row>
  </sheetData>
  <protectedRanges>
    <protectedRange sqref="D9:D11" name="Nomina_2_1_2_1"/>
  </protectedRanges>
  <mergeCells count="49">
    <mergeCell ref="AC6:AC8"/>
    <mergeCell ref="R6:W6"/>
    <mergeCell ref="X6:X8"/>
    <mergeCell ref="N7:N8"/>
    <mergeCell ref="K7:K8"/>
    <mergeCell ref="L7:L8"/>
    <mergeCell ref="M7:M8"/>
    <mergeCell ref="Y6:Y8"/>
    <mergeCell ref="O7:O8"/>
    <mergeCell ref="P7:P8"/>
    <mergeCell ref="A1:AD1"/>
    <mergeCell ref="A2:AF2"/>
    <mergeCell ref="A3:AF3"/>
    <mergeCell ref="A6:A8"/>
    <mergeCell ref="B6:B8"/>
    <mergeCell ref="C6:C8"/>
    <mergeCell ref="D6:D8"/>
    <mergeCell ref="E6:E8"/>
    <mergeCell ref="F6:F8"/>
    <mergeCell ref="G6:G8"/>
    <mergeCell ref="AE6:AE8"/>
    <mergeCell ref="AF6:AF8"/>
    <mergeCell ref="V7:V8"/>
    <mergeCell ref="AB6:AB8"/>
    <mergeCell ref="R7:R8"/>
    <mergeCell ref="AD6:AD8"/>
    <mergeCell ref="C28:D28"/>
    <mergeCell ref="O28:U28"/>
    <mergeCell ref="Q7:Q8"/>
    <mergeCell ref="W7:W8"/>
    <mergeCell ref="U7:U8"/>
    <mergeCell ref="I6:I8"/>
    <mergeCell ref="J6:O6"/>
    <mergeCell ref="B4:AF4"/>
    <mergeCell ref="C27:F27"/>
    <mergeCell ref="K27:W27"/>
    <mergeCell ref="AC27:AF27"/>
    <mergeCell ref="C25:F25"/>
    <mergeCell ref="K25:W25"/>
    <mergeCell ref="AC25:AF25"/>
    <mergeCell ref="C26:F26"/>
    <mergeCell ref="K26:W26"/>
    <mergeCell ref="AC26:AF26"/>
    <mergeCell ref="S7:S8"/>
    <mergeCell ref="T7:T8"/>
    <mergeCell ref="H6:H8"/>
    <mergeCell ref="A12:D12"/>
    <mergeCell ref="J7:J8"/>
    <mergeCell ref="AA6:AA8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0" orientation="portrait" r:id="rId1"/>
  <colBreaks count="2" manualBreakCount="2">
    <brk id="30" max="1048575" man="1"/>
    <brk id="32" max="1048575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C4A7-A428-4891-92EF-6F641CD34329}">
  <sheetPr>
    <tabColor rgb="FF0070C0"/>
  </sheetPr>
  <dimension ref="A1:AE28"/>
  <sheetViews>
    <sheetView topLeftCell="A5" zoomScaleNormal="100" workbookViewId="0">
      <selection activeCell="K13" sqref="K13"/>
    </sheetView>
  </sheetViews>
  <sheetFormatPr baseColWidth="10" defaultRowHeight="10.199999999999999" x14ac:dyDescent="0.2"/>
  <cols>
    <col min="1" max="1" width="6.85546875" customWidth="1"/>
    <col min="2" max="2" width="5" bestFit="1" customWidth="1"/>
    <col min="3" max="3" width="8" customWidth="1"/>
    <col min="4" max="4" width="38.85546875" customWidth="1"/>
    <col min="7" max="7" width="0" hidden="1" customWidth="1"/>
    <col min="8" max="8" width="21.42578125" bestFit="1" customWidth="1"/>
    <col min="9" max="9" width="14.42578125" bestFit="1" customWidth="1"/>
    <col min="10" max="10" width="18.85546875" bestFit="1" customWidth="1"/>
    <col min="12" max="14" width="0" hidden="1" customWidth="1"/>
    <col min="15" max="15" width="14.42578125" bestFit="1" customWidth="1"/>
    <col min="16" max="17" width="12.85546875" bestFit="1" customWidth="1"/>
    <col min="18" max="18" width="14.42578125" bestFit="1" customWidth="1"/>
    <col min="19" max="19" width="13.42578125" hidden="1" customWidth="1"/>
    <col min="20" max="23" width="12" hidden="1" customWidth="1"/>
    <col min="24" max="24" width="14.42578125" customWidth="1"/>
    <col min="25" max="25" width="13.28515625" bestFit="1" customWidth="1"/>
    <col min="26" max="26" width="13.28515625" customWidth="1"/>
    <col min="27" max="27" width="15.42578125" hidden="1" customWidth="1"/>
    <col min="28" max="28" width="19.42578125" hidden="1" customWidth="1"/>
    <col min="29" max="29" width="54.28515625" customWidth="1"/>
    <col min="30" max="31" width="0" hidden="1" customWidth="1"/>
  </cols>
  <sheetData>
    <row r="1" spans="1:31" s="911" customFormat="1" ht="33.75" customHeight="1" x14ac:dyDescent="0.4">
      <c r="A1" s="1446" t="s">
        <v>315</v>
      </c>
      <c r="B1" s="1446"/>
      <c r="C1" s="1446"/>
      <c r="D1" s="1446"/>
      <c r="E1" s="1446"/>
      <c r="F1" s="1446"/>
      <c r="G1" s="1446"/>
      <c r="H1" s="1446"/>
      <c r="I1" s="1446"/>
      <c r="J1" s="1446"/>
      <c r="K1" s="1446"/>
      <c r="L1" s="1446"/>
      <c r="M1" s="1446"/>
      <c r="N1" s="1446"/>
      <c r="O1" s="1446"/>
      <c r="P1" s="1446"/>
      <c r="Q1" s="1446"/>
      <c r="R1" s="1446"/>
      <c r="S1" s="1446"/>
      <c r="T1" s="1446"/>
      <c r="U1" s="1446"/>
      <c r="V1" s="1446"/>
      <c r="W1" s="1446"/>
      <c r="X1" s="1446"/>
      <c r="Y1" s="1446"/>
      <c r="Z1" s="1446"/>
      <c r="AA1" s="1446"/>
      <c r="AB1" s="1446"/>
      <c r="AC1" s="1446"/>
    </row>
    <row r="2" spans="1:31" ht="18" hidden="1" customHeight="1" x14ac:dyDescent="0.2">
      <c r="A2" s="1370" t="s">
        <v>441</v>
      </c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  <c r="P2" s="1370"/>
      <c r="Q2" s="1370"/>
      <c r="R2" s="1370"/>
      <c r="S2" s="1370"/>
      <c r="T2" s="1370"/>
      <c r="U2" s="1370"/>
      <c r="V2" s="1370"/>
      <c r="W2" s="1370"/>
      <c r="X2" s="1370"/>
      <c r="Y2" s="1370"/>
      <c r="Z2" s="1370"/>
      <c r="AA2" s="1370"/>
      <c r="AB2" s="1370"/>
      <c r="AC2" s="1370"/>
      <c r="AD2" s="1370"/>
      <c r="AE2" s="1370"/>
    </row>
    <row r="3" spans="1:31" ht="24.75" customHeight="1" x14ac:dyDescent="0.2">
      <c r="A3" s="1370" t="s">
        <v>478</v>
      </c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0"/>
      <c r="AB3" s="1370"/>
      <c r="AC3" s="1370"/>
      <c r="AD3" s="1370"/>
      <c r="AE3" s="1370"/>
    </row>
    <row r="4" spans="1:31" ht="22.8" x14ac:dyDescent="0.4">
      <c r="A4" s="866"/>
      <c r="B4" s="1366" t="str">
        <f>+ADMON!A5</f>
        <v>QUINCENA DEL 16  AL 30  DE ABRIL - 2026</v>
      </c>
      <c r="C4" s="1366"/>
      <c r="D4" s="1366"/>
      <c r="E4" s="1366"/>
      <c r="F4" s="1366"/>
      <c r="G4" s="1366"/>
      <c r="H4" s="1366"/>
      <c r="I4" s="1366"/>
      <c r="J4" s="1366"/>
      <c r="K4" s="1366"/>
      <c r="L4" s="1366"/>
      <c r="M4" s="1366"/>
      <c r="N4" s="1366"/>
      <c r="O4" s="1366"/>
      <c r="P4" s="1366"/>
      <c r="Q4" s="1366"/>
      <c r="R4" s="1366"/>
      <c r="S4" s="1366"/>
      <c r="T4" s="1366"/>
      <c r="U4" s="1366"/>
      <c r="V4" s="1366"/>
      <c r="W4" s="1366"/>
      <c r="X4" s="1366"/>
      <c r="Y4" s="1366"/>
      <c r="Z4" s="1366"/>
      <c r="AA4" s="1366"/>
      <c r="AB4" s="1366"/>
      <c r="AC4" s="1366"/>
      <c r="AD4" s="866"/>
      <c r="AE4" s="866"/>
    </row>
    <row r="5" spans="1:31" ht="18" thickBot="1" x14ac:dyDescent="0.35">
      <c r="A5" s="74"/>
      <c r="B5" s="75"/>
      <c r="C5" s="74"/>
      <c r="D5" s="74"/>
      <c r="E5" s="74"/>
      <c r="F5" s="74"/>
      <c r="G5" s="74"/>
      <c r="H5" s="74"/>
      <c r="I5" s="74"/>
      <c r="J5" s="74"/>
      <c r="K5" s="74"/>
      <c r="L5" s="74">
        <v>6</v>
      </c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26"/>
      <c r="AD5" s="26"/>
      <c r="AE5" s="26"/>
    </row>
    <row r="6" spans="1:31" ht="21" customHeight="1" thickTop="1" thickBot="1" x14ac:dyDescent="0.25">
      <c r="A6" s="1143" t="s">
        <v>2</v>
      </c>
      <c r="B6" s="1143" t="s">
        <v>3</v>
      </c>
      <c r="C6" s="1179" t="s">
        <v>4</v>
      </c>
      <c r="D6" s="1143" t="s">
        <v>6</v>
      </c>
      <c r="E6" s="1179" t="s">
        <v>187</v>
      </c>
      <c r="F6" s="1143" t="s">
        <v>7</v>
      </c>
      <c r="G6" s="1375" t="s">
        <v>125</v>
      </c>
      <c r="H6" s="1376" t="s">
        <v>82</v>
      </c>
      <c r="I6" s="1143" t="s">
        <v>8</v>
      </c>
      <c r="J6" s="1151" t="s">
        <v>9</v>
      </c>
      <c r="K6" s="1151"/>
      <c r="L6" s="1151"/>
      <c r="M6" s="1151"/>
      <c r="N6" s="1151"/>
      <c r="O6" s="1151"/>
      <c r="P6" s="351"/>
      <c r="Q6" s="351"/>
      <c r="R6" s="1143" t="s">
        <v>10</v>
      </c>
      <c r="S6" s="1143"/>
      <c r="T6" s="1143"/>
      <c r="U6" s="1143"/>
      <c r="V6" s="1143"/>
      <c r="W6" s="1143"/>
      <c r="X6" s="1335" t="s">
        <v>29</v>
      </c>
      <c r="Y6" s="1157" t="s">
        <v>114</v>
      </c>
      <c r="Z6" s="1170" t="s">
        <v>73</v>
      </c>
      <c r="AA6" s="1157" t="s">
        <v>99</v>
      </c>
      <c r="AB6" s="1143" t="s">
        <v>11</v>
      </c>
      <c r="AC6" s="1173" t="s">
        <v>12</v>
      </c>
      <c r="AD6" s="1143" t="str">
        <f>+P7</f>
        <v>VACACIONES</v>
      </c>
      <c r="AE6" s="1143" t="str">
        <f>+Q7</f>
        <v>13VO MES</v>
      </c>
    </row>
    <row r="7" spans="1:31" ht="18" customHeight="1" thickTop="1" thickBot="1" x14ac:dyDescent="0.25">
      <c r="A7" s="1143"/>
      <c r="B7" s="1143"/>
      <c r="C7" s="1180"/>
      <c r="D7" s="1143"/>
      <c r="E7" s="1180"/>
      <c r="F7" s="1143"/>
      <c r="G7" s="1375"/>
      <c r="H7" s="1376"/>
      <c r="I7" s="1143"/>
      <c r="J7" s="1143" t="s">
        <v>177</v>
      </c>
      <c r="K7" s="1445" t="s">
        <v>16</v>
      </c>
      <c r="L7" s="1168" t="s">
        <v>196</v>
      </c>
      <c r="M7" s="1168" t="s">
        <v>197</v>
      </c>
      <c r="N7" s="1333" t="s">
        <v>195</v>
      </c>
      <c r="O7" s="1143" t="s">
        <v>200</v>
      </c>
      <c r="P7" s="1335" t="s">
        <v>199</v>
      </c>
      <c r="Q7" s="1335" t="s">
        <v>53</v>
      </c>
      <c r="R7" s="1143" t="s">
        <v>29</v>
      </c>
      <c r="S7" s="1170"/>
      <c r="T7" s="1335" t="s">
        <v>3</v>
      </c>
      <c r="U7" s="1143" t="s">
        <v>19</v>
      </c>
      <c r="V7" s="1143" t="s">
        <v>94</v>
      </c>
      <c r="W7" s="1143" t="s">
        <v>20</v>
      </c>
      <c r="X7" s="1337"/>
      <c r="Y7" s="1157"/>
      <c r="Z7" s="1171"/>
      <c r="AA7" s="1157"/>
      <c r="AB7" s="1143"/>
      <c r="AC7" s="1173"/>
      <c r="AD7" s="1143"/>
      <c r="AE7" s="1143"/>
    </row>
    <row r="8" spans="1:31" ht="18.75" customHeight="1" thickTop="1" thickBot="1" x14ac:dyDescent="0.25">
      <c r="A8" s="1143"/>
      <c r="B8" s="1143"/>
      <c r="C8" s="1181"/>
      <c r="D8" s="1143"/>
      <c r="E8" s="1181"/>
      <c r="F8" s="1143"/>
      <c r="G8" s="1375"/>
      <c r="H8" s="1376"/>
      <c r="I8" s="1143"/>
      <c r="J8" s="1143"/>
      <c r="K8" s="1445"/>
      <c r="L8" s="1169"/>
      <c r="M8" s="1169"/>
      <c r="N8" s="1334"/>
      <c r="O8" s="1143"/>
      <c r="P8" s="1336"/>
      <c r="Q8" s="1336"/>
      <c r="R8" s="1143"/>
      <c r="S8" s="1172"/>
      <c r="T8" s="1336"/>
      <c r="U8" s="1143"/>
      <c r="V8" s="1143"/>
      <c r="W8" s="1143"/>
      <c r="X8" s="1336"/>
      <c r="Y8" s="1157"/>
      <c r="Z8" s="1172"/>
      <c r="AA8" s="1157"/>
      <c r="AB8" s="1143"/>
      <c r="AC8" s="1173"/>
      <c r="AD8" s="1143"/>
      <c r="AE8" s="1143"/>
    </row>
    <row r="9" spans="1:31" ht="90.75" customHeight="1" thickTop="1" thickBot="1" x14ac:dyDescent="0.25">
      <c r="A9" s="319">
        <v>1</v>
      </c>
      <c r="B9" s="354">
        <v>0</v>
      </c>
      <c r="C9" s="358" t="s">
        <v>463</v>
      </c>
      <c r="D9" s="632" t="s">
        <v>317</v>
      </c>
      <c r="E9" s="211" t="s">
        <v>32</v>
      </c>
      <c r="F9" s="353" t="s">
        <v>444</v>
      </c>
      <c r="G9" s="79" t="e">
        <f>+#REF!</f>
        <v>#REF!</v>
      </c>
      <c r="H9" s="216">
        <v>400</v>
      </c>
      <c r="I9" s="321">
        <f>+H9*30</f>
        <v>12000</v>
      </c>
      <c r="J9" s="631">
        <f t="shared" ref="J9:J12" si="0">(I9/30*K9)</f>
        <v>0</v>
      </c>
      <c r="K9" s="1027">
        <v>0</v>
      </c>
      <c r="L9" s="328">
        <f t="shared" ref="L9:L12" si="1">+M9*N9</f>
        <v>0</v>
      </c>
      <c r="M9" s="584">
        <f t="shared" ref="M9:M12" si="2">H9*60%</f>
        <v>240</v>
      </c>
      <c r="N9" s="328">
        <v>0</v>
      </c>
      <c r="O9" s="585">
        <f t="shared" ref="O9:O12" si="3">+J9-P9-Q9</f>
        <v>0</v>
      </c>
      <c r="P9" s="585">
        <f t="shared" ref="P9:P12" si="4">+J9/12</f>
        <v>0</v>
      </c>
      <c r="Q9" s="585">
        <f t="shared" ref="Q9:Q12" si="5">+P9</f>
        <v>0</v>
      </c>
      <c r="R9" s="583">
        <f t="shared" ref="R9:R12" si="6">+Q9+O9+P9</f>
        <v>0</v>
      </c>
      <c r="S9" s="588">
        <f t="shared" ref="S9:S12" si="7">O9+P9</f>
        <v>0</v>
      </c>
      <c r="T9" s="583"/>
      <c r="U9" s="583"/>
      <c r="V9" s="583"/>
      <c r="W9" s="585">
        <f t="shared" ref="W9:W12" si="8">T9</f>
        <v>0</v>
      </c>
      <c r="X9" s="585">
        <f t="shared" ref="X9:X12" si="9">-W9+O9+P9+Q9</f>
        <v>0</v>
      </c>
      <c r="Y9" s="324">
        <v>0</v>
      </c>
      <c r="Z9" s="324">
        <f>+X9-Y9</f>
        <v>0</v>
      </c>
      <c r="AA9" s="324">
        <v>0</v>
      </c>
      <c r="AB9" s="630">
        <f t="shared" ref="AB9:AB12" si="10">X9-Y9-AA9</f>
        <v>0</v>
      </c>
      <c r="AC9" s="325"/>
      <c r="AD9" s="325">
        <v>0</v>
      </c>
      <c r="AE9" s="325">
        <v>0</v>
      </c>
    </row>
    <row r="10" spans="1:31" ht="73.5" customHeight="1" thickTop="1" thickBot="1" x14ac:dyDescent="0.25">
      <c r="A10" s="319">
        <v>2</v>
      </c>
      <c r="B10" s="354"/>
      <c r="C10" s="358" t="s">
        <v>472</v>
      </c>
      <c r="D10" s="632" t="s">
        <v>471</v>
      </c>
      <c r="E10" s="211" t="s">
        <v>32</v>
      </c>
      <c r="F10" s="353" t="s">
        <v>337</v>
      </c>
      <c r="G10" s="79" t="e">
        <f>+#REF!</f>
        <v>#REF!</v>
      </c>
      <c r="H10" s="216">
        <v>400</v>
      </c>
      <c r="I10" s="321">
        <f t="shared" ref="I10:I12" si="11">+H10*30</f>
        <v>12000</v>
      </c>
      <c r="J10" s="631">
        <f t="shared" si="0"/>
        <v>0</v>
      </c>
      <c r="K10" s="1027">
        <v>0</v>
      </c>
      <c r="L10" s="328">
        <f t="shared" si="1"/>
        <v>0</v>
      </c>
      <c r="M10" s="584">
        <f t="shared" si="2"/>
        <v>240</v>
      </c>
      <c r="N10" s="328">
        <v>0</v>
      </c>
      <c r="O10" s="585">
        <f t="shared" si="3"/>
        <v>0</v>
      </c>
      <c r="P10" s="585">
        <f t="shared" si="4"/>
        <v>0</v>
      </c>
      <c r="Q10" s="585">
        <f t="shared" si="5"/>
        <v>0</v>
      </c>
      <c r="R10" s="583">
        <f t="shared" si="6"/>
        <v>0</v>
      </c>
      <c r="S10" s="588">
        <f t="shared" si="7"/>
        <v>0</v>
      </c>
      <c r="T10" s="583"/>
      <c r="U10" s="583"/>
      <c r="V10" s="583"/>
      <c r="W10" s="585">
        <f t="shared" si="8"/>
        <v>0</v>
      </c>
      <c r="X10" s="585">
        <f t="shared" si="9"/>
        <v>0</v>
      </c>
      <c r="Y10" s="324">
        <v>0</v>
      </c>
      <c r="Z10" s="324">
        <f t="shared" ref="Z10:Z13" si="12">+X10-Y10</f>
        <v>0</v>
      </c>
      <c r="AA10" s="324">
        <v>0</v>
      </c>
      <c r="AB10" s="630">
        <f t="shared" si="10"/>
        <v>0</v>
      </c>
      <c r="AC10" s="325"/>
      <c r="AD10" s="325">
        <v>0</v>
      </c>
      <c r="AE10" s="325">
        <v>0</v>
      </c>
    </row>
    <row r="11" spans="1:31" ht="74.25" customHeight="1" thickTop="1" thickBot="1" x14ac:dyDescent="0.25">
      <c r="A11" s="319">
        <v>3</v>
      </c>
      <c r="B11" s="354">
        <v>0</v>
      </c>
      <c r="C11" s="358">
        <v>0</v>
      </c>
      <c r="D11" s="632" t="s">
        <v>437</v>
      </c>
      <c r="E11" s="211" t="s">
        <v>32</v>
      </c>
      <c r="F11" s="353" t="s">
        <v>264</v>
      </c>
      <c r="G11" s="79" t="e">
        <f>+#REF!</f>
        <v>#REF!</v>
      </c>
      <c r="H11" s="216">
        <v>500</v>
      </c>
      <c r="I11" s="321">
        <f t="shared" ref="I11" si="13">+H11*30</f>
        <v>15000</v>
      </c>
      <c r="J11" s="631">
        <f t="shared" ref="J11" si="14">(I11/30*K11)</f>
        <v>0</v>
      </c>
      <c r="K11" s="1027">
        <v>0</v>
      </c>
      <c r="L11" s="328">
        <f t="shared" ref="L11" si="15">+M11*N11</f>
        <v>0</v>
      </c>
      <c r="M11" s="584">
        <f t="shared" ref="M11" si="16">H11*60%</f>
        <v>300</v>
      </c>
      <c r="N11" s="328">
        <v>0</v>
      </c>
      <c r="O11" s="585">
        <f t="shared" ref="O11" si="17">+J11-P11-Q11</f>
        <v>0</v>
      </c>
      <c r="P11" s="585">
        <f t="shared" ref="P11" si="18">+J11/12</f>
        <v>0</v>
      </c>
      <c r="Q11" s="585">
        <f t="shared" ref="Q11" si="19">+P11</f>
        <v>0</v>
      </c>
      <c r="R11" s="583">
        <f t="shared" ref="R11" si="20">+Q11+O11+P11</f>
        <v>0</v>
      </c>
      <c r="S11" s="588">
        <f t="shared" ref="S11" si="21">O11+P11</f>
        <v>0</v>
      </c>
      <c r="T11" s="583"/>
      <c r="U11" s="583"/>
      <c r="V11" s="583"/>
      <c r="W11" s="585">
        <f t="shared" ref="W11" si="22">T11</f>
        <v>0</v>
      </c>
      <c r="X11" s="585">
        <f t="shared" ref="X11" si="23">-W11+O11+P11+Q11</f>
        <v>0</v>
      </c>
      <c r="Y11" s="324">
        <v>0</v>
      </c>
      <c r="Z11" s="324">
        <f t="shared" si="12"/>
        <v>0</v>
      </c>
      <c r="AA11" s="324">
        <v>0</v>
      </c>
      <c r="AB11" s="630">
        <f t="shared" ref="AB11" si="24">X11-Y11-AA11</f>
        <v>0</v>
      </c>
      <c r="AC11" s="325"/>
      <c r="AD11" s="325">
        <v>0</v>
      </c>
      <c r="AE11" s="325">
        <v>0</v>
      </c>
    </row>
    <row r="12" spans="1:31" ht="74.25" hidden="1" customHeight="1" thickTop="1" thickBot="1" x14ac:dyDescent="0.25">
      <c r="A12" s="319">
        <v>3</v>
      </c>
      <c r="B12" s="354">
        <v>0</v>
      </c>
      <c r="C12" s="358">
        <v>0</v>
      </c>
      <c r="D12" s="632" t="s">
        <v>507</v>
      </c>
      <c r="E12" s="211" t="s">
        <v>32</v>
      </c>
      <c r="F12" s="353" t="s">
        <v>264</v>
      </c>
      <c r="G12" s="79" t="e">
        <f>+#REF!</f>
        <v>#REF!</v>
      </c>
      <c r="H12" s="216">
        <v>500</v>
      </c>
      <c r="I12" s="321">
        <f t="shared" si="11"/>
        <v>15000</v>
      </c>
      <c r="J12" s="631">
        <f t="shared" si="0"/>
        <v>0</v>
      </c>
      <c r="K12" s="1001">
        <v>0</v>
      </c>
      <c r="L12" s="328">
        <f t="shared" si="1"/>
        <v>0</v>
      </c>
      <c r="M12" s="584">
        <f t="shared" si="2"/>
        <v>300</v>
      </c>
      <c r="N12" s="328">
        <v>0</v>
      </c>
      <c r="O12" s="585">
        <f t="shared" si="3"/>
        <v>0</v>
      </c>
      <c r="P12" s="585">
        <f t="shared" si="4"/>
        <v>0</v>
      </c>
      <c r="Q12" s="585">
        <f t="shared" si="5"/>
        <v>0</v>
      </c>
      <c r="R12" s="583">
        <f t="shared" si="6"/>
        <v>0</v>
      </c>
      <c r="S12" s="588">
        <f t="shared" si="7"/>
        <v>0</v>
      </c>
      <c r="T12" s="583"/>
      <c r="U12" s="583"/>
      <c r="V12" s="583"/>
      <c r="W12" s="585">
        <f t="shared" si="8"/>
        <v>0</v>
      </c>
      <c r="X12" s="585">
        <f t="shared" si="9"/>
        <v>0</v>
      </c>
      <c r="Y12" s="324">
        <v>0</v>
      </c>
      <c r="Z12" s="324">
        <f>+X12-Y12</f>
        <v>0</v>
      </c>
      <c r="AA12" s="324">
        <v>0</v>
      </c>
      <c r="AB12" s="630">
        <f t="shared" si="10"/>
        <v>0</v>
      </c>
      <c r="AC12" s="325"/>
      <c r="AD12" s="325">
        <v>0</v>
      </c>
      <c r="AE12" s="325">
        <v>0</v>
      </c>
    </row>
    <row r="13" spans="1:31" ht="64.5" customHeight="1" thickTop="1" thickBot="1" x14ac:dyDescent="0.25">
      <c r="A13" s="1162" t="s">
        <v>95</v>
      </c>
      <c r="B13" s="1163"/>
      <c r="C13" s="1163"/>
      <c r="D13" s="1164"/>
      <c r="E13" s="215"/>
      <c r="F13" s="215"/>
      <c r="G13" s="215" t="e">
        <f>SUM(#REF!)</f>
        <v>#REF!</v>
      </c>
      <c r="H13" s="215">
        <f>SUM(H9:H12)</f>
        <v>1800</v>
      </c>
      <c r="I13" s="215">
        <f t="shared" ref="I13:AB13" si="25">SUM(I9:I12)</f>
        <v>54000</v>
      </c>
      <c r="J13" s="215">
        <f t="shared" si="25"/>
        <v>0</v>
      </c>
      <c r="K13" s="869">
        <f t="shared" si="25"/>
        <v>0</v>
      </c>
      <c r="L13" s="215">
        <f t="shared" si="25"/>
        <v>0</v>
      </c>
      <c r="M13" s="215">
        <f t="shared" si="25"/>
        <v>1080</v>
      </c>
      <c r="N13" s="215">
        <f t="shared" si="25"/>
        <v>0</v>
      </c>
      <c r="O13" s="215">
        <f t="shared" si="25"/>
        <v>0</v>
      </c>
      <c r="P13" s="215">
        <f t="shared" si="25"/>
        <v>0</v>
      </c>
      <c r="Q13" s="215">
        <f t="shared" si="25"/>
        <v>0</v>
      </c>
      <c r="R13" s="663">
        <f t="shared" si="25"/>
        <v>0</v>
      </c>
      <c r="S13" s="663">
        <f t="shared" si="25"/>
        <v>0</v>
      </c>
      <c r="T13" s="663">
        <f t="shared" si="25"/>
        <v>0</v>
      </c>
      <c r="U13" s="663">
        <f t="shared" si="25"/>
        <v>0</v>
      </c>
      <c r="V13" s="663">
        <f t="shared" si="25"/>
        <v>0</v>
      </c>
      <c r="W13" s="663">
        <f t="shared" si="25"/>
        <v>0</v>
      </c>
      <c r="X13" s="663">
        <f t="shared" si="25"/>
        <v>0</v>
      </c>
      <c r="Y13" s="215">
        <f t="shared" si="25"/>
        <v>0</v>
      </c>
      <c r="Z13" s="324">
        <f t="shared" si="12"/>
        <v>0</v>
      </c>
      <c r="AA13" s="215">
        <f t="shared" si="25"/>
        <v>0</v>
      </c>
      <c r="AB13" s="946">
        <f t="shared" si="25"/>
        <v>0</v>
      </c>
      <c r="AC13" s="87" t="s">
        <v>105</v>
      </c>
      <c r="AD13" s="86">
        <f>SUM(AD9:AD12)</f>
        <v>0</v>
      </c>
      <c r="AE13" s="86">
        <f>SUM(AE9:AE12)</f>
        <v>0</v>
      </c>
    </row>
    <row r="14" spans="1:31" ht="15" thickTop="1" x14ac:dyDescent="0.2">
      <c r="A14" s="27"/>
      <c r="B14" s="27"/>
      <c r="C14" s="27"/>
      <c r="D14" s="27"/>
      <c r="E14" s="27"/>
      <c r="F14" s="28"/>
      <c r="G14" s="613"/>
      <c r="H14" s="28"/>
      <c r="I14" s="27"/>
      <c r="J14" s="27"/>
      <c r="K14" s="29"/>
      <c r="L14" s="29"/>
      <c r="M14" s="29"/>
      <c r="N14" s="29"/>
      <c r="O14" s="27" t="s">
        <v>5</v>
      </c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31" ht="14.4" x14ac:dyDescent="0.2">
      <c r="A15" s="27"/>
      <c r="B15" s="27"/>
      <c r="C15" s="27"/>
      <c r="D15" s="27"/>
      <c r="E15" s="27"/>
      <c r="F15" s="28"/>
      <c r="G15" s="613"/>
      <c r="H15" s="28"/>
      <c r="I15" s="27"/>
      <c r="J15" s="27"/>
      <c r="K15" s="29"/>
      <c r="L15" s="29"/>
      <c r="M15" s="29"/>
      <c r="N15" s="29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1" ht="14.4" x14ac:dyDescent="0.2">
      <c r="A16" s="27"/>
      <c r="B16" s="27"/>
      <c r="C16" s="27"/>
      <c r="D16" s="27"/>
      <c r="E16" s="27"/>
      <c r="F16" s="28"/>
      <c r="G16" s="613"/>
      <c r="H16" s="28"/>
      <c r="I16" s="27"/>
      <c r="J16" s="27"/>
      <c r="K16" s="29"/>
      <c r="L16" s="29"/>
      <c r="M16" s="29"/>
      <c r="N16" s="29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spans="1:31" ht="14.4" x14ac:dyDescent="0.2">
      <c r="A17" s="27"/>
      <c r="B17" s="27"/>
      <c r="C17" s="27"/>
      <c r="D17" s="27"/>
      <c r="E17" s="27"/>
      <c r="F17" s="28"/>
      <c r="G17" s="613"/>
      <c r="H17" s="28"/>
      <c r="I17" s="27"/>
      <c r="J17" s="27"/>
      <c r="K17" s="29"/>
      <c r="L17" s="29"/>
      <c r="M17" s="29"/>
      <c r="N17" s="29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 spans="1:31" ht="14.4" x14ac:dyDescent="0.2">
      <c r="A18" s="27"/>
      <c r="B18" s="27"/>
      <c r="C18" s="27"/>
      <c r="D18" s="27"/>
      <c r="E18" s="27"/>
      <c r="F18" s="28"/>
      <c r="G18" s="613"/>
      <c r="H18" s="28"/>
      <c r="I18" s="27"/>
      <c r="J18" s="27"/>
      <c r="K18" s="29"/>
      <c r="L18" s="29"/>
      <c r="M18" s="29"/>
      <c r="N18" s="29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 spans="1:31" ht="14.4" x14ac:dyDescent="0.2">
      <c r="A19" s="27"/>
      <c r="B19" s="27"/>
      <c r="C19" s="27"/>
      <c r="D19" s="27"/>
      <c r="E19" s="27"/>
      <c r="F19" s="28"/>
      <c r="G19" s="613"/>
      <c r="H19" s="28"/>
      <c r="I19" s="27"/>
      <c r="J19" s="27"/>
      <c r="K19" s="29"/>
      <c r="L19" s="29"/>
      <c r="M19" s="29"/>
      <c r="N19" s="29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 spans="1:31" ht="14.4" x14ac:dyDescent="0.2">
      <c r="A20" s="27"/>
      <c r="B20" s="27"/>
      <c r="C20" s="27"/>
      <c r="D20" s="27"/>
      <c r="E20" s="27"/>
      <c r="F20" s="28"/>
      <c r="G20" s="613"/>
      <c r="H20" s="28"/>
      <c r="I20" s="27"/>
      <c r="J20" s="27"/>
      <c r="K20" s="29"/>
      <c r="L20" s="29"/>
      <c r="M20" s="29"/>
      <c r="N20" s="29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 spans="1:31" ht="14.4" x14ac:dyDescent="0.2">
      <c r="A21" s="27"/>
      <c r="B21" s="27"/>
      <c r="C21" s="27"/>
      <c r="D21" s="27"/>
      <c r="E21" s="27"/>
      <c r="F21" s="28"/>
      <c r="G21" s="613"/>
      <c r="H21" s="28"/>
      <c r="I21" s="27"/>
      <c r="J21" s="27"/>
      <c r="K21" s="29"/>
      <c r="L21" s="29"/>
      <c r="M21" s="29"/>
      <c r="N21" s="29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</row>
    <row r="22" spans="1:31" ht="14.4" x14ac:dyDescent="0.2">
      <c r="A22" s="27"/>
      <c r="B22" s="27"/>
      <c r="C22" s="27"/>
      <c r="D22" s="27"/>
      <c r="E22" s="27"/>
      <c r="F22" s="28"/>
      <c r="G22" s="613"/>
      <c r="H22" s="67"/>
      <c r="I22" s="338"/>
      <c r="J22" s="27"/>
      <c r="K22" s="29"/>
      <c r="L22" s="29"/>
      <c r="M22" s="29"/>
      <c r="N22" s="29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14.4" x14ac:dyDescent="0.2">
      <c r="A23" s="27"/>
      <c r="B23" s="27"/>
      <c r="C23" s="27"/>
      <c r="D23" s="27"/>
      <c r="E23" s="27"/>
      <c r="F23" s="28"/>
      <c r="G23" s="613"/>
      <c r="H23" s="28"/>
      <c r="I23" s="27"/>
      <c r="J23" s="27"/>
      <c r="K23" s="29"/>
      <c r="L23" s="29"/>
      <c r="M23" s="29"/>
      <c r="N23" s="29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</row>
    <row r="24" spans="1:31" ht="14.4" x14ac:dyDescent="0.2">
      <c r="A24" s="30"/>
      <c r="B24" s="27"/>
      <c r="C24" s="30"/>
      <c r="D24" s="27"/>
      <c r="E24" s="27"/>
      <c r="F24" s="28"/>
      <c r="G24" s="613"/>
      <c r="H24" s="28"/>
      <c r="I24" s="27"/>
      <c r="J24" s="27"/>
      <c r="K24" s="29"/>
      <c r="L24" s="29"/>
      <c r="M24" s="29"/>
      <c r="N24" s="29"/>
      <c r="O24" s="30"/>
      <c r="P24" s="30"/>
      <c r="Q24" s="30"/>
      <c r="R24" s="27"/>
      <c r="S24" s="27"/>
      <c r="T24" s="27"/>
      <c r="U24" s="27"/>
      <c r="V24" s="31"/>
      <c r="W24" s="27"/>
      <c r="X24" s="27"/>
      <c r="Y24" s="27"/>
      <c r="Z24" s="27"/>
      <c r="AA24" s="27"/>
      <c r="AB24" s="30"/>
      <c r="AC24" s="27"/>
      <c r="AD24" s="27"/>
      <c r="AE24" s="27"/>
    </row>
    <row r="25" spans="1:31" ht="14.4" x14ac:dyDescent="0.2">
      <c r="A25" s="30"/>
      <c r="B25" s="27"/>
      <c r="C25" s="30"/>
      <c r="D25" s="27"/>
      <c r="E25" s="27"/>
      <c r="F25" s="28"/>
      <c r="G25" s="613"/>
      <c r="H25" s="28"/>
      <c r="I25" s="27"/>
      <c r="J25" s="27"/>
      <c r="K25" s="29"/>
      <c r="L25" s="29"/>
      <c r="M25" s="29"/>
      <c r="N25" s="29"/>
      <c r="O25" s="30"/>
      <c r="P25" s="30"/>
      <c r="Q25" s="30"/>
      <c r="R25" s="27"/>
      <c r="S25" s="27"/>
      <c r="T25" s="27"/>
      <c r="U25" s="27"/>
      <c r="V25" s="32"/>
      <c r="W25" s="27"/>
      <c r="X25" s="27"/>
      <c r="Y25" s="27"/>
      <c r="Z25" s="27"/>
      <c r="AA25" s="27"/>
      <c r="AB25" s="30"/>
      <c r="AC25" s="27"/>
      <c r="AD25" s="27"/>
      <c r="AE25" s="27"/>
    </row>
    <row r="26" spans="1:31" ht="14.4" x14ac:dyDescent="0.2">
      <c r="A26" s="30"/>
      <c r="B26" s="27"/>
      <c r="C26" s="1165"/>
      <c r="D26" s="1165"/>
      <c r="E26" s="1165"/>
      <c r="F26" s="1165"/>
      <c r="G26" s="614"/>
      <c r="H26" s="49"/>
      <c r="I26" s="27"/>
      <c r="J26" s="27"/>
      <c r="K26" s="1166"/>
      <c r="L26" s="1166"/>
      <c r="M26" s="1166"/>
      <c r="N26" s="1166"/>
      <c r="O26" s="1166"/>
      <c r="P26" s="1166"/>
      <c r="Q26" s="1166"/>
      <c r="R26" s="1166"/>
      <c r="S26" s="1166"/>
      <c r="T26" s="1166"/>
      <c r="U26" s="1166"/>
      <c r="V26" s="1166"/>
      <c r="W26" s="1166"/>
      <c r="X26" s="29"/>
      <c r="Y26" s="27"/>
      <c r="Z26" s="27"/>
      <c r="AA26" s="27"/>
      <c r="AB26" s="1165"/>
      <c r="AC26" s="1165"/>
      <c r="AD26" s="1165"/>
      <c r="AE26" s="1165"/>
    </row>
    <row r="27" spans="1:31" ht="14.4" x14ac:dyDescent="0.2">
      <c r="A27" s="27"/>
      <c r="B27" s="27"/>
      <c r="C27" s="1167" t="s">
        <v>23</v>
      </c>
      <c r="D27" s="1167"/>
      <c r="E27" s="1167"/>
      <c r="F27" s="1167"/>
      <c r="G27" s="674"/>
      <c r="H27" s="52"/>
      <c r="I27" s="27"/>
      <c r="J27" s="27"/>
      <c r="K27" s="1167" t="s">
        <v>24</v>
      </c>
      <c r="L27" s="1167"/>
      <c r="M27" s="1167"/>
      <c r="N27" s="1167"/>
      <c r="O27" s="1167"/>
      <c r="P27" s="1167"/>
      <c r="Q27" s="1167"/>
      <c r="R27" s="1167"/>
      <c r="S27" s="1167"/>
      <c r="T27" s="1167"/>
      <c r="U27" s="1167"/>
      <c r="V27" s="1167"/>
      <c r="W27" s="1167"/>
      <c r="X27" s="52"/>
      <c r="Y27" s="27"/>
      <c r="Z27" s="27"/>
      <c r="AA27" s="27"/>
      <c r="AB27" s="1167" t="s">
        <v>25</v>
      </c>
      <c r="AC27" s="1167"/>
      <c r="AD27" s="1167"/>
      <c r="AE27" s="1167"/>
    </row>
    <row r="28" spans="1:31" ht="14.4" x14ac:dyDescent="0.2">
      <c r="A28" s="30"/>
      <c r="B28" s="27"/>
      <c r="C28" s="1159" t="str">
        <f>+ADMON!C30</f>
        <v>Jose Martin Conrrado</v>
      </c>
      <c r="D28" s="1159"/>
      <c r="E28" s="1159"/>
      <c r="F28" s="1159"/>
      <c r="G28" s="675"/>
      <c r="H28" s="48"/>
      <c r="I28" s="27"/>
      <c r="J28" s="30"/>
      <c r="K28" s="1159" t="s">
        <v>296</v>
      </c>
      <c r="L28" s="1159"/>
      <c r="M28" s="1159"/>
      <c r="N28" s="1159"/>
      <c r="O28" s="1159"/>
      <c r="P28" s="1159"/>
      <c r="Q28" s="1159"/>
      <c r="R28" s="1159"/>
      <c r="S28" s="1159"/>
      <c r="T28" s="1159"/>
      <c r="U28" s="1159"/>
      <c r="V28" s="1159"/>
      <c r="W28" s="1159"/>
      <c r="X28" s="48"/>
      <c r="Y28" s="33"/>
      <c r="Z28" s="33"/>
      <c r="AA28" s="33"/>
      <c r="AB28" s="1160" t="s">
        <v>27</v>
      </c>
      <c r="AC28" s="1160"/>
      <c r="AD28" s="1160"/>
      <c r="AE28" s="1160"/>
    </row>
  </sheetData>
  <protectedRanges>
    <protectedRange sqref="D9:D12" name="Nomina_2_1_2_1"/>
  </protectedRanges>
  <mergeCells count="47">
    <mergeCell ref="Z6:Z8"/>
    <mergeCell ref="A1:AC1"/>
    <mergeCell ref="AA6:AA8"/>
    <mergeCell ref="P7:P8"/>
    <mergeCell ref="Q7:Q8"/>
    <mergeCell ref="R7:R8"/>
    <mergeCell ref="A2:AE2"/>
    <mergeCell ref="A3:AE3"/>
    <mergeCell ref="B4:AC4"/>
    <mergeCell ref="A6:A8"/>
    <mergeCell ref="B6:B8"/>
    <mergeCell ref="C6:C8"/>
    <mergeCell ref="D6:D8"/>
    <mergeCell ref="E6:E8"/>
    <mergeCell ref="F6:F8"/>
    <mergeCell ref="AE6:AE8"/>
    <mergeCell ref="J7:J8"/>
    <mergeCell ref="M7:M8"/>
    <mergeCell ref="V7:V8"/>
    <mergeCell ref="W7:W8"/>
    <mergeCell ref="J6:O6"/>
    <mergeCell ref="R6:W6"/>
    <mergeCell ref="AD6:AD8"/>
    <mergeCell ref="AB6:AB8"/>
    <mergeCell ref="AC6:AC8"/>
    <mergeCell ref="A13:D13"/>
    <mergeCell ref="O7:O8"/>
    <mergeCell ref="L7:L8"/>
    <mergeCell ref="N7:N8"/>
    <mergeCell ref="U7:U8"/>
    <mergeCell ref="H6:H8"/>
    <mergeCell ref="I6:I8"/>
    <mergeCell ref="S7:S8"/>
    <mergeCell ref="T7:T8"/>
    <mergeCell ref="G6:G8"/>
    <mergeCell ref="X6:X8"/>
    <mergeCell ref="Y6:Y8"/>
    <mergeCell ref="K7:K8"/>
    <mergeCell ref="C28:F28"/>
    <mergeCell ref="K28:W28"/>
    <mergeCell ref="AB28:AE28"/>
    <mergeCell ref="C26:F26"/>
    <mergeCell ref="K26:W26"/>
    <mergeCell ref="AB26:AE26"/>
    <mergeCell ref="C27:F27"/>
    <mergeCell ref="K27:W27"/>
    <mergeCell ref="AB27:AE27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6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975A-6D48-419E-9B6E-C7F120BE37D0}">
  <sheetPr>
    <tabColor theme="9" tint="-0.499984740745262"/>
    <pageSetUpPr fitToPage="1"/>
  </sheetPr>
  <dimension ref="A1:AE29"/>
  <sheetViews>
    <sheetView zoomScaleNormal="100" workbookViewId="0">
      <selection activeCell="P16" sqref="P16"/>
    </sheetView>
  </sheetViews>
  <sheetFormatPr baseColWidth="10" defaultRowHeight="10.199999999999999" x14ac:dyDescent="0.2"/>
  <cols>
    <col min="1" max="1" width="4.42578125" customWidth="1"/>
    <col min="2" max="2" width="6" customWidth="1"/>
    <col min="3" max="3" width="6.85546875" customWidth="1"/>
    <col min="4" max="4" width="21.140625" bestFit="1" customWidth="1"/>
    <col min="5" max="5" width="7.140625" customWidth="1"/>
    <col min="6" max="6" width="7.28515625" customWidth="1"/>
    <col min="7" max="7" width="0" hidden="1" customWidth="1"/>
    <col min="9" max="9" width="15" customWidth="1"/>
    <col min="10" max="10" width="18.85546875" bestFit="1" customWidth="1"/>
    <col min="12" max="14" width="0" hidden="1" customWidth="1"/>
    <col min="15" max="15" width="15.85546875" customWidth="1"/>
    <col min="16" max="17" width="12" bestFit="1" customWidth="1"/>
    <col min="18" max="18" width="14.42578125" bestFit="1" customWidth="1"/>
    <col min="19" max="19" width="14.42578125" hidden="1" customWidth="1"/>
    <col min="20" max="23" width="0" hidden="1" customWidth="1"/>
    <col min="24" max="24" width="14.42578125" hidden="1" customWidth="1"/>
    <col min="25" max="25" width="13.28515625" bestFit="1" customWidth="1"/>
    <col min="26" max="26" width="15.28515625" hidden="1" customWidth="1"/>
    <col min="27" max="27" width="19.42578125" bestFit="1" customWidth="1"/>
    <col min="28" max="28" width="61.28515625" customWidth="1"/>
    <col min="29" max="30" width="0" hidden="1" customWidth="1"/>
  </cols>
  <sheetData>
    <row r="1" spans="1:31" ht="29.25" customHeight="1" x14ac:dyDescent="0.2">
      <c r="A1" s="1370" t="s">
        <v>278</v>
      </c>
      <c r="B1" s="1370"/>
      <c r="C1" s="1370"/>
      <c r="D1" s="1370"/>
      <c r="E1" s="1370"/>
      <c r="F1" s="1370"/>
      <c r="G1" s="1370"/>
      <c r="H1" s="1370"/>
      <c r="I1" s="1370"/>
      <c r="J1" s="1370"/>
      <c r="K1" s="1370"/>
      <c r="L1" s="1370"/>
      <c r="M1" s="1370"/>
      <c r="N1" s="1370"/>
      <c r="O1" s="1370"/>
      <c r="P1" s="1370"/>
      <c r="Q1" s="1370"/>
      <c r="R1" s="1370"/>
      <c r="S1" s="1370"/>
      <c r="T1" s="1370"/>
      <c r="U1" s="1370"/>
      <c r="V1" s="1370"/>
      <c r="W1" s="1370"/>
      <c r="X1" s="1370"/>
      <c r="Y1" s="1370"/>
      <c r="Z1" s="1370"/>
      <c r="AA1" s="1370"/>
      <c r="AB1" s="1370"/>
      <c r="AC1" s="910"/>
      <c r="AD1" s="910"/>
      <c r="AE1" s="910"/>
    </row>
    <row r="2" spans="1:31" ht="0.75" customHeight="1" x14ac:dyDescent="0.2">
      <c r="A2" s="11"/>
      <c r="B2" s="11"/>
      <c r="C2" s="11"/>
      <c r="D2" s="11"/>
      <c r="E2" s="11"/>
      <c r="F2" s="686"/>
      <c r="G2" s="686"/>
      <c r="H2" s="686"/>
      <c r="I2" s="11"/>
      <c r="J2" s="11"/>
      <c r="K2" s="687"/>
      <c r="L2" s="687"/>
      <c r="M2" s="687"/>
      <c r="N2" s="68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</row>
    <row r="3" spans="1:31" ht="22.5" customHeight="1" x14ac:dyDescent="0.2">
      <c r="A3" s="1370" t="s">
        <v>442</v>
      </c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0"/>
      <c r="AB3" s="1370"/>
      <c r="AC3" s="1370"/>
      <c r="AD3" s="1370"/>
    </row>
    <row r="4" spans="1:31" ht="22.8" x14ac:dyDescent="0.2">
      <c r="A4" s="1370" t="s">
        <v>221</v>
      </c>
      <c r="B4" s="1370"/>
      <c r="C4" s="1370"/>
      <c r="D4" s="1370"/>
      <c r="E4" s="1370"/>
      <c r="F4" s="1370"/>
      <c r="G4" s="1370"/>
      <c r="H4" s="1370"/>
      <c r="I4" s="1370"/>
      <c r="J4" s="1370"/>
      <c r="K4" s="1370"/>
      <c r="L4" s="1370"/>
      <c r="M4" s="1370"/>
      <c r="N4" s="1370"/>
      <c r="O4" s="1370"/>
      <c r="P4" s="1370"/>
      <c r="Q4" s="1370"/>
      <c r="R4" s="1370"/>
      <c r="S4" s="1370"/>
      <c r="T4" s="1370"/>
      <c r="U4" s="1370"/>
      <c r="V4" s="1370"/>
      <c r="W4" s="1370"/>
      <c r="X4" s="1370"/>
      <c r="Y4" s="1370"/>
      <c r="Z4" s="1370"/>
      <c r="AA4" s="1370"/>
      <c r="AB4" s="1370"/>
      <c r="AC4" s="1370"/>
      <c r="AD4" s="1370"/>
    </row>
    <row r="5" spans="1:31" ht="22.8" x14ac:dyDescent="0.4">
      <c r="A5" s="866"/>
      <c r="B5" s="1366" t="str">
        <f>+ADMON!A5</f>
        <v>QUINCENA DEL 16  AL 30  DE ABRIL - 2026</v>
      </c>
      <c r="C5" s="1366"/>
      <c r="D5" s="1366"/>
      <c r="E5" s="1366"/>
      <c r="F5" s="1366"/>
      <c r="G5" s="1366"/>
      <c r="H5" s="1366"/>
      <c r="I5" s="1366"/>
      <c r="J5" s="1366"/>
      <c r="K5" s="1366"/>
      <c r="L5" s="1366"/>
      <c r="M5" s="1366"/>
      <c r="N5" s="1366"/>
      <c r="O5" s="1366"/>
      <c r="P5" s="1366"/>
      <c r="Q5" s="1366"/>
      <c r="R5" s="1366"/>
      <c r="S5" s="1366"/>
      <c r="T5" s="1366"/>
      <c r="U5" s="1366"/>
      <c r="V5" s="1366"/>
      <c r="W5" s="1366"/>
      <c r="X5" s="1366"/>
      <c r="Y5" s="1366"/>
      <c r="Z5" s="1366"/>
      <c r="AA5" s="1366"/>
      <c r="AB5" s="1366"/>
      <c r="AC5" s="866"/>
      <c r="AD5" s="866"/>
    </row>
    <row r="6" spans="1:31" ht="33" customHeight="1" thickBot="1" x14ac:dyDescent="0.35">
      <c r="A6" s="74"/>
      <c r="B6" s="75"/>
      <c r="C6" s="74"/>
      <c r="D6" s="74"/>
      <c r="E6" s="74"/>
      <c r="F6" s="74"/>
      <c r="G6" s="74"/>
      <c r="H6" s="74"/>
      <c r="I6" s="74"/>
      <c r="J6" s="74"/>
      <c r="K6" s="74"/>
      <c r="L6" s="74">
        <v>6</v>
      </c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26"/>
      <c r="AC6" s="26"/>
      <c r="AD6" s="26"/>
    </row>
    <row r="7" spans="1:31" ht="24.75" customHeight="1" thickTop="1" thickBot="1" x14ac:dyDescent="0.25">
      <c r="A7" s="1143" t="s">
        <v>2</v>
      </c>
      <c r="B7" s="1143" t="s">
        <v>3</v>
      </c>
      <c r="C7" s="1179" t="s">
        <v>4</v>
      </c>
      <c r="D7" s="1143" t="s">
        <v>6</v>
      </c>
      <c r="E7" s="1179" t="s">
        <v>187</v>
      </c>
      <c r="F7" s="1143" t="s">
        <v>7</v>
      </c>
      <c r="G7" s="1375" t="s">
        <v>125</v>
      </c>
      <c r="H7" s="1376" t="s">
        <v>82</v>
      </c>
      <c r="I7" s="1143" t="s">
        <v>8</v>
      </c>
      <c r="J7" s="1151" t="s">
        <v>9</v>
      </c>
      <c r="K7" s="1151"/>
      <c r="L7" s="1151"/>
      <c r="M7" s="1151"/>
      <c r="N7" s="1151"/>
      <c r="O7" s="1151"/>
      <c r="P7" s="351"/>
      <c r="Q7" s="351"/>
      <c r="R7" s="1143" t="s">
        <v>10</v>
      </c>
      <c r="S7" s="1143"/>
      <c r="T7" s="1143"/>
      <c r="U7" s="1143"/>
      <c r="V7" s="1143"/>
      <c r="W7" s="1143"/>
      <c r="X7" s="1335" t="s">
        <v>29</v>
      </c>
      <c r="Y7" s="1157" t="s">
        <v>114</v>
      </c>
      <c r="Z7" s="1157" t="s">
        <v>99</v>
      </c>
      <c r="AA7" s="1143" t="s">
        <v>11</v>
      </c>
      <c r="AB7" s="1173" t="s">
        <v>12</v>
      </c>
      <c r="AC7" s="1143" t="str">
        <f>+P8</f>
        <v>VACACIONES</v>
      </c>
      <c r="AD7" s="1143" t="str">
        <f>+Q8</f>
        <v>13VO MES</v>
      </c>
    </row>
    <row r="8" spans="1:31" ht="27.75" customHeight="1" thickTop="1" thickBot="1" x14ac:dyDescent="0.25">
      <c r="A8" s="1143"/>
      <c r="B8" s="1143"/>
      <c r="C8" s="1180"/>
      <c r="D8" s="1143"/>
      <c r="E8" s="1180"/>
      <c r="F8" s="1143"/>
      <c r="G8" s="1375"/>
      <c r="H8" s="1376"/>
      <c r="I8" s="1143"/>
      <c r="J8" s="1143" t="s">
        <v>177</v>
      </c>
      <c r="K8" s="1445" t="s">
        <v>16</v>
      </c>
      <c r="L8" s="1168" t="s">
        <v>196</v>
      </c>
      <c r="M8" s="1168" t="s">
        <v>197</v>
      </c>
      <c r="N8" s="1333" t="s">
        <v>195</v>
      </c>
      <c r="O8" s="1143" t="s">
        <v>200</v>
      </c>
      <c r="P8" s="1335" t="s">
        <v>199</v>
      </c>
      <c r="Q8" s="1335" t="s">
        <v>53</v>
      </c>
      <c r="R8" s="1143" t="s">
        <v>29</v>
      </c>
      <c r="S8" s="1170"/>
      <c r="T8" s="1335" t="s">
        <v>3</v>
      </c>
      <c r="U8" s="1143" t="s">
        <v>19</v>
      </c>
      <c r="V8" s="1143" t="s">
        <v>94</v>
      </c>
      <c r="W8" s="1143" t="s">
        <v>20</v>
      </c>
      <c r="X8" s="1337"/>
      <c r="Y8" s="1157"/>
      <c r="Z8" s="1157"/>
      <c r="AA8" s="1143"/>
      <c r="AB8" s="1173"/>
      <c r="AC8" s="1143"/>
      <c r="AD8" s="1143"/>
    </row>
    <row r="9" spans="1:31" ht="11.4" thickTop="1" thickBot="1" x14ac:dyDescent="0.25">
      <c r="A9" s="1143"/>
      <c r="B9" s="1143"/>
      <c r="C9" s="1181"/>
      <c r="D9" s="1143"/>
      <c r="E9" s="1181"/>
      <c r="F9" s="1143"/>
      <c r="G9" s="1375"/>
      <c r="H9" s="1376"/>
      <c r="I9" s="1143"/>
      <c r="J9" s="1143"/>
      <c r="K9" s="1445"/>
      <c r="L9" s="1169"/>
      <c r="M9" s="1169"/>
      <c r="N9" s="1334"/>
      <c r="O9" s="1143"/>
      <c r="P9" s="1336"/>
      <c r="Q9" s="1336"/>
      <c r="R9" s="1143"/>
      <c r="S9" s="1172"/>
      <c r="T9" s="1336"/>
      <c r="U9" s="1143"/>
      <c r="V9" s="1143"/>
      <c r="W9" s="1143"/>
      <c r="X9" s="1336"/>
      <c r="Y9" s="1157"/>
      <c r="Z9" s="1157"/>
      <c r="AA9" s="1143"/>
      <c r="AB9" s="1173"/>
      <c r="AC9" s="1143"/>
      <c r="AD9" s="1143"/>
    </row>
    <row r="10" spans="1:31" ht="94.5" customHeight="1" thickTop="1" thickBot="1" x14ac:dyDescent="0.25">
      <c r="A10" s="319">
        <v>1</v>
      </c>
      <c r="B10" s="865">
        <v>0</v>
      </c>
      <c r="C10" s="358">
        <v>0</v>
      </c>
      <c r="D10" s="632" t="s">
        <v>438</v>
      </c>
      <c r="E10" s="211" t="s">
        <v>32</v>
      </c>
      <c r="F10" s="353" t="s">
        <v>264</v>
      </c>
      <c r="G10" s="79" t="e">
        <f>+#REF!</f>
        <v>#REF!</v>
      </c>
      <c r="H10" s="216">
        <v>320</v>
      </c>
      <c r="I10" s="321">
        <f>+H10*30</f>
        <v>9600</v>
      </c>
      <c r="J10" s="631">
        <f t="shared" ref="J10:J11" si="0">(I10/30*K10)</f>
        <v>0</v>
      </c>
      <c r="K10" s="1003">
        <v>0</v>
      </c>
      <c r="L10" s="328">
        <f t="shared" ref="L10:L11" si="1">+M10*N10</f>
        <v>0</v>
      </c>
      <c r="M10" s="584">
        <f t="shared" ref="M10:M11" si="2">H10*60%</f>
        <v>192</v>
      </c>
      <c r="N10" s="328">
        <v>0</v>
      </c>
      <c r="O10" s="585">
        <f t="shared" ref="O10:O11" si="3">+J10-P10-Q10</f>
        <v>0</v>
      </c>
      <c r="P10" s="585">
        <f t="shared" ref="P10:P11" si="4">+J10/12</f>
        <v>0</v>
      </c>
      <c r="Q10" s="585">
        <f t="shared" ref="Q10:Q11" si="5">+P10</f>
        <v>0</v>
      </c>
      <c r="R10" s="583">
        <f t="shared" ref="R10:R11" si="6">+Q10+O10+P10</f>
        <v>0</v>
      </c>
      <c r="S10" s="588">
        <f t="shared" ref="S10:S11" si="7">O10+P10</f>
        <v>0</v>
      </c>
      <c r="T10" s="583"/>
      <c r="U10" s="583"/>
      <c r="V10" s="583"/>
      <c r="W10" s="585">
        <f t="shared" ref="W10:W11" si="8">T10</f>
        <v>0</v>
      </c>
      <c r="X10" s="585">
        <f t="shared" ref="X10:X11" si="9">-W10+O10+P10+Q10</f>
        <v>0</v>
      </c>
      <c r="Y10" s="324">
        <v>0</v>
      </c>
      <c r="Z10" s="324">
        <v>0</v>
      </c>
      <c r="AA10" s="630">
        <f t="shared" ref="AA10:AA11" si="10">X10-Y10-Z10</f>
        <v>0</v>
      </c>
      <c r="AB10" s="325"/>
      <c r="AC10" s="325">
        <v>0</v>
      </c>
      <c r="AD10" s="325">
        <v>0</v>
      </c>
    </row>
    <row r="11" spans="1:31" ht="99.75" hidden="1" customHeight="1" thickTop="1" thickBot="1" x14ac:dyDescent="0.25">
      <c r="A11" s="319">
        <v>1</v>
      </c>
      <c r="B11" s="865">
        <v>0</v>
      </c>
      <c r="C11" s="358">
        <v>0</v>
      </c>
      <c r="D11" s="632" t="s">
        <v>443</v>
      </c>
      <c r="E11" s="211" t="s">
        <v>32</v>
      </c>
      <c r="F11" s="353" t="s">
        <v>264</v>
      </c>
      <c r="G11" s="79" t="e">
        <f>+#REF!</f>
        <v>#REF!</v>
      </c>
      <c r="H11" s="216">
        <v>320</v>
      </c>
      <c r="I11" s="321">
        <f t="shared" ref="I11" si="11">+H11*30</f>
        <v>9600</v>
      </c>
      <c r="J11" s="631">
        <f t="shared" si="0"/>
        <v>0</v>
      </c>
      <c r="K11" s="999">
        <v>0</v>
      </c>
      <c r="L11" s="328">
        <f t="shared" si="1"/>
        <v>0</v>
      </c>
      <c r="M11" s="584">
        <f t="shared" si="2"/>
        <v>192</v>
      </c>
      <c r="N11" s="328">
        <v>0</v>
      </c>
      <c r="O11" s="585">
        <f t="shared" si="3"/>
        <v>0</v>
      </c>
      <c r="P11" s="585">
        <f t="shared" si="4"/>
        <v>0</v>
      </c>
      <c r="Q11" s="585">
        <f t="shared" si="5"/>
        <v>0</v>
      </c>
      <c r="R11" s="583">
        <f t="shared" si="6"/>
        <v>0</v>
      </c>
      <c r="S11" s="588">
        <f t="shared" si="7"/>
        <v>0</v>
      </c>
      <c r="T11" s="583"/>
      <c r="U11" s="583"/>
      <c r="V11" s="583"/>
      <c r="W11" s="585">
        <f t="shared" si="8"/>
        <v>0</v>
      </c>
      <c r="X11" s="585">
        <f t="shared" si="9"/>
        <v>0</v>
      </c>
      <c r="Y11" s="324">
        <v>0</v>
      </c>
      <c r="Z11" s="324">
        <v>0</v>
      </c>
      <c r="AA11" s="630">
        <f t="shared" si="10"/>
        <v>0</v>
      </c>
      <c r="AB11" s="325"/>
      <c r="AC11" s="325">
        <v>0</v>
      </c>
      <c r="AD11" s="325">
        <v>0</v>
      </c>
    </row>
    <row r="12" spans="1:31" ht="60.75" hidden="1" customHeight="1" thickTop="1" thickBot="1" x14ac:dyDescent="0.25">
      <c r="A12" s="319">
        <v>2</v>
      </c>
      <c r="B12" s="865">
        <v>0</v>
      </c>
      <c r="C12" s="358">
        <v>0</v>
      </c>
      <c r="D12" s="632" t="s">
        <v>438</v>
      </c>
      <c r="E12" s="211" t="s">
        <v>32</v>
      </c>
      <c r="F12" s="353" t="s">
        <v>264</v>
      </c>
      <c r="G12" s="79" t="e">
        <f>+#REF!</f>
        <v>#REF!</v>
      </c>
      <c r="H12" s="216">
        <v>320</v>
      </c>
      <c r="I12" s="321">
        <f t="shared" ref="I12" si="12">+H12*30</f>
        <v>9600</v>
      </c>
      <c r="J12" s="631">
        <f t="shared" ref="J12" si="13">(I12/30*K12)</f>
        <v>0</v>
      </c>
      <c r="K12" s="676">
        <v>0</v>
      </c>
      <c r="L12" s="328">
        <f t="shared" ref="L12" si="14">+M12*N12</f>
        <v>0</v>
      </c>
      <c r="M12" s="584">
        <f t="shared" ref="M12" si="15">H12*60%</f>
        <v>192</v>
      </c>
      <c r="N12" s="328">
        <v>0</v>
      </c>
      <c r="O12" s="585">
        <f t="shared" ref="O12" si="16">+J12-P12-Q12</f>
        <v>0</v>
      </c>
      <c r="P12" s="585">
        <f t="shared" ref="P12" si="17">+J12/12</f>
        <v>0</v>
      </c>
      <c r="Q12" s="585">
        <f t="shared" ref="Q12" si="18">+P12</f>
        <v>0</v>
      </c>
      <c r="R12" s="583">
        <f t="shared" ref="R12" si="19">+Q12+O12+P12</f>
        <v>0</v>
      </c>
      <c r="S12" s="588">
        <f t="shared" ref="S12" si="20">O12+P12</f>
        <v>0</v>
      </c>
      <c r="T12" s="583"/>
      <c r="U12" s="583"/>
      <c r="V12" s="583"/>
      <c r="W12" s="585">
        <f t="shared" ref="W12" si="21">T12</f>
        <v>0</v>
      </c>
      <c r="X12" s="585">
        <f t="shared" ref="X12" si="22">-W12+O12+P12+Q12</f>
        <v>0</v>
      </c>
      <c r="Y12" s="324">
        <v>0</v>
      </c>
      <c r="Z12" s="324">
        <v>0</v>
      </c>
      <c r="AA12" s="630">
        <f t="shared" ref="AA12" si="23">X12-Y12-Z12</f>
        <v>0</v>
      </c>
      <c r="AB12" s="325"/>
      <c r="AC12" s="325">
        <v>0</v>
      </c>
      <c r="AD12" s="325">
        <v>0</v>
      </c>
    </row>
    <row r="13" spans="1:31" ht="22.2" thickTop="1" thickBot="1" x14ac:dyDescent="0.25">
      <c r="A13" s="904"/>
      <c r="B13" s="905"/>
      <c r="C13" s="906"/>
      <c r="D13" s="907"/>
      <c r="E13" s="211"/>
      <c r="F13" s="353"/>
      <c r="G13" s="79"/>
      <c r="H13" s="216"/>
      <c r="I13" s="321"/>
      <c r="J13" s="631"/>
      <c r="K13" s="676"/>
      <c r="L13" s="328"/>
      <c r="M13" s="584"/>
      <c r="N13" s="328"/>
      <c r="O13" s="585"/>
      <c r="P13" s="585"/>
      <c r="Q13" s="585"/>
      <c r="R13" s="583"/>
      <c r="S13" s="588"/>
      <c r="T13" s="583"/>
      <c r="U13" s="583"/>
      <c r="V13" s="583"/>
      <c r="W13" s="585"/>
      <c r="X13" s="585"/>
      <c r="Y13" s="324"/>
      <c r="Z13" s="324"/>
      <c r="AA13" s="630"/>
      <c r="AB13" s="325"/>
      <c r="AC13" s="325"/>
      <c r="AD13" s="325"/>
    </row>
    <row r="14" spans="1:31" ht="22.2" thickTop="1" thickBot="1" x14ac:dyDescent="0.25">
      <c r="A14" s="1162" t="s">
        <v>95</v>
      </c>
      <c r="B14" s="1163"/>
      <c r="C14" s="1163"/>
      <c r="D14" s="1164"/>
      <c r="E14" s="215"/>
      <c r="F14" s="215"/>
      <c r="G14" s="215" t="e">
        <f>SUM(#REF!)</f>
        <v>#REF!</v>
      </c>
      <c r="H14" s="215">
        <f t="shared" ref="H14:AA14" si="24">SUM(H10:H11)</f>
        <v>640</v>
      </c>
      <c r="I14" s="215">
        <f t="shared" si="24"/>
        <v>19200</v>
      </c>
      <c r="J14" s="215">
        <f t="shared" si="24"/>
        <v>0</v>
      </c>
      <c r="K14" s="869">
        <f t="shared" si="24"/>
        <v>0</v>
      </c>
      <c r="L14" s="215">
        <f t="shared" si="24"/>
        <v>0</v>
      </c>
      <c r="M14" s="215">
        <f t="shared" si="24"/>
        <v>384</v>
      </c>
      <c r="N14" s="215">
        <f t="shared" si="24"/>
        <v>0</v>
      </c>
      <c r="O14" s="215">
        <f t="shared" si="24"/>
        <v>0</v>
      </c>
      <c r="P14" s="215">
        <f t="shared" si="24"/>
        <v>0</v>
      </c>
      <c r="Q14" s="215">
        <f t="shared" si="24"/>
        <v>0</v>
      </c>
      <c r="R14" s="215">
        <f t="shared" si="24"/>
        <v>0</v>
      </c>
      <c r="S14" s="945">
        <f t="shared" si="24"/>
        <v>0</v>
      </c>
      <c r="T14" s="215">
        <f t="shared" si="24"/>
        <v>0</v>
      </c>
      <c r="U14" s="215">
        <f t="shared" si="24"/>
        <v>0</v>
      </c>
      <c r="V14" s="215">
        <f t="shared" si="24"/>
        <v>0</v>
      </c>
      <c r="W14" s="215">
        <f t="shared" si="24"/>
        <v>0</v>
      </c>
      <c r="X14" s="945">
        <f t="shared" si="24"/>
        <v>0</v>
      </c>
      <c r="Y14" s="215">
        <f t="shared" si="24"/>
        <v>0</v>
      </c>
      <c r="Z14" s="215">
        <f t="shared" si="24"/>
        <v>0</v>
      </c>
      <c r="AA14" s="946">
        <f t="shared" si="24"/>
        <v>0</v>
      </c>
      <c r="AB14" s="87" t="s">
        <v>105</v>
      </c>
      <c r="AC14" s="86" t="e">
        <f>SUM(#REF!)</f>
        <v>#REF!</v>
      </c>
      <c r="AD14" s="86" t="e">
        <f>SUM(#REF!)</f>
        <v>#REF!</v>
      </c>
    </row>
    <row r="15" spans="1:31" ht="15" thickTop="1" x14ac:dyDescent="0.2">
      <c r="A15" s="27"/>
      <c r="B15" s="27"/>
      <c r="C15" s="27"/>
      <c r="D15" s="27"/>
      <c r="E15" s="27"/>
      <c r="F15" s="28"/>
      <c r="G15" s="613"/>
      <c r="H15" s="28"/>
      <c r="I15" s="27"/>
      <c r="J15" s="27"/>
      <c r="K15" s="29"/>
      <c r="L15" s="29"/>
      <c r="M15" s="29"/>
      <c r="N15" s="29"/>
      <c r="O15" s="27" t="s">
        <v>5</v>
      </c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spans="1:31" ht="14.4" x14ac:dyDescent="0.2">
      <c r="A16" s="27"/>
      <c r="B16" s="27"/>
      <c r="C16" s="27"/>
      <c r="D16" s="27"/>
      <c r="E16" s="27"/>
      <c r="F16" s="28"/>
      <c r="G16" s="613"/>
      <c r="H16" s="28"/>
      <c r="I16" s="27"/>
      <c r="J16" s="27"/>
      <c r="K16" s="29"/>
      <c r="L16" s="29"/>
      <c r="M16" s="29"/>
      <c r="N16" s="29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spans="1:30" ht="14.4" x14ac:dyDescent="0.2">
      <c r="A17" s="27"/>
      <c r="B17" s="27"/>
      <c r="C17" s="27"/>
      <c r="D17" s="27"/>
      <c r="E17" s="27"/>
      <c r="F17" s="28"/>
      <c r="G17" s="613"/>
      <c r="H17" s="28"/>
      <c r="I17" s="27"/>
      <c r="J17" s="27"/>
      <c r="K17" s="29"/>
      <c r="L17" s="29"/>
      <c r="M17" s="29"/>
      <c r="N17" s="29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spans="1:30" ht="14.4" x14ac:dyDescent="0.2">
      <c r="A18" s="27"/>
      <c r="B18" s="27"/>
      <c r="C18" s="27"/>
      <c r="D18" s="27"/>
      <c r="E18" s="27"/>
      <c r="F18" s="28"/>
      <c r="G18" s="613"/>
      <c r="H18" s="28"/>
      <c r="I18" s="27"/>
      <c r="J18" s="27"/>
      <c r="K18" s="29"/>
      <c r="L18" s="29"/>
      <c r="M18" s="29"/>
      <c r="N18" s="29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spans="1:30" ht="14.4" x14ac:dyDescent="0.2">
      <c r="A19" s="27"/>
      <c r="B19" s="27"/>
      <c r="C19" s="27"/>
      <c r="D19" s="27"/>
      <c r="E19" s="27"/>
      <c r="F19" s="28"/>
      <c r="G19" s="613"/>
      <c r="H19" s="28"/>
      <c r="I19" s="27"/>
      <c r="J19" s="27"/>
      <c r="K19" s="29"/>
      <c r="L19" s="29"/>
      <c r="M19" s="29"/>
      <c r="N19" s="29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spans="1:30" ht="14.4" x14ac:dyDescent="0.2">
      <c r="A20" s="27"/>
      <c r="B20" s="27"/>
      <c r="C20" s="27"/>
      <c r="D20" s="27"/>
      <c r="E20" s="27"/>
      <c r="F20" s="28"/>
      <c r="G20" s="613"/>
      <c r="H20" s="28"/>
      <c r="I20" s="27"/>
      <c r="J20" s="27"/>
      <c r="K20" s="29"/>
      <c r="L20" s="29"/>
      <c r="M20" s="29"/>
      <c r="N20" s="29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spans="1:30" ht="14.4" x14ac:dyDescent="0.2">
      <c r="A21" s="27"/>
      <c r="B21" s="27"/>
      <c r="C21" s="27"/>
      <c r="D21" s="27"/>
      <c r="E21" s="27"/>
      <c r="F21" s="28"/>
      <c r="G21" s="613"/>
      <c r="H21" s="28"/>
      <c r="I21" s="27"/>
      <c r="J21" s="27"/>
      <c r="K21" s="29"/>
      <c r="L21" s="29"/>
      <c r="M21" s="29"/>
      <c r="N21" s="29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spans="1:30" ht="14.4" x14ac:dyDescent="0.2">
      <c r="A22" s="27"/>
      <c r="B22" s="27"/>
      <c r="C22" s="27"/>
      <c r="D22" s="27"/>
      <c r="E22" s="27"/>
      <c r="F22" s="28"/>
      <c r="G22" s="613"/>
      <c r="H22" s="28"/>
      <c r="I22" s="27"/>
      <c r="J22" s="27"/>
      <c r="K22" s="29"/>
      <c r="L22" s="29"/>
      <c r="M22" s="29"/>
      <c r="N22" s="29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spans="1:30" ht="14.4" x14ac:dyDescent="0.2">
      <c r="A23" s="27"/>
      <c r="B23" s="27"/>
      <c r="C23" s="27"/>
      <c r="D23" s="27"/>
      <c r="E23" s="27"/>
      <c r="F23" s="28"/>
      <c r="G23" s="613"/>
      <c r="H23" s="67"/>
      <c r="I23" s="338"/>
      <c r="J23" s="27"/>
      <c r="K23" s="29"/>
      <c r="L23" s="29"/>
      <c r="M23" s="29"/>
      <c r="N23" s="29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spans="1:30" ht="14.4" x14ac:dyDescent="0.2">
      <c r="A24" s="27"/>
      <c r="B24" s="27"/>
      <c r="C24" s="27"/>
      <c r="D24" s="27"/>
      <c r="E24" s="27"/>
      <c r="F24" s="28"/>
      <c r="G24" s="613"/>
      <c r="H24" s="28"/>
      <c r="I24" s="27"/>
      <c r="J24" s="27"/>
      <c r="K24" s="29"/>
      <c r="L24" s="29"/>
      <c r="M24" s="29"/>
      <c r="N24" s="29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spans="1:30" ht="14.4" x14ac:dyDescent="0.2">
      <c r="A25" s="30"/>
      <c r="B25" s="27"/>
      <c r="C25" s="30"/>
      <c r="D25" s="27"/>
      <c r="E25" s="27"/>
      <c r="F25" s="28"/>
      <c r="G25" s="613"/>
      <c r="H25" s="28"/>
      <c r="I25" s="27"/>
      <c r="J25" s="27"/>
      <c r="K25" s="29"/>
      <c r="L25" s="29"/>
      <c r="M25" s="29"/>
      <c r="N25" s="29"/>
      <c r="O25" s="30"/>
      <c r="P25" s="30"/>
      <c r="Q25" s="30"/>
      <c r="R25" s="27"/>
      <c r="S25" s="27"/>
      <c r="T25" s="27"/>
      <c r="U25" s="27"/>
      <c r="V25" s="31"/>
      <c r="W25" s="27"/>
      <c r="X25" s="27"/>
      <c r="Y25" s="27"/>
      <c r="Z25" s="27"/>
      <c r="AA25" s="30"/>
      <c r="AB25" s="27"/>
      <c r="AC25" s="27"/>
      <c r="AD25" s="27"/>
    </row>
    <row r="26" spans="1:30" ht="14.4" x14ac:dyDescent="0.2">
      <c r="A26" s="30"/>
      <c r="B26" s="27"/>
      <c r="C26" s="30"/>
      <c r="D26" s="27"/>
      <c r="E26" s="27"/>
      <c r="F26" s="28"/>
      <c r="G26" s="613"/>
      <c r="H26" s="28"/>
      <c r="I26" s="27"/>
      <c r="J26" s="27"/>
      <c r="K26" s="29"/>
      <c r="L26" s="29"/>
      <c r="M26" s="29"/>
      <c r="N26" s="29"/>
      <c r="O26" s="30"/>
      <c r="P26" s="30"/>
      <c r="Q26" s="30"/>
      <c r="R26" s="27"/>
      <c r="S26" s="27"/>
      <c r="T26" s="27"/>
      <c r="U26" s="27"/>
      <c r="V26" s="32"/>
      <c r="W26" s="27"/>
      <c r="X26" s="27"/>
      <c r="Y26" s="27"/>
      <c r="Z26" s="27"/>
      <c r="AA26" s="30"/>
      <c r="AB26" s="27"/>
      <c r="AC26" s="27"/>
      <c r="AD26" s="27"/>
    </row>
    <row r="27" spans="1:30" ht="14.4" x14ac:dyDescent="0.2">
      <c r="A27" s="30"/>
      <c r="B27" s="27"/>
      <c r="C27" s="1165"/>
      <c r="D27" s="1165"/>
      <c r="E27" s="1165"/>
      <c r="F27" s="1165"/>
      <c r="G27" s="614"/>
      <c r="H27" s="49"/>
      <c r="I27" s="27"/>
      <c r="J27" s="27"/>
      <c r="K27" s="1166"/>
      <c r="L27" s="1166"/>
      <c r="M27" s="1166"/>
      <c r="N27" s="1166"/>
      <c r="O27" s="1166"/>
      <c r="P27" s="1166"/>
      <c r="Q27" s="1166"/>
      <c r="R27" s="1166"/>
      <c r="S27" s="1166"/>
      <c r="T27" s="1166"/>
      <c r="U27" s="1166"/>
      <c r="V27" s="1166"/>
      <c r="W27" s="1166"/>
      <c r="X27" s="29"/>
      <c r="Y27" s="27"/>
      <c r="Z27" s="27"/>
      <c r="AA27" s="1165"/>
      <c r="AB27" s="1165"/>
      <c r="AC27" s="1165"/>
      <c r="AD27" s="1165"/>
    </row>
    <row r="28" spans="1:30" ht="14.4" x14ac:dyDescent="0.2">
      <c r="A28" s="27"/>
      <c r="B28" s="27"/>
      <c r="C28" s="1167" t="s">
        <v>23</v>
      </c>
      <c r="D28" s="1167"/>
      <c r="E28" s="1167"/>
      <c r="F28" s="1167"/>
      <c r="G28" s="674"/>
      <c r="H28" s="52"/>
      <c r="I28" s="27"/>
      <c r="J28" s="27"/>
      <c r="K28" s="1167" t="s">
        <v>24</v>
      </c>
      <c r="L28" s="1167"/>
      <c r="M28" s="1167"/>
      <c r="N28" s="1167"/>
      <c r="O28" s="1167"/>
      <c r="P28" s="1167"/>
      <c r="Q28" s="1167"/>
      <c r="R28" s="1167"/>
      <c r="S28" s="1167"/>
      <c r="T28" s="1167"/>
      <c r="U28" s="1167"/>
      <c r="V28" s="1167"/>
      <c r="W28" s="1167"/>
      <c r="X28" s="52"/>
      <c r="Y28" s="27"/>
      <c r="Z28" s="27"/>
      <c r="AA28" s="1167" t="s">
        <v>25</v>
      </c>
      <c r="AB28" s="1167"/>
      <c r="AC28" s="1167"/>
      <c r="AD28" s="1167"/>
    </row>
    <row r="29" spans="1:30" ht="14.4" x14ac:dyDescent="0.2">
      <c r="A29" s="30"/>
      <c r="B29" s="27"/>
      <c r="C29" s="1159" t="str">
        <f>+ADMON!C30</f>
        <v>Jose Martin Conrrado</v>
      </c>
      <c r="D29" s="1159"/>
      <c r="E29" s="1159"/>
      <c r="F29" s="1159"/>
      <c r="G29" s="675"/>
      <c r="H29" s="48"/>
      <c r="I29" s="27"/>
      <c r="J29" s="30"/>
      <c r="K29" s="1159" t="s">
        <v>296</v>
      </c>
      <c r="L29" s="1159"/>
      <c r="M29" s="1159"/>
      <c r="N29" s="1159"/>
      <c r="O29" s="1159"/>
      <c r="P29" s="1159"/>
      <c r="Q29" s="1159"/>
      <c r="R29" s="1159"/>
      <c r="S29" s="1159"/>
      <c r="T29" s="1159"/>
      <c r="U29" s="1159"/>
      <c r="V29" s="1159"/>
      <c r="W29" s="1159"/>
      <c r="X29" s="48"/>
      <c r="Y29" s="33"/>
      <c r="Z29" s="33"/>
      <c r="AA29" s="1160" t="s">
        <v>27</v>
      </c>
      <c r="AB29" s="1160"/>
      <c r="AC29" s="1160"/>
      <c r="AD29" s="1160"/>
    </row>
  </sheetData>
  <protectedRanges>
    <protectedRange sqref="D10:D13" name="Nomina_2_1_2"/>
  </protectedRanges>
  <mergeCells count="46">
    <mergeCell ref="A1:AB1"/>
    <mergeCell ref="Z7:Z9"/>
    <mergeCell ref="P8:P9"/>
    <mergeCell ref="Q8:Q9"/>
    <mergeCell ref="R8:R9"/>
    <mergeCell ref="A3:AD3"/>
    <mergeCell ref="A4:AD4"/>
    <mergeCell ref="B5:AB5"/>
    <mergeCell ref="A7:A9"/>
    <mergeCell ref="B7:B9"/>
    <mergeCell ref="C7:C9"/>
    <mergeCell ref="D7:D9"/>
    <mergeCell ref="E7:E9"/>
    <mergeCell ref="F7:F9"/>
    <mergeCell ref="AD7:AD9"/>
    <mergeCell ref="J8:J9"/>
    <mergeCell ref="M8:M9"/>
    <mergeCell ref="W8:W9"/>
    <mergeCell ref="J7:O7"/>
    <mergeCell ref="R7:W7"/>
    <mergeCell ref="X7:X9"/>
    <mergeCell ref="AC7:AC9"/>
    <mergeCell ref="AA7:AA9"/>
    <mergeCell ref="AB7:AB9"/>
    <mergeCell ref="A14:D14"/>
    <mergeCell ref="O8:O9"/>
    <mergeCell ref="L8:L9"/>
    <mergeCell ref="N8:N9"/>
    <mergeCell ref="V8:V9"/>
    <mergeCell ref="H7:H9"/>
    <mergeCell ref="I7:I9"/>
    <mergeCell ref="S8:S9"/>
    <mergeCell ref="T8:T9"/>
    <mergeCell ref="U8:U9"/>
    <mergeCell ref="G7:G9"/>
    <mergeCell ref="Y7:Y9"/>
    <mergeCell ref="K8:K9"/>
    <mergeCell ref="C29:F29"/>
    <mergeCell ref="K29:W29"/>
    <mergeCell ref="AA29:AD29"/>
    <mergeCell ref="C27:F27"/>
    <mergeCell ref="K27:W27"/>
    <mergeCell ref="AA27:AD27"/>
    <mergeCell ref="C28:F28"/>
    <mergeCell ref="K28:W28"/>
    <mergeCell ref="AA28:AD28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70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CEC9-6A7A-4653-8FF8-655860144ACC}">
  <sheetPr>
    <tabColor theme="8" tint="-0.499984740745262"/>
  </sheetPr>
  <dimension ref="A1:AH26"/>
  <sheetViews>
    <sheetView zoomScaleNormal="100" workbookViewId="0">
      <selection activeCell="A9" sqref="A9:XFD10"/>
    </sheetView>
  </sheetViews>
  <sheetFormatPr baseColWidth="10" defaultRowHeight="10.199999999999999" x14ac:dyDescent="0.2"/>
  <cols>
    <col min="1" max="1" width="5.7109375" customWidth="1"/>
    <col min="2" max="2" width="6.7109375" customWidth="1"/>
    <col min="3" max="3" width="6.42578125" customWidth="1"/>
    <col min="4" max="4" width="32.85546875" customWidth="1"/>
    <col min="5" max="5" width="7.7109375" customWidth="1"/>
    <col min="7" max="7" width="0" hidden="1" customWidth="1"/>
    <col min="9" max="9" width="15.28515625" customWidth="1"/>
    <col min="10" max="10" width="18.85546875" bestFit="1" customWidth="1"/>
    <col min="13" max="13" width="16" customWidth="1"/>
    <col min="14" max="14" width="13.140625" customWidth="1"/>
    <col min="15" max="15" width="13.42578125" customWidth="1"/>
    <col min="16" max="16" width="15.42578125" customWidth="1"/>
    <col min="17" max="17" width="13.42578125" hidden="1" customWidth="1"/>
    <col min="18" max="19" width="0" hidden="1" customWidth="1"/>
    <col min="22" max="22" width="15.42578125" customWidth="1"/>
    <col min="23" max="23" width="14.28515625" customWidth="1"/>
    <col min="24" max="24" width="13" hidden="1" customWidth="1"/>
    <col min="25" max="25" width="21.42578125" customWidth="1"/>
    <col min="26" max="26" width="36" customWidth="1"/>
    <col min="27" max="28" width="0" hidden="1" customWidth="1"/>
  </cols>
  <sheetData>
    <row r="1" spans="1:34" ht="42" customHeight="1" x14ac:dyDescent="0.2">
      <c r="A1" s="1370" t="s">
        <v>481</v>
      </c>
      <c r="B1" s="1370"/>
      <c r="C1" s="1370"/>
      <c r="D1" s="1370"/>
      <c r="E1" s="1370"/>
      <c r="F1" s="1370"/>
      <c r="G1" s="1370"/>
      <c r="H1" s="1370"/>
      <c r="I1" s="1370"/>
      <c r="J1" s="1370"/>
      <c r="K1" s="1370"/>
      <c r="L1" s="1370"/>
      <c r="M1" s="1370"/>
      <c r="N1" s="1370"/>
      <c r="O1" s="1370"/>
      <c r="P1" s="1370"/>
      <c r="Q1" s="1370"/>
      <c r="R1" s="1370"/>
      <c r="S1" s="1370"/>
      <c r="T1" s="1370"/>
      <c r="U1" s="1370"/>
      <c r="V1" s="1370"/>
      <c r="W1" s="1370"/>
      <c r="X1" s="1370"/>
      <c r="Y1" s="1370"/>
      <c r="Z1" s="1370"/>
      <c r="AA1" s="910"/>
      <c r="AB1" s="910"/>
      <c r="AC1" s="910"/>
      <c r="AD1" s="910"/>
      <c r="AE1" s="910"/>
      <c r="AF1" s="910"/>
      <c r="AG1" s="910"/>
      <c r="AH1" s="910"/>
    </row>
    <row r="2" spans="1:34" ht="22.8" hidden="1" x14ac:dyDescent="0.2">
      <c r="A2" s="1370" t="s">
        <v>445</v>
      </c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  <c r="P2" s="1370"/>
      <c r="Q2" s="1370"/>
      <c r="R2" s="1370"/>
      <c r="S2" s="1370"/>
      <c r="T2" s="1370"/>
      <c r="U2" s="1370"/>
      <c r="V2" s="1370"/>
      <c r="W2" s="1370"/>
      <c r="X2" s="1370"/>
      <c r="Y2" s="1370"/>
      <c r="Z2" s="1370"/>
      <c r="AA2" s="1370"/>
      <c r="AB2" s="1370"/>
    </row>
    <row r="3" spans="1:34" ht="22.8" x14ac:dyDescent="0.2">
      <c r="A3" s="1370" t="s">
        <v>479</v>
      </c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0"/>
      <c r="AB3" s="1370"/>
    </row>
    <row r="4" spans="1:34" ht="22.8" x14ac:dyDescent="0.4">
      <c r="A4" s="866"/>
      <c r="B4" s="1366" t="str">
        <f>+ADMON!A5</f>
        <v>QUINCENA DEL 16  AL 30  DE ABRIL - 2026</v>
      </c>
      <c r="C4" s="1366"/>
      <c r="D4" s="1366"/>
      <c r="E4" s="1366"/>
      <c r="F4" s="1366"/>
      <c r="G4" s="1366"/>
      <c r="H4" s="1366"/>
      <c r="I4" s="1366"/>
      <c r="J4" s="1366"/>
      <c r="K4" s="1366"/>
      <c r="L4" s="1366"/>
      <c r="M4" s="1366"/>
      <c r="N4" s="1366"/>
      <c r="O4" s="1366"/>
      <c r="P4" s="1366"/>
      <c r="Q4" s="1366"/>
      <c r="R4" s="1366"/>
      <c r="S4" s="1366"/>
      <c r="T4" s="1366"/>
      <c r="U4" s="1366"/>
      <c r="V4" s="1366"/>
      <c r="W4" s="1366"/>
      <c r="X4" s="1366"/>
      <c r="Y4" s="1366"/>
      <c r="Z4" s="1366"/>
      <c r="AA4" s="866"/>
      <c r="AB4" s="866"/>
    </row>
    <row r="5" spans="1:34" ht="18" thickBot="1" x14ac:dyDescent="0.35">
      <c r="A5" s="74"/>
      <c r="B5" s="75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26"/>
      <c r="AA5" s="26"/>
      <c r="AB5" s="26"/>
    </row>
    <row r="6" spans="1:34" ht="11.4" thickTop="1" thickBot="1" x14ac:dyDescent="0.25">
      <c r="A6" s="1143" t="s">
        <v>2</v>
      </c>
      <c r="B6" s="1143" t="s">
        <v>3</v>
      </c>
      <c r="C6" s="1179" t="s">
        <v>4</v>
      </c>
      <c r="D6" s="1143" t="s">
        <v>6</v>
      </c>
      <c r="E6" s="1179" t="s">
        <v>187</v>
      </c>
      <c r="F6" s="1143" t="s">
        <v>7</v>
      </c>
      <c r="G6" s="1375" t="s">
        <v>125</v>
      </c>
      <c r="H6" s="1376" t="s">
        <v>82</v>
      </c>
      <c r="I6" s="1143" t="s">
        <v>8</v>
      </c>
      <c r="J6" s="1151" t="s">
        <v>9</v>
      </c>
      <c r="K6" s="1151"/>
      <c r="L6" s="1151"/>
      <c r="M6" s="1151"/>
      <c r="N6" s="351"/>
      <c r="O6" s="351"/>
      <c r="P6" s="1143" t="s">
        <v>10</v>
      </c>
      <c r="Q6" s="1143"/>
      <c r="R6" s="1143"/>
      <c r="S6" s="1143"/>
      <c r="T6" s="1143"/>
      <c r="U6" s="1143"/>
      <c r="V6" s="1335" t="s">
        <v>29</v>
      </c>
      <c r="W6" s="1157" t="s">
        <v>114</v>
      </c>
      <c r="X6" s="1157" t="s">
        <v>99</v>
      </c>
      <c r="Y6" s="1143" t="s">
        <v>11</v>
      </c>
      <c r="Z6" s="1173" t="s">
        <v>12</v>
      </c>
      <c r="AA6" s="1143" t="str">
        <f>+N7</f>
        <v>VACACIONES</v>
      </c>
      <c r="AB6" s="1143" t="str">
        <f>+O7</f>
        <v>13VO MES</v>
      </c>
    </row>
    <row r="7" spans="1:34" ht="19.5" customHeight="1" thickTop="1" thickBot="1" x14ac:dyDescent="0.25">
      <c r="A7" s="1143"/>
      <c r="B7" s="1143"/>
      <c r="C7" s="1180"/>
      <c r="D7" s="1143"/>
      <c r="E7" s="1180"/>
      <c r="F7" s="1143"/>
      <c r="G7" s="1375"/>
      <c r="H7" s="1376"/>
      <c r="I7" s="1143"/>
      <c r="J7" s="1143" t="s">
        <v>177</v>
      </c>
      <c r="K7" s="1445" t="s">
        <v>16</v>
      </c>
      <c r="L7" s="1333" t="s">
        <v>195</v>
      </c>
      <c r="M7" s="1143" t="s">
        <v>200</v>
      </c>
      <c r="N7" s="1335" t="s">
        <v>199</v>
      </c>
      <c r="O7" s="1335" t="s">
        <v>53</v>
      </c>
      <c r="P7" s="1143" t="s">
        <v>29</v>
      </c>
      <c r="Q7" s="1170"/>
      <c r="R7" s="1335" t="s">
        <v>3</v>
      </c>
      <c r="S7" s="1143" t="s">
        <v>19</v>
      </c>
      <c r="T7" s="1143" t="s">
        <v>94</v>
      </c>
      <c r="U7" s="1143" t="s">
        <v>20</v>
      </c>
      <c r="V7" s="1337"/>
      <c r="W7" s="1157"/>
      <c r="X7" s="1157"/>
      <c r="Y7" s="1143"/>
      <c r="Z7" s="1173"/>
      <c r="AA7" s="1143"/>
      <c r="AB7" s="1143"/>
    </row>
    <row r="8" spans="1:34" ht="18.75" customHeight="1" thickTop="1" thickBot="1" x14ac:dyDescent="0.25">
      <c r="A8" s="1143"/>
      <c r="B8" s="1143"/>
      <c r="C8" s="1181"/>
      <c r="D8" s="1143"/>
      <c r="E8" s="1181"/>
      <c r="F8" s="1143"/>
      <c r="G8" s="1375"/>
      <c r="H8" s="1376"/>
      <c r="I8" s="1143"/>
      <c r="J8" s="1143"/>
      <c r="K8" s="1445"/>
      <c r="L8" s="1334"/>
      <c r="M8" s="1143"/>
      <c r="N8" s="1336"/>
      <c r="O8" s="1336"/>
      <c r="P8" s="1143"/>
      <c r="Q8" s="1172"/>
      <c r="R8" s="1336"/>
      <c r="S8" s="1143"/>
      <c r="T8" s="1143"/>
      <c r="U8" s="1143"/>
      <c r="V8" s="1336"/>
      <c r="W8" s="1157"/>
      <c r="X8" s="1157"/>
      <c r="Y8" s="1143"/>
      <c r="Z8" s="1173"/>
      <c r="AA8" s="1143"/>
      <c r="AB8" s="1143"/>
    </row>
    <row r="9" spans="1:34" ht="92.25" customHeight="1" thickTop="1" thickBot="1" x14ac:dyDescent="0.25">
      <c r="A9" s="319">
        <v>1</v>
      </c>
      <c r="B9" s="865">
        <v>0</v>
      </c>
      <c r="C9" s="358" t="s">
        <v>455</v>
      </c>
      <c r="D9" s="894" t="s">
        <v>429</v>
      </c>
      <c r="E9" s="211" t="s">
        <v>188</v>
      </c>
      <c r="F9" s="353" t="s">
        <v>444</v>
      </c>
      <c r="G9" s="79" t="e">
        <f>+#REF!</f>
        <v>#REF!</v>
      </c>
      <c r="H9" s="216">
        <v>350</v>
      </c>
      <c r="I9" s="321">
        <f>+H9*30</f>
        <v>10500</v>
      </c>
      <c r="J9" s="631">
        <f t="shared" ref="J9:J10" si="0">(I9/30*K9)</f>
        <v>0</v>
      </c>
      <c r="K9" s="999">
        <v>0</v>
      </c>
      <c r="L9" s="328">
        <v>0</v>
      </c>
      <c r="M9" s="585">
        <f>+J9-N9-O9</f>
        <v>0</v>
      </c>
      <c r="N9" s="585">
        <f>+J9/12</f>
        <v>0</v>
      </c>
      <c r="O9" s="585">
        <f t="shared" ref="O9:O10" si="1">+N9</f>
        <v>0</v>
      </c>
      <c r="P9" s="583">
        <f t="shared" ref="P9:P10" si="2">+O9+M9+N9</f>
        <v>0</v>
      </c>
      <c r="Q9" s="588">
        <f t="shared" ref="Q9:Q10" si="3">M9+N9</f>
        <v>0</v>
      </c>
      <c r="R9" s="583"/>
      <c r="S9" s="583"/>
      <c r="T9" s="583"/>
      <c r="U9" s="585">
        <f t="shared" ref="U9:U10" si="4">R9</f>
        <v>0</v>
      </c>
      <c r="V9" s="585">
        <f t="shared" ref="V9:V10" si="5">-U9+M9+N9+O9</f>
        <v>0</v>
      </c>
      <c r="W9" s="324">
        <v>0</v>
      </c>
      <c r="X9" s="324">
        <v>0</v>
      </c>
      <c r="Y9" s="630">
        <f t="shared" ref="Y9:Y10" si="6">V9-W9-X9</f>
        <v>0</v>
      </c>
      <c r="Z9" s="325"/>
      <c r="AA9" s="325">
        <v>0</v>
      </c>
      <c r="AB9" s="325">
        <v>0</v>
      </c>
    </row>
    <row r="10" spans="1:34" ht="93.75" customHeight="1" thickTop="1" thickBot="1" x14ac:dyDescent="0.25">
      <c r="A10" s="319">
        <v>2</v>
      </c>
      <c r="B10" s="865">
        <v>0</v>
      </c>
      <c r="C10" s="358" t="s">
        <v>456</v>
      </c>
      <c r="D10" s="632" t="s">
        <v>446</v>
      </c>
      <c r="E10" s="211" t="s">
        <v>32</v>
      </c>
      <c r="F10" s="353" t="s">
        <v>264</v>
      </c>
      <c r="G10" s="79" t="e">
        <f>+#REF!</f>
        <v>#REF!</v>
      </c>
      <c r="H10" s="216">
        <v>320</v>
      </c>
      <c r="I10" s="321">
        <f>+H10*30</f>
        <v>9600</v>
      </c>
      <c r="J10" s="631">
        <f t="shared" si="0"/>
        <v>0</v>
      </c>
      <c r="K10" s="999">
        <v>0</v>
      </c>
      <c r="L10" s="328">
        <v>0</v>
      </c>
      <c r="M10" s="585">
        <f>+J10-N10-O10</f>
        <v>0</v>
      </c>
      <c r="N10" s="585">
        <f>+J10/12</f>
        <v>0</v>
      </c>
      <c r="O10" s="585">
        <f t="shared" si="1"/>
        <v>0</v>
      </c>
      <c r="P10" s="583">
        <f t="shared" si="2"/>
        <v>0</v>
      </c>
      <c r="Q10" s="588">
        <f t="shared" si="3"/>
        <v>0</v>
      </c>
      <c r="R10" s="583"/>
      <c r="S10" s="583"/>
      <c r="T10" s="583"/>
      <c r="U10" s="585">
        <f t="shared" si="4"/>
        <v>0</v>
      </c>
      <c r="V10" s="585">
        <f t="shared" si="5"/>
        <v>0</v>
      </c>
      <c r="W10" s="324">
        <v>0</v>
      </c>
      <c r="X10" s="324">
        <v>0</v>
      </c>
      <c r="Y10" s="630">
        <f t="shared" si="6"/>
        <v>0</v>
      </c>
      <c r="Z10" s="325"/>
      <c r="AA10" s="325">
        <v>0</v>
      </c>
      <c r="AB10" s="325">
        <v>0</v>
      </c>
    </row>
    <row r="11" spans="1:34" ht="27.6" thickTop="1" thickBot="1" x14ac:dyDescent="0.25">
      <c r="A11" s="1162" t="s">
        <v>95</v>
      </c>
      <c r="B11" s="1163"/>
      <c r="C11" s="1163"/>
      <c r="D11" s="1164"/>
      <c r="E11" s="215"/>
      <c r="F11" s="215"/>
      <c r="G11" s="215" t="e">
        <f>SUM(#REF!)</f>
        <v>#REF!</v>
      </c>
      <c r="H11" s="215">
        <f>SUM(H10:H10)</f>
        <v>320</v>
      </c>
      <c r="I11" s="215">
        <f>SUM(I9:I10)</f>
        <v>20100</v>
      </c>
      <c r="J11" s="215">
        <f>SUM(J10:J10)</f>
        <v>0</v>
      </c>
      <c r="K11" s="869">
        <f>SUM(K10:K10)</f>
        <v>0</v>
      </c>
      <c r="L11" s="215">
        <f>SUM(L9:L10)</f>
        <v>0</v>
      </c>
      <c r="M11" s="215">
        <f t="shared" ref="M11:Y11" si="7">SUM(M9:M10)</f>
        <v>0</v>
      </c>
      <c r="N11" s="215">
        <f t="shared" si="7"/>
        <v>0</v>
      </c>
      <c r="O11" s="215">
        <f t="shared" si="7"/>
        <v>0</v>
      </c>
      <c r="P11" s="945">
        <f t="shared" si="7"/>
        <v>0</v>
      </c>
      <c r="Q11" s="215">
        <f t="shared" si="7"/>
        <v>0</v>
      </c>
      <c r="R11" s="215">
        <f t="shared" si="7"/>
        <v>0</v>
      </c>
      <c r="S11" s="215">
        <f t="shared" si="7"/>
        <v>0</v>
      </c>
      <c r="T11" s="215">
        <f t="shared" si="7"/>
        <v>0</v>
      </c>
      <c r="U11" s="215">
        <f t="shared" si="7"/>
        <v>0</v>
      </c>
      <c r="V11" s="945">
        <f t="shared" si="7"/>
        <v>0</v>
      </c>
      <c r="W11" s="215">
        <f t="shared" si="7"/>
        <v>0</v>
      </c>
      <c r="X11" s="945">
        <f t="shared" si="7"/>
        <v>0</v>
      </c>
      <c r="Y11" s="946">
        <f t="shared" si="7"/>
        <v>0</v>
      </c>
      <c r="Z11" s="87" t="s">
        <v>105</v>
      </c>
      <c r="AA11" s="86" t="e">
        <f>SUM(#REF!)</f>
        <v>#REF!</v>
      </c>
      <c r="AB11" s="86" t="e">
        <f>SUM(#REF!)</f>
        <v>#REF!</v>
      </c>
    </row>
    <row r="12" spans="1:34" ht="15" thickTop="1" x14ac:dyDescent="0.2">
      <c r="A12" s="27"/>
      <c r="B12" s="27"/>
      <c r="C12" s="27"/>
      <c r="D12" s="27"/>
      <c r="E12" s="27"/>
      <c r="F12" s="28"/>
      <c r="G12" s="613"/>
      <c r="H12" s="28"/>
      <c r="I12" s="27"/>
      <c r="J12" s="27"/>
      <c r="K12" s="29"/>
      <c r="L12" s="29"/>
      <c r="M12" s="27" t="s">
        <v>5</v>
      </c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 spans="1:34" ht="14.4" x14ac:dyDescent="0.2">
      <c r="A13" s="27"/>
      <c r="B13" s="27"/>
      <c r="C13" s="27"/>
      <c r="D13" s="27"/>
      <c r="E13" s="27"/>
      <c r="F13" s="28"/>
      <c r="G13" s="613"/>
      <c r="H13" s="28"/>
      <c r="I13" s="27"/>
      <c r="J13" s="27"/>
      <c r="K13" s="29"/>
      <c r="L13" s="29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 spans="1:34" ht="14.4" x14ac:dyDescent="0.2">
      <c r="A14" s="27"/>
      <c r="B14" s="27"/>
      <c r="C14" s="27"/>
      <c r="D14" s="27"/>
      <c r="E14" s="27"/>
      <c r="F14" s="28"/>
      <c r="G14" s="613"/>
      <c r="H14" s="28"/>
      <c r="I14" s="27"/>
      <c r="J14" s="27"/>
      <c r="K14" s="29"/>
      <c r="L14" s="29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 spans="1:34" ht="14.4" x14ac:dyDescent="0.2">
      <c r="A15" s="27"/>
      <c r="B15" s="27"/>
      <c r="C15" s="27"/>
      <c r="D15" s="27"/>
      <c r="E15" s="27"/>
      <c r="F15" s="28"/>
      <c r="G15" s="613"/>
      <c r="H15" s="28"/>
      <c r="I15" s="27"/>
      <c r="J15" s="27"/>
      <c r="K15" s="29"/>
      <c r="L15" s="29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 spans="1:34" ht="14.4" x14ac:dyDescent="0.2">
      <c r="A16" s="27"/>
      <c r="B16" s="27"/>
      <c r="C16" s="27"/>
      <c r="D16" s="27"/>
      <c r="E16" s="27"/>
      <c r="F16" s="28"/>
      <c r="G16" s="613"/>
      <c r="H16" s="28"/>
      <c r="I16" s="27"/>
      <c r="J16" s="27"/>
      <c r="K16" s="29"/>
      <c r="L16" s="29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ht="14.4" x14ac:dyDescent="0.2">
      <c r="A17" s="27"/>
      <c r="B17" s="27"/>
      <c r="C17" s="27"/>
      <c r="D17" s="27"/>
      <c r="E17" s="27"/>
      <c r="F17" s="28"/>
      <c r="G17" s="613"/>
      <c r="H17" s="28"/>
      <c r="I17" s="27"/>
      <c r="J17" s="27"/>
      <c r="K17" s="29"/>
      <c r="L17" s="29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 spans="1:28" ht="14.4" x14ac:dyDescent="0.2">
      <c r="A18" s="27"/>
      <c r="B18" s="27"/>
      <c r="C18" s="27"/>
      <c r="D18" s="27"/>
      <c r="E18" s="27"/>
      <c r="F18" s="28"/>
      <c r="G18" s="613"/>
      <c r="H18" s="28"/>
      <c r="I18" s="27"/>
      <c r="J18" s="27"/>
      <c r="K18" s="29"/>
      <c r="L18" s="29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 spans="1:28" ht="14.4" x14ac:dyDescent="0.2">
      <c r="A19" s="27"/>
      <c r="B19" s="27"/>
      <c r="C19" s="27"/>
      <c r="D19" s="27"/>
      <c r="E19" s="27"/>
      <c r="F19" s="28"/>
      <c r="G19" s="613"/>
      <c r="H19" s="28"/>
      <c r="I19" s="27"/>
      <c r="J19" s="27"/>
      <c r="K19" s="29"/>
      <c r="L19" s="29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spans="1:28" ht="14.4" x14ac:dyDescent="0.2">
      <c r="A20" s="27"/>
      <c r="B20" s="27"/>
      <c r="C20" s="27"/>
      <c r="D20" s="27"/>
      <c r="E20" s="27"/>
      <c r="F20" s="28"/>
      <c r="G20" s="613"/>
      <c r="H20" s="67"/>
      <c r="I20" s="338"/>
      <c r="J20" s="27"/>
      <c r="K20" s="29"/>
      <c r="L20" s="29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ht="14.4" x14ac:dyDescent="0.2">
      <c r="A21" s="27"/>
      <c r="B21" s="27"/>
      <c r="C21" s="27"/>
      <c r="D21" s="27"/>
      <c r="E21" s="27"/>
      <c r="F21" s="28"/>
      <c r="G21" s="613"/>
      <c r="H21" s="28"/>
      <c r="I21" s="27"/>
      <c r="J21" s="27"/>
      <c r="K21" s="29"/>
      <c r="L21" s="29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ht="14.4" x14ac:dyDescent="0.2">
      <c r="A22" s="30"/>
      <c r="B22" s="27"/>
      <c r="C22" s="30"/>
      <c r="D22" s="27"/>
      <c r="E22" s="27"/>
      <c r="F22" s="28"/>
      <c r="G22" s="613"/>
      <c r="H22" s="28"/>
      <c r="I22" s="27"/>
      <c r="J22" s="27"/>
      <c r="K22" s="29"/>
      <c r="L22" s="29"/>
      <c r="M22" s="30"/>
      <c r="N22" s="30"/>
      <c r="O22" s="30"/>
      <c r="P22" s="27"/>
      <c r="Q22" s="27"/>
      <c r="R22" s="27"/>
      <c r="S22" s="27"/>
      <c r="T22" s="31"/>
      <c r="U22" s="27"/>
      <c r="V22" s="27"/>
      <c r="W22" s="27"/>
      <c r="X22" s="27"/>
      <c r="Y22" s="30"/>
      <c r="Z22" s="27"/>
      <c r="AA22" s="27"/>
      <c r="AB22" s="27"/>
    </row>
    <row r="23" spans="1:28" ht="14.4" x14ac:dyDescent="0.2">
      <c r="A23" s="30"/>
      <c r="B23" s="27"/>
      <c r="C23" s="30"/>
      <c r="D23" s="27"/>
      <c r="E23" s="27"/>
      <c r="F23" s="28"/>
      <c r="G23" s="613"/>
      <c r="H23" s="28"/>
      <c r="I23" s="27"/>
      <c r="J23" s="27"/>
      <c r="K23" s="29"/>
      <c r="L23" s="29"/>
      <c r="M23" s="30"/>
      <c r="N23" s="30"/>
      <c r="O23" s="30"/>
      <c r="P23" s="27"/>
      <c r="Q23" s="27"/>
      <c r="R23" s="27"/>
      <c r="S23" s="27"/>
      <c r="T23" s="32"/>
      <c r="U23" s="27"/>
      <c r="V23" s="27"/>
      <c r="W23" s="27"/>
      <c r="X23" s="27"/>
      <c r="Y23" s="30"/>
      <c r="Z23" s="27"/>
      <c r="AA23" s="27"/>
      <c r="AB23" s="27"/>
    </row>
    <row r="24" spans="1:28" ht="14.4" x14ac:dyDescent="0.2">
      <c r="A24" s="30"/>
      <c r="B24" s="27"/>
      <c r="C24" s="1165"/>
      <c r="D24" s="1165"/>
      <c r="E24" s="1165"/>
      <c r="F24" s="1165"/>
      <c r="G24" s="614"/>
      <c r="H24" s="49"/>
      <c r="I24" s="27"/>
      <c r="J24" s="27"/>
      <c r="K24" s="1166"/>
      <c r="L24" s="1166"/>
      <c r="M24" s="1166"/>
      <c r="N24" s="1166"/>
      <c r="O24" s="1166"/>
      <c r="P24" s="1166"/>
      <c r="Q24" s="1166"/>
      <c r="R24" s="1166"/>
      <c r="S24" s="1166"/>
      <c r="T24" s="1166"/>
      <c r="U24" s="1166"/>
      <c r="V24" s="29"/>
      <c r="W24" s="27"/>
      <c r="X24" s="27"/>
      <c r="Y24" s="1165"/>
      <c r="Z24" s="1165"/>
      <c r="AA24" s="1165"/>
      <c r="AB24" s="1165"/>
    </row>
    <row r="25" spans="1:28" ht="14.4" x14ac:dyDescent="0.2">
      <c r="A25" s="27"/>
      <c r="B25" s="27"/>
      <c r="C25" s="1167" t="s">
        <v>23</v>
      </c>
      <c r="D25" s="1167"/>
      <c r="E25" s="1167"/>
      <c r="F25" s="1167"/>
      <c r="G25" s="674"/>
      <c r="H25" s="52"/>
      <c r="I25" s="27"/>
      <c r="J25" s="27"/>
      <c r="K25" s="1167" t="s">
        <v>24</v>
      </c>
      <c r="L25" s="1167"/>
      <c r="M25" s="1167"/>
      <c r="N25" s="1167"/>
      <c r="O25" s="1167"/>
      <c r="P25" s="1167"/>
      <c r="Q25" s="1167"/>
      <c r="R25" s="1167"/>
      <c r="S25" s="1167"/>
      <c r="T25" s="1167"/>
      <c r="U25" s="1167"/>
      <c r="V25" s="52"/>
      <c r="W25" s="27"/>
      <c r="X25" s="27"/>
      <c r="Y25" s="1167" t="s">
        <v>25</v>
      </c>
      <c r="Z25" s="1167"/>
      <c r="AA25" s="1167"/>
      <c r="AB25" s="1167"/>
    </row>
    <row r="26" spans="1:28" ht="14.4" x14ac:dyDescent="0.2">
      <c r="A26" s="30"/>
      <c r="B26" s="27"/>
      <c r="C26" s="1159" t="str">
        <f>+ADMON!C30</f>
        <v>Jose Martin Conrrado</v>
      </c>
      <c r="D26" s="1159"/>
      <c r="E26" s="1159"/>
      <c r="F26" s="1159"/>
      <c r="G26" s="675"/>
      <c r="H26" s="48"/>
      <c r="I26" s="27"/>
      <c r="J26" s="30"/>
      <c r="K26" s="1159" t="s">
        <v>296</v>
      </c>
      <c r="L26" s="1159"/>
      <c r="M26" s="1159"/>
      <c r="N26" s="1159"/>
      <c r="O26" s="1159"/>
      <c r="P26" s="1159"/>
      <c r="Q26" s="1159"/>
      <c r="R26" s="1159"/>
      <c r="S26" s="1159"/>
      <c r="T26" s="1159"/>
      <c r="U26" s="1159"/>
      <c r="V26" s="48"/>
      <c r="W26" s="33"/>
      <c r="X26" s="33"/>
      <c r="Y26" s="1160" t="s">
        <v>27</v>
      </c>
      <c r="Z26" s="1160"/>
      <c r="AA26" s="1160"/>
      <c r="AB26" s="1160"/>
    </row>
  </sheetData>
  <protectedRanges>
    <protectedRange sqref="D10" name="Nomina_2_1_2_1"/>
  </protectedRanges>
  <mergeCells count="44">
    <mergeCell ref="A1:Z1"/>
    <mergeCell ref="A2:AB2"/>
    <mergeCell ref="A3:AB3"/>
    <mergeCell ref="B4:Z4"/>
    <mergeCell ref="A6:A8"/>
    <mergeCell ref="B6:B8"/>
    <mergeCell ref="C6:C8"/>
    <mergeCell ref="D6:D8"/>
    <mergeCell ref="E6:E8"/>
    <mergeCell ref="F6:F8"/>
    <mergeCell ref="G6:G8"/>
    <mergeCell ref="AB6:AB8"/>
    <mergeCell ref="J7:J8"/>
    <mergeCell ref="K7:K8"/>
    <mergeCell ref="L7:L8"/>
    <mergeCell ref="Z6:Z8"/>
    <mergeCell ref="I6:I8"/>
    <mergeCell ref="O7:O8"/>
    <mergeCell ref="AA6:AA8"/>
    <mergeCell ref="P7:P8"/>
    <mergeCell ref="P6:U6"/>
    <mergeCell ref="Q7:Q8"/>
    <mergeCell ref="R7:R8"/>
    <mergeCell ref="S7:S8"/>
    <mergeCell ref="T7:T8"/>
    <mergeCell ref="U7:U8"/>
    <mergeCell ref="V6:V8"/>
    <mergeCell ref="W6:W8"/>
    <mergeCell ref="A11:D11"/>
    <mergeCell ref="X6:X8"/>
    <mergeCell ref="Y6:Y8"/>
    <mergeCell ref="J6:M6"/>
    <mergeCell ref="C26:F26"/>
    <mergeCell ref="K26:U26"/>
    <mergeCell ref="Y26:AB26"/>
    <mergeCell ref="C24:F24"/>
    <mergeCell ref="K24:U24"/>
    <mergeCell ref="Y24:AB24"/>
    <mergeCell ref="C25:F25"/>
    <mergeCell ref="K25:U25"/>
    <mergeCell ref="Y25:AB25"/>
    <mergeCell ref="M7:M8"/>
    <mergeCell ref="N7:N8"/>
    <mergeCell ref="H6:H8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57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45A4-55B1-4854-8D7E-9DD85B22FEA7}">
  <sheetPr>
    <tabColor rgb="FF7030A0"/>
  </sheetPr>
  <dimension ref="A1:O25"/>
  <sheetViews>
    <sheetView zoomScaleNormal="100" workbookViewId="0">
      <selection activeCell="D18" sqref="D18"/>
    </sheetView>
  </sheetViews>
  <sheetFormatPr baseColWidth="10" defaultRowHeight="10.199999999999999" x14ac:dyDescent="0.2"/>
  <cols>
    <col min="1" max="1" width="11.140625" bestFit="1" customWidth="1"/>
    <col min="2" max="2" width="48.85546875" customWidth="1"/>
    <col min="3" max="3" width="24.7109375" customWidth="1"/>
    <col min="4" max="4" width="6.140625" bestFit="1" customWidth="1"/>
    <col min="5" max="5" width="8.28515625" bestFit="1" customWidth="1"/>
    <col min="6" max="6" width="16.140625" customWidth="1"/>
    <col min="7" max="7" width="50.140625" customWidth="1"/>
  </cols>
  <sheetData>
    <row r="1" spans="1:7" ht="25.2" x14ac:dyDescent="0.45">
      <c r="A1" s="1448" t="s">
        <v>340</v>
      </c>
      <c r="B1" s="1448"/>
      <c r="C1" s="1448"/>
      <c r="D1" s="1448"/>
      <c r="E1" s="1448"/>
      <c r="F1" s="1448"/>
      <c r="G1" s="1448"/>
    </row>
    <row r="2" spans="1:7" ht="18" x14ac:dyDescent="0.35">
      <c r="A2" s="1449" t="s">
        <v>341</v>
      </c>
      <c r="B2" s="1449"/>
      <c r="C2" s="1449"/>
      <c r="D2" s="1449"/>
      <c r="E2" s="1449"/>
      <c r="F2" s="1449"/>
      <c r="G2" s="1449"/>
    </row>
    <row r="3" spans="1:7" ht="18" x14ac:dyDescent="0.35">
      <c r="A3" s="1449" t="str">
        <f>+ADMON!A5</f>
        <v>QUINCENA DEL 16  AL 30  DE ABRIL - 2026</v>
      </c>
      <c r="B3" s="1449"/>
      <c r="C3" s="1449"/>
      <c r="D3" s="1449"/>
      <c r="E3" s="1449"/>
      <c r="F3" s="1449"/>
      <c r="G3" s="1449"/>
    </row>
    <row r="4" spans="1:7" ht="15.6" x14ac:dyDescent="0.3">
      <c r="A4" s="855"/>
      <c r="B4" s="855"/>
      <c r="C4" s="855"/>
      <c r="D4" s="855"/>
      <c r="E4" s="855"/>
      <c r="F4" s="855"/>
      <c r="G4" s="855"/>
    </row>
    <row r="5" spans="1:7" ht="13.8" x14ac:dyDescent="0.25">
      <c r="A5" s="856" t="s">
        <v>342</v>
      </c>
      <c r="B5" s="856" t="s">
        <v>343</v>
      </c>
      <c r="C5" s="856" t="s">
        <v>346</v>
      </c>
      <c r="D5" s="857" t="s">
        <v>134</v>
      </c>
      <c r="E5" s="857" t="s">
        <v>344</v>
      </c>
      <c r="F5" s="857" t="s">
        <v>29</v>
      </c>
      <c r="G5" s="857" t="s">
        <v>345</v>
      </c>
    </row>
    <row r="6" spans="1:7" ht="21.9" customHeight="1" x14ac:dyDescent="0.35">
      <c r="A6" s="864">
        <v>1</v>
      </c>
      <c r="B6" s="858" t="s">
        <v>186</v>
      </c>
      <c r="C6" s="859" t="s">
        <v>389</v>
      </c>
      <c r="D6" s="937">
        <v>0</v>
      </c>
      <c r="E6" s="868">
        <v>80</v>
      </c>
      <c r="F6" s="860">
        <f t="shared" ref="F6:F17" si="0">(D6)*E6</f>
        <v>0</v>
      </c>
      <c r="G6" s="688"/>
    </row>
    <row r="7" spans="1:7" ht="21.9" customHeight="1" x14ac:dyDescent="0.35">
      <c r="A7" s="864">
        <v>2</v>
      </c>
      <c r="B7" s="858" t="s">
        <v>253</v>
      </c>
      <c r="C7" s="859" t="s">
        <v>389</v>
      </c>
      <c r="D7" s="937">
        <v>0</v>
      </c>
      <c r="E7" s="868">
        <v>80</v>
      </c>
      <c r="F7" s="860">
        <f t="shared" si="0"/>
        <v>0</v>
      </c>
      <c r="G7" s="688"/>
    </row>
    <row r="8" spans="1:7" ht="21.9" hidden="1" customHeight="1" x14ac:dyDescent="0.35">
      <c r="A8" s="864">
        <v>3</v>
      </c>
      <c r="B8" s="903" t="s">
        <v>443</v>
      </c>
      <c r="C8" s="859" t="s">
        <v>389</v>
      </c>
      <c r="D8" s="937">
        <v>0</v>
      </c>
      <c r="E8" s="868">
        <v>80</v>
      </c>
      <c r="F8" s="860">
        <f t="shared" si="0"/>
        <v>0</v>
      </c>
      <c r="G8" s="688"/>
    </row>
    <row r="9" spans="1:7" ht="21.9" hidden="1" customHeight="1" x14ac:dyDescent="0.35">
      <c r="A9" s="864">
        <v>3</v>
      </c>
      <c r="B9" s="858" t="s">
        <v>468</v>
      </c>
      <c r="C9" s="859" t="s">
        <v>469</v>
      </c>
      <c r="D9" s="937">
        <v>0</v>
      </c>
      <c r="E9" s="868">
        <v>80</v>
      </c>
      <c r="F9" s="860">
        <f t="shared" si="0"/>
        <v>0</v>
      </c>
      <c r="G9" s="688"/>
    </row>
    <row r="10" spans="1:7" ht="21.9" hidden="1" customHeight="1" x14ac:dyDescent="0.35">
      <c r="A10" s="864">
        <v>4</v>
      </c>
      <c r="B10" s="858" t="s">
        <v>313</v>
      </c>
      <c r="C10" s="859" t="s">
        <v>432</v>
      </c>
      <c r="D10" s="937">
        <v>0</v>
      </c>
      <c r="E10" s="868">
        <v>75</v>
      </c>
      <c r="F10" s="860">
        <f t="shared" si="0"/>
        <v>0</v>
      </c>
      <c r="G10" s="688"/>
    </row>
    <row r="11" spans="1:7" ht="21.9" hidden="1" customHeight="1" x14ac:dyDescent="0.35">
      <c r="A11" s="864">
        <v>5</v>
      </c>
      <c r="B11" s="858" t="s">
        <v>482</v>
      </c>
      <c r="C11" s="859" t="s">
        <v>432</v>
      </c>
      <c r="D11" s="937">
        <v>0</v>
      </c>
      <c r="E11" s="868">
        <v>75</v>
      </c>
      <c r="F11" s="860">
        <f t="shared" si="0"/>
        <v>0</v>
      </c>
      <c r="G11" s="688"/>
    </row>
    <row r="12" spans="1:7" ht="21.9" hidden="1" customHeight="1" x14ac:dyDescent="0.35">
      <c r="A12" s="864">
        <v>8</v>
      </c>
      <c r="B12" s="858" t="s">
        <v>427</v>
      </c>
      <c r="C12" s="859" t="s">
        <v>428</v>
      </c>
      <c r="D12" s="937">
        <v>0</v>
      </c>
      <c r="E12" s="868">
        <v>75</v>
      </c>
      <c r="F12" s="860">
        <f t="shared" si="0"/>
        <v>0</v>
      </c>
      <c r="G12" s="688"/>
    </row>
    <row r="13" spans="1:7" ht="21.9" hidden="1" customHeight="1" x14ac:dyDescent="0.35">
      <c r="A13" s="864">
        <v>9</v>
      </c>
      <c r="B13" s="858" t="s">
        <v>429</v>
      </c>
      <c r="C13" s="859" t="s">
        <v>428</v>
      </c>
      <c r="D13" s="937">
        <v>0</v>
      </c>
      <c r="E13" s="868">
        <v>100</v>
      </c>
      <c r="F13" s="860">
        <f t="shared" si="0"/>
        <v>0</v>
      </c>
      <c r="G13" s="688"/>
    </row>
    <row r="14" spans="1:7" ht="21.9" customHeight="1" x14ac:dyDescent="0.35">
      <c r="A14" s="864">
        <v>5</v>
      </c>
      <c r="B14" s="902" t="s">
        <v>317</v>
      </c>
      <c r="C14" s="859" t="s">
        <v>431</v>
      </c>
      <c r="D14" s="937">
        <v>0</v>
      </c>
      <c r="E14" s="868">
        <v>100</v>
      </c>
      <c r="F14" s="860">
        <f t="shared" si="0"/>
        <v>0</v>
      </c>
      <c r="G14" s="688"/>
    </row>
    <row r="15" spans="1:7" ht="21.9" customHeight="1" x14ac:dyDescent="0.35">
      <c r="A15" s="864">
        <v>6</v>
      </c>
      <c r="B15" s="858" t="s">
        <v>471</v>
      </c>
      <c r="C15" s="859" t="s">
        <v>431</v>
      </c>
      <c r="D15" s="937">
        <v>0</v>
      </c>
      <c r="E15" s="868">
        <v>100</v>
      </c>
      <c r="F15" s="860">
        <f t="shared" si="0"/>
        <v>0</v>
      </c>
      <c r="G15" s="688"/>
    </row>
    <row r="16" spans="1:7" ht="21.9" customHeight="1" x14ac:dyDescent="0.35">
      <c r="A16" s="864">
        <v>7</v>
      </c>
      <c r="B16" s="858" t="s">
        <v>310</v>
      </c>
      <c r="C16" s="859" t="s">
        <v>430</v>
      </c>
      <c r="D16" s="937">
        <v>0</v>
      </c>
      <c r="E16" s="868">
        <v>100</v>
      </c>
      <c r="F16" s="860">
        <f t="shared" si="0"/>
        <v>0</v>
      </c>
      <c r="G16" s="688"/>
    </row>
    <row r="17" spans="1:15" ht="21.9" customHeight="1" x14ac:dyDescent="0.35">
      <c r="A17" s="864">
        <v>8</v>
      </c>
      <c r="B17" s="858" t="s">
        <v>477</v>
      </c>
      <c r="C17" s="859" t="s">
        <v>430</v>
      </c>
      <c r="D17" s="937">
        <v>0</v>
      </c>
      <c r="E17" s="868">
        <v>100</v>
      </c>
      <c r="F17" s="860">
        <f t="shared" si="0"/>
        <v>0</v>
      </c>
      <c r="G17" s="688"/>
    </row>
    <row r="18" spans="1:15" ht="20.399999999999999" x14ac:dyDescent="0.35">
      <c r="A18" s="861" t="s">
        <v>29</v>
      </c>
      <c r="B18" s="862"/>
      <c r="C18" s="862"/>
      <c r="D18" s="862"/>
      <c r="E18" s="863"/>
      <c r="F18" s="867">
        <f>SUM(F6:F17)</f>
        <v>0</v>
      </c>
      <c r="G18" s="688"/>
    </row>
    <row r="23" spans="1:15" ht="14.4" x14ac:dyDescent="0.2">
      <c r="A23" s="1447" t="s">
        <v>121</v>
      </c>
      <c r="B23" s="1447"/>
      <c r="C23" s="30" t="s">
        <v>439</v>
      </c>
      <c r="D23" s="30"/>
      <c r="F23" s="1438" t="s">
        <v>150</v>
      </c>
      <c r="G23" s="1438"/>
    </row>
    <row r="24" spans="1:15" ht="14.4" x14ac:dyDescent="0.2">
      <c r="A24" s="27" t="s">
        <v>23</v>
      </c>
      <c r="B24" s="125"/>
      <c r="C24" s="27" t="s">
        <v>24</v>
      </c>
      <c r="D24" s="125"/>
      <c r="E24" s="125"/>
      <c r="F24" s="27" t="s">
        <v>25</v>
      </c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5.6" x14ac:dyDescent="0.2">
      <c r="A25" s="30" t="s">
        <v>400</v>
      </c>
      <c r="B25" s="893"/>
      <c r="C25" s="30" t="s">
        <v>350</v>
      </c>
      <c r="D25" s="122"/>
      <c r="E25" s="122"/>
      <c r="F25" s="27" t="s">
        <v>270</v>
      </c>
      <c r="G25" s="125"/>
      <c r="H25" s="125"/>
      <c r="I25" s="125"/>
      <c r="J25" s="122"/>
      <c r="K25" s="122"/>
      <c r="L25" s="122"/>
      <c r="M25" s="122"/>
      <c r="N25" s="122"/>
      <c r="O25" s="122"/>
    </row>
  </sheetData>
  <protectedRanges>
    <protectedRange sqref="B15" name="Nomina_2_1_2"/>
  </protectedRanges>
  <autoFilter ref="A5:G5" xr:uid="{1C8A45A4-55B1-4854-8D7E-9DD85B22FEA7}">
    <sortState xmlns:xlrd2="http://schemas.microsoft.com/office/spreadsheetml/2017/richdata2" ref="A6:G18">
      <sortCondition ref="C5"/>
    </sortState>
  </autoFilter>
  <mergeCells count="5">
    <mergeCell ref="A23:B23"/>
    <mergeCell ref="F23:G23"/>
    <mergeCell ref="A1:G1"/>
    <mergeCell ref="A2:G2"/>
    <mergeCell ref="A3:G3"/>
  </mergeCells>
  <printOptions horizontalCentered="1" verticalCentered="1"/>
  <pageMargins left="0" right="0" top="0" bottom="0" header="0.31496062992125984" footer="0.31496062992125984"/>
  <pageSetup paperSize="5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AB2B-B904-4579-A926-DC341AC1DD0E}">
  <dimension ref="A1:XFB28"/>
  <sheetViews>
    <sheetView zoomScale="80" zoomScaleNormal="80" workbookViewId="0">
      <selection activeCell="K16" sqref="K16"/>
    </sheetView>
  </sheetViews>
  <sheetFormatPr baseColWidth="10" defaultRowHeight="10.199999999999999" x14ac:dyDescent="0.2"/>
  <cols>
    <col min="1" max="1" width="3.28515625" bestFit="1" customWidth="1"/>
    <col min="2" max="2" width="5" bestFit="1" customWidth="1"/>
    <col min="3" max="3" width="9" customWidth="1"/>
    <col min="4" max="4" width="26.42578125" customWidth="1"/>
    <col min="5" max="5" width="7.85546875" customWidth="1"/>
    <col min="7" max="7" width="0" hidden="1" customWidth="1"/>
    <col min="8" max="8" width="15.85546875" customWidth="1"/>
    <col min="9" max="9" width="20" customWidth="1"/>
    <col min="10" max="10" width="21.7109375" customWidth="1"/>
    <col min="12" max="13" width="0" hidden="1" customWidth="1"/>
    <col min="15" max="15" width="18.42578125" customWidth="1"/>
    <col min="16" max="16" width="15.42578125" customWidth="1"/>
    <col min="17" max="17" width="16.7109375" customWidth="1"/>
    <col min="18" max="18" width="19.28515625" customWidth="1"/>
    <col min="19" max="19" width="13.42578125" hidden="1" customWidth="1"/>
    <col min="20" max="23" width="0" hidden="1" customWidth="1"/>
    <col min="24" max="24" width="19.140625" hidden="1" customWidth="1"/>
    <col min="25" max="25" width="17.7109375" customWidth="1"/>
    <col min="26" max="26" width="17.7109375" hidden="1" customWidth="1"/>
    <col min="27" max="27" width="19.28515625" hidden="1" customWidth="1"/>
    <col min="28" max="28" width="20" bestFit="1" customWidth="1"/>
    <col min="29" max="29" width="54" customWidth="1"/>
    <col min="30" max="31" width="0" hidden="1" customWidth="1"/>
  </cols>
  <sheetData>
    <row r="1" spans="1:1022 1026:2046 2050:3070 3074:4094 4098:5118 5122:6142 6146:7166 7170:8190 8194:9214 9218:10238 10242:11262 11266:12286 12290:13310 13314:14334 14338:15358 15362:16382" s="921" customFormat="1" ht="36" customHeight="1" x14ac:dyDescent="0.2">
      <c r="A1" s="1451" t="s">
        <v>475</v>
      </c>
      <c r="B1" s="1451"/>
      <c r="C1" s="1451"/>
      <c r="D1" s="1451"/>
      <c r="E1" s="1451"/>
      <c r="F1" s="1451"/>
      <c r="G1" s="1451"/>
      <c r="H1" s="1451"/>
      <c r="I1" s="1451"/>
      <c r="J1" s="1451"/>
      <c r="K1" s="1451"/>
      <c r="L1" s="1451"/>
      <c r="M1" s="1451"/>
      <c r="N1" s="1451"/>
      <c r="O1" s="1451"/>
      <c r="P1" s="1451"/>
      <c r="Q1" s="1451"/>
      <c r="R1" s="1451"/>
      <c r="S1" s="1451"/>
      <c r="T1" s="1451"/>
      <c r="U1" s="1451"/>
      <c r="V1" s="1451"/>
      <c r="W1" s="1451"/>
      <c r="X1" s="1451"/>
      <c r="Y1" s="1451"/>
      <c r="Z1" s="1451"/>
      <c r="AA1" s="1451"/>
      <c r="AB1" s="1451"/>
      <c r="AC1" s="1451"/>
      <c r="AD1" s="922"/>
      <c r="AH1" s="920" t="s">
        <v>475</v>
      </c>
      <c r="AL1" s="922"/>
      <c r="AP1" s="920" t="s">
        <v>475</v>
      </c>
      <c r="AT1" s="922"/>
      <c r="AX1" s="920" t="s">
        <v>475</v>
      </c>
      <c r="BB1" s="922"/>
      <c r="BF1" s="920" t="s">
        <v>475</v>
      </c>
      <c r="BJ1" s="922"/>
      <c r="BN1" s="920" t="s">
        <v>475</v>
      </c>
      <c r="BR1" s="922"/>
      <c r="BV1" s="920" t="s">
        <v>475</v>
      </c>
      <c r="BZ1" s="922"/>
      <c r="CD1" s="920" t="s">
        <v>475</v>
      </c>
      <c r="CH1" s="922"/>
      <c r="CL1" s="920" t="s">
        <v>475</v>
      </c>
      <c r="CP1" s="922"/>
      <c r="CT1" s="920" t="s">
        <v>475</v>
      </c>
      <c r="CX1" s="922"/>
      <c r="DB1" s="920" t="s">
        <v>475</v>
      </c>
      <c r="DF1" s="922"/>
      <c r="DJ1" s="920" t="s">
        <v>475</v>
      </c>
      <c r="DN1" s="922"/>
      <c r="DR1" s="920" t="s">
        <v>475</v>
      </c>
      <c r="DV1" s="922"/>
      <c r="DZ1" s="920" t="s">
        <v>475</v>
      </c>
      <c r="ED1" s="922"/>
      <c r="EH1" s="920" t="s">
        <v>475</v>
      </c>
      <c r="EL1" s="922"/>
      <c r="EP1" s="920" t="s">
        <v>475</v>
      </c>
      <c r="ET1" s="922"/>
      <c r="EX1" s="920" t="s">
        <v>475</v>
      </c>
      <c r="FB1" s="922"/>
      <c r="FF1" s="920" t="s">
        <v>475</v>
      </c>
      <c r="FJ1" s="922"/>
      <c r="FN1" s="920" t="s">
        <v>475</v>
      </c>
      <c r="FR1" s="922"/>
      <c r="FV1" s="920" t="s">
        <v>475</v>
      </c>
      <c r="FZ1" s="922"/>
      <c r="GD1" s="920" t="s">
        <v>475</v>
      </c>
      <c r="GH1" s="922"/>
      <c r="GL1" s="920" t="s">
        <v>475</v>
      </c>
      <c r="GP1" s="922"/>
      <c r="GT1" s="920" t="s">
        <v>475</v>
      </c>
      <c r="GX1" s="922"/>
      <c r="HB1" s="920" t="s">
        <v>475</v>
      </c>
      <c r="HF1" s="922"/>
      <c r="HJ1" s="920" t="s">
        <v>475</v>
      </c>
      <c r="HN1" s="922"/>
      <c r="HR1" s="920" t="s">
        <v>475</v>
      </c>
      <c r="HV1" s="922"/>
      <c r="HZ1" s="920" t="s">
        <v>475</v>
      </c>
      <c r="ID1" s="922"/>
      <c r="IH1" s="920" t="s">
        <v>475</v>
      </c>
      <c r="IL1" s="922"/>
      <c r="IP1" s="920" t="s">
        <v>475</v>
      </c>
      <c r="IT1" s="922"/>
      <c r="IX1" s="920" t="s">
        <v>475</v>
      </c>
      <c r="JB1" s="922"/>
      <c r="JF1" s="920" t="s">
        <v>475</v>
      </c>
      <c r="JJ1" s="922"/>
      <c r="JN1" s="920" t="s">
        <v>475</v>
      </c>
      <c r="JR1" s="922"/>
      <c r="JV1" s="920" t="s">
        <v>475</v>
      </c>
      <c r="JZ1" s="922"/>
      <c r="KD1" s="920" t="s">
        <v>475</v>
      </c>
      <c r="KH1" s="922"/>
      <c r="KL1" s="920" t="s">
        <v>475</v>
      </c>
      <c r="KP1" s="922"/>
      <c r="KT1" s="920" t="s">
        <v>475</v>
      </c>
      <c r="KX1" s="922"/>
      <c r="LB1" s="920" t="s">
        <v>475</v>
      </c>
      <c r="LF1" s="922"/>
      <c r="LJ1" s="920" t="s">
        <v>475</v>
      </c>
      <c r="LN1" s="922"/>
      <c r="LR1" s="920" t="s">
        <v>475</v>
      </c>
      <c r="LV1" s="922"/>
      <c r="LZ1" s="920" t="s">
        <v>475</v>
      </c>
      <c r="MD1" s="922"/>
      <c r="MH1" s="920" t="s">
        <v>475</v>
      </c>
      <c r="ML1" s="922"/>
      <c r="MP1" s="920" t="s">
        <v>475</v>
      </c>
      <c r="MT1" s="922"/>
      <c r="MX1" s="920" t="s">
        <v>475</v>
      </c>
      <c r="NB1" s="922"/>
      <c r="NF1" s="920" t="s">
        <v>475</v>
      </c>
      <c r="NJ1" s="922"/>
      <c r="NN1" s="920" t="s">
        <v>475</v>
      </c>
      <c r="NR1" s="922"/>
      <c r="NV1" s="920" t="s">
        <v>475</v>
      </c>
      <c r="NZ1" s="922"/>
      <c r="OD1" s="920" t="s">
        <v>475</v>
      </c>
      <c r="OH1" s="922"/>
      <c r="OL1" s="920" t="s">
        <v>475</v>
      </c>
      <c r="OP1" s="922"/>
      <c r="OT1" s="920" t="s">
        <v>475</v>
      </c>
      <c r="OX1" s="922"/>
      <c r="PB1" s="920" t="s">
        <v>475</v>
      </c>
      <c r="PF1" s="922"/>
      <c r="PJ1" s="920" t="s">
        <v>475</v>
      </c>
      <c r="PN1" s="922"/>
      <c r="PR1" s="920" t="s">
        <v>475</v>
      </c>
      <c r="PV1" s="922"/>
      <c r="PZ1" s="920" t="s">
        <v>475</v>
      </c>
      <c r="QD1" s="922"/>
      <c r="QH1" s="920" t="s">
        <v>475</v>
      </c>
      <c r="QL1" s="922"/>
      <c r="QP1" s="920" t="s">
        <v>475</v>
      </c>
      <c r="QT1" s="922"/>
      <c r="QX1" s="920" t="s">
        <v>475</v>
      </c>
      <c r="RB1" s="922"/>
      <c r="RF1" s="920" t="s">
        <v>475</v>
      </c>
      <c r="RJ1" s="922"/>
      <c r="RN1" s="920" t="s">
        <v>475</v>
      </c>
      <c r="RR1" s="922"/>
      <c r="RV1" s="920" t="s">
        <v>475</v>
      </c>
      <c r="RZ1" s="922"/>
      <c r="SD1" s="920" t="s">
        <v>475</v>
      </c>
      <c r="SH1" s="922"/>
      <c r="SL1" s="920" t="s">
        <v>475</v>
      </c>
      <c r="SP1" s="922"/>
      <c r="ST1" s="920" t="s">
        <v>475</v>
      </c>
      <c r="SX1" s="922"/>
      <c r="TB1" s="920" t="s">
        <v>475</v>
      </c>
      <c r="TF1" s="922"/>
      <c r="TJ1" s="920" t="s">
        <v>475</v>
      </c>
      <c r="TN1" s="922"/>
      <c r="TR1" s="920" t="s">
        <v>475</v>
      </c>
      <c r="TV1" s="922"/>
      <c r="TZ1" s="920" t="s">
        <v>475</v>
      </c>
      <c r="UD1" s="922"/>
      <c r="UH1" s="920" t="s">
        <v>475</v>
      </c>
      <c r="UL1" s="922"/>
      <c r="UP1" s="920" t="s">
        <v>475</v>
      </c>
      <c r="UT1" s="922"/>
      <c r="UX1" s="920" t="s">
        <v>475</v>
      </c>
      <c r="VB1" s="922"/>
      <c r="VF1" s="920" t="s">
        <v>475</v>
      </c>
      <c r="VJ1" s="922"/>
      <c r="VN1" s="920" t="s">
        <v>475</v>
      </c>
      <c r="VR1" s="922"/>
      <c r="VV1" s="920" t="s">
        <v>475</v>
      </c>
      <c r="VZ1" s="922"/>
      <c r="WD1" s="920" t="s">
        <v>475</v>
      </c>
      <c r="WH1" s="922"/>
      <c r="WL1" s="920" t="s">
        <v>475</v>
      </c>
      <c r="WP1" s="922"/>
      <c r="WT1" s="920" t="s">
        <v>475</v>
      </c>
      <c r="WX1" s="922"/>
      <c r="XB1" s="920" t="s">
        <v>475</v>
      </c>
      <c r="XF1" s="922"/>
      <c r="XJ1" s="920" t="s">
        <v>475</v>
      </c>
      <c r="XN1" s="922"/>
      <c r="XR1" s="920" t="s">
        <v>475</v>
      </c>
      <c r="XV1" s="922"/>
      <c r="XZ1" s="920" t="s">
        <v>475</v>
      </c>
      <c r="YD1" s="922"/>
      <c r="YH1" s="920" t="s">
        <v>475</v>
      </c>
      <c r="YL1" s="922"/>
      <c r="YP1" s="920" t="s">
        <v>475</v>
      </c>
      <c r="YT1" s="922"/>
      <c r="YX1" s="920" t="s">
        <v>475</v>
      </c>
      <c r="ZB1" s="922"/>
      <c r="ZF1" s="920" t="s">
        <v>475</v>
      </c>
      <c r="ZJ1" s="922"/>
      <c r="ZN1" s="920" t="s">
        <v>475</v>
      </c>
      <c r="ZR1" s="922"/>
      <c r="ZV1" s="920" t="s">
        <v>475</v>
      </c>
      <c r="ZZ1" s="922"/>
      <c r="AAD1" s="920" t="s">
        <v>475</v>
      </c>
      <c r="AAH1" s="922"/>
      <c r="AAL1" s="920" t="s">
        <v>475</v>
      </c>
      <c r="AAP1" s="922"/>
      <c r="AAT1" s="920" t="s">
        <v>475</v>
      </c>
      <c r="AAX1" s="922"/>
      <c r="ABB1" s="920" t="s">
        <v>475</v>
      </c>
      <c r="ABF1" s="922"/>
      <c r="ABJ1" s="920" t="s">
        <v>475</v>
      </c>
      <c r="ABN1" s="922"/>
      <c r="ABR1" s="920" t="s">
        <v>475</v>
      </c>
      <c r="ABV1" s="922"/>
      <c r="ABZ1" s="920" t="s">
        <v>475</v>
      </c>
      <c r="ACD1" s="922"/>
      <c r="ACH1" s="920" t="s">
        <v>475</v>
      </c>
      <c r="ACL1" s="922"/>
      <c r="ACP1" s="920" t="s">
        <v>475</v>
      </c>
      <c r="ACT1" s="922"/>
      <c r="ACX1" s="920" t="s">
        <v>475</v>
      </c>
      <c r="ADB1" s="922"/>
      <c r="ADF1" s="920" t="s">
        <v>475</v>
      </c>
      <c r="ADJ1" s="922"/>
      <c r="ADN1" s="920" t="s">
        <v>475</v>
      </c>
      <c r="ADR1" s="922"/>
      <c r="ADV1" s="920" t="s">
        <v>475</v>
      </c>
      <c r="ADZ1" s="922"/>
      <c r="AED1" s="920" t="s">
        <v>475</v>
      </c>
      <c r="AEH1" s="922"/>
      <c r="AEL1" s="920" t="s">
        <v>475</v>
      </c>
      <c r="AEP1" s="922"/>
      <c r="AET1" s="920" t="s">
        <v>475</v>
      </c>
      <c r="AEX1" s="922"/>
      <c r="AFB1" s="920" t="s">
        <v>475</v>
      </c>
      <c r="AFF1" s="922"/>
      <c r="AFJ1" s="920" t="s">
        <v>475</v>
      </c>
      <c r="AFN1" s="922"/>
      <c r="AFR1" s="920" t="s">
        <v>475</v>
      </c>
      <c r="AFV1" s="922"/>
      <c r="AFZ1" s="920" t="s">
        <v>475</v>
      </c>
      <c r="AGD1" s="922"/>
      <c r="AGH1" s="920" t="s">
        <v>475</v>
      </c>
      <c r="AGL1" s="922"/>
      <c r="AGP1" s="920" t="s">
        <v>475</v>
      </c>
      <c r="AGT1" s="922"/>
      <c r="AGX1" s="920" t="s">
        <v>475</v>
      </c>
      <c r="AHB1" s="922"/>
      <c r="AHF1" s="920" t="s">
        <v>475</v>
      </c>
      <c r="AHJ1" s="922"/>
      <c r="AHN1" s="920" t="s">
        <v>475</v>
      </c>
      <c r="AHR1" s="922"/>
      <c r="AHV1" s="920" t="s">
        <v>475</v>
      </c>
      <c r="AHZ1" s="922"/>
      <c r="AID1" s="920" t="s">
        <v>475</v>
      </c>
      <c r="AIH1" s="922"/>
      <c r="AIL1" s="920" t="s">
        <v>475</v>
      </c>
      <c r="AIP1" s="922"/>
      <c r="AIT1" s="920" t="s">
        <v>475</v>
      </c>
      <c r="AIX1" s="922"/>
      <c r="AJB1" s="920" t="s">
        <v>475</v>
      </c>
      <c r="AJF1" s="922"/>
      <c r="AJJ1" s="920" t="s">
        <v>475</v>
      </c>
      <c r="AJN1" s="922"/>
      <c r="AJR1" s="920" t="s">
        <v>475</v>
      </c>
      <c r="AJV1" s="922"/>
      <c r="AJZ1" s="920" t="s">
        <v>475</v>
      </c>
      <c r="AKD1" s="922"/>
      <c r="AKH1" s="920" t="s">
        <v>475</v>
      </c>
      <c r="AKL1" s="922"/>
      <c r="AKP1" s="920" t="s">
        <v>475</v>
      </c>
      <c r="AKT1" s="922"/>
      <c r="AKX1" s="920" t="s">
        <v>475</v>
      </c>
      <c r="ALB1" s="922"/>
      <c r="ALF1" s="920" t="s">
        <v>475</v>
      </c>
      <c r="ALJ1" s="922"/>
      <c r="ALN1" s="920" t="s">
        <v>475</v>
      </c>
      <c r="ALR1" s="922"/>
      <c r="ALV1" s="920" t="s">
        <v>475</v>
      </c>
      <c r="ALZ1" s="922"/>
      <c r="AMD1" s="920" t="s">
        <v>475</v>
      </c>
      <c r="AMH1" s="922"/>
      <c r="AML1" s="920" t="s">
        <v>475</v>
      </c>
      <c r="AMP1" s="922"/>
      <c r="AMT1" s="920" t="s">
        <v>475</v>
      </c>
      <c r="AMX1" s="922"/>
      <c r="ANB1" s="920" t="s">
        <v>475</v>
      </c>
      <c r="ANF1" s="922"/>
      <c r="ANJ1" s="920" t="s">
        <v>475</v>
      </c>
      <c r="ANN1" s="922"/>
      <c r="ANR1" s="920" t="s">
        <v>475</v>
      </c>
      <c r="ANV1" s="922"/>
      <c r="ANZ1" s="920" t="s">
        <v>475</v>
      </c>
      <c r="AOD1" s="922"/>
      <c r="AOH1" s="920" t="s">
        <v>475</v>
      </c>
      <c r="AOL1" s="922"/>
      <c r="AOP1" s="920" t="s">
        <v>475</v>
      </c>
      <c r="AOT1" s="922"/>
      <c r="AOX1" s="920" t="s">
        <v>475</v>
      </c>
      <c r="APB1" s="922"/>
      <c r="APF1" s="920" t="s">
        <v>475</v>
      </c>
      <c r="APJ1" s="922"/>
      <c r="APN1" s="920" t="s">
        <v>475</v>
      </c>
      <c r="APR1" s="922"/>
      <c r="APV1" s="920" t="s">
        <v>475</v>
      </c>
      <c r="APZ1" s="922"/>
      <c r="AQD1" s="920" t="s">
        <v>475</v>
      </c>
      <c r="AQH1" s="922"/>
      <c r="AQL1" s="920" t="s">
        <v>475</v>
      </c>
      <c r="AQP1" s="922"/>
      <c r="AQT1" s="920" t="s">
        <v>475</v>
      </c>
      <c r="AQX1" s="922"/>
      <c r="ARB1" s="920" t="s">
        <v>475</v>
      </c>
      <c r="ARF1" s="922"/>
      <c r="ARJ1" s="920" t="s">
        <v>475</v>
      </c>
      <c r="ARN1" s="922"/>
      <c r="ARR1" s="920" t="s">
        <v>475</v>
      </c>
      <c r="ARV1" s="922"/>
      <c r="ARZ1" s="920" t="s">
        <v>475</v>
      </c>
      <c r="ASD1" s="922"/>
      <c r="ASH1" s="920" t="s">
        <v>475</v>
      </c>
      <c r="ASL1" s="922"/>
      <c r="ASP1" s="920" t="s">
        <v>475</v>
      </c>
      <c r="AST1" s="922"/>
      <c r="ASX1" s="920" t="s">
        <v>475</v>
      </c>
      <c r="ATB1" s="922"/>
      <c r="ATF1" s="920" t="s">
        <v>475</v>
      </c>
      <c r="ATJ1" s="922"/>
      <c r="ATN1" s="920" t="s">
        <v>475</v>
      </c>
      <c r="ATR1" s="922"/>
      <c r="ATV1" s="920" t="s">
        <v>475</v>
      </c>
      <c r="ATZ1" s="922"/>
      <c r="AUD1" s="920" t="s">
        <v>475</v>
      </c>
      <c r="AUH1" s="922"/>
      <c r="AUL1" s="920" t="s">
        <v>475</v>
      </c>
      <c r="AUP1" s="922"/>
      <c r="AUT1" s="920" t="s">
        <v>475</v>
      </c>
      <c r="AUX1" s="922"/>
      <c r="AVB1" s="920" t="s">
        <v>475</v>
      </c>
      <c r="AVF1" s="922"/>
      <c r="AVJ1" s="920" t="s">
        <v>475</v>
      </c>
      <c r="AVN1" s="922"/>
      <c r="AVR1" s="920" t="s">
        <v>475</v>
      </c>
      <c r="AVV1" s="922"/>
      <c r="AVZ1" s="920" t="s">
        <v>475</v>
      </c>
      <c r="AWD1" s="922"/>
      <c r="AWH1" s="920" t="s">
        <v>475</v>
      </c>
      <c r="AWL1" s="922"/>
      <c r="AWP1" s="920" t="s">
        <v>475</v>
      </c>
      <c r="AWT1" s="922"/>
      <c r="AWX1" s="920" t="s">
        <v>475</v>
      </c>
      <c r="AXB1" s="922"/>
      <c r="AXF1" s="920" t="s">
        <v>475</v>
      </c>
      <c r="AXJ1" s="922"/>
      <c r="AXN1" s="920" t="s">
        <v>475</v>
      </c>
      <c r="AXR1" s="922"/>
      <c r="AXV1" s="920" t="s">
        <v>475</v>
      </c>
      <c r="AXZ1" s="922"/>
      <c r="AYD1" s="920" t="s">
        <v>475</v>
      </c>
      <c r="AYH1" s="922"/>
      <c r="AYL1" s="920" t="s">
        <v>475</v>
      </c>
      <c r="AYP1" s="922"/>
      <c r="AYT1" s="920" t="s">
        <v>475</v>
      </c>
      <c r="AYX1" s="922"/>
      <c r="AZB1" s="920" t="s">
        <v>475</v>
      </c>
      <c r="AZF1" s="922"/>
      <c r="AZJ1" s="920" t="s">
        <v>475</v>
      </c>
      <c r="AZN1" s="922"/>
      <c r="AZR1" s="920" t="s">
        <v>475</v>
      </c>
      <c r="AZV1" s="922"/>
      <c r="AZZ1" s="920" t="s">
        <v>475</v>
      </c>
      <c r="BAD1" s="922"/>
      <c r="BAH1" s="920" t="s">
        <v>475</v>
      </c>
      <c r="BAL1" s="922"/>
      <c r="BAP1" s="920" t="s">
        <v>475</v>
      </c>
      <c r="BAT1" s="922"/>
      <c r="BAX1" s="920" t="s">
        <v>475</v>
      </c>
      <c r="BBB1" s="922"/>
      <c r="BBF1" s="920" t="s">
        <v>475</v>
      </c>
      <c r="BBJ1" s="922"/>
      <c r="BBN1" s="920" t="s">
        <v>475</v>
      </c>
      <c r="BBR1" s="922"/>
      <c r="BBV1" s="920" t="s">
        <v>475</v>
      </c>
      <c r="BBZ1" s="922"/>
      <c r="BCD1" s="920" t="s">
        <v>475</v>
      </c>
      <c r="BCH1" s="922"/>
      <c r="BCL1" s="920" t="s">
        <v>475</v>
      </c>
      <c r="BCP1" s="922"/>
      <c r="BCT1" s="920" t="s">
        <v>475</v>
      </c>
      <c r="BCX1" s="922"/>
      <c r="BDB1" s="920" t="s">
        <v>475</v>
      </c>
      <c r="BDF1" s="922"/>
      <c r="BDJ1" s="920" t="s">
        <v>475</v>
      </c>
      <c r="BDN1" s="922"/>
      <c r="BDR1" s="920" t="s">
        <v>475</v>
      </c>
      <c r="BDV1" s="922"/>
      <c r="BDZ1" s="920" t="s">
        <v>475</v>
      </c>
      <c r="BED1" s="922"/>
      <c r="BEH1" s="920" t="s">
        <v>475</v>
      </c>
      <c r="BEL1" s="922"/>
      <c r="BEP1" s="920" t="s">
        <v>475</v>
      </c>
      <c r="BET1" s="922"/>
      <c r="BEX1" s="920" t="s">
        <v>475</v>
      </c>
      <c r="BFB1" s="922"/>
      <c r="BFF1" s="920" t="s">
        <v>475</v>
      </c>
      <c r="BFJ1" s="922"/>
      <c r="BFN1" s="920" t="s">
        <v>475</v>
      </c>
      <c r="BFR1" s="922"/>
      <c r="BFV1" s="920" t="s">
        <v>475</v>
      </c>
      <c r="BFZ1" s="922"/>
      <c r="BGD1" s="920" t="s">
        <v>475</v>
      </c>
      <c r="BGH1" s="922"/>
      <c r="BGL1" s="920" t="s">
        <v>475</v>
      </c>
      <c r="BGP1" s="922"/>
      <c r="BGT1" s="920" t="s">
        <v>475</v>
      </c>
      <c r="BGX1" s="922"/>
      <c r="BHB1" s="920" t="s">
        <v>475</v>
      </c>
      <c r="BHF1" s="922"/>
      <c r="BHJ1" s="920" t="s">
        <v>475</v>
      </c>
      <c r="BHN1" s="922"/>
      <c r="BHR1" s="920" t="s">
        <v>475</v>
      </c>
      <c r="BHV1" s="922"/>
      <c r="BHZ1" s="920" t="s">
        <v>475</v>
      </c>
      <c r="BID1" s="922"/>
      <c r="BIH1" s="920" t="s">
        <v>475</v>
      </c>
      <c r="BIL1" s="922"/>
      <c r="BIP1" s="920" t="s">
        <v>475</v>
      </c>
      <c r="BIT1" s="922"/>
      <c r="BIX1" s="920" t="s">
        <v>475</v>
      </c>
      <c r="BJB1" s="922"/>
      <c r="BJF1" s="920" t="s">
        <v>475</v>
      </c>
      <c r="BJJ1" s="922"/>
      <c r="BJN1" s="920" t="s">
        <v>475</v>
      </c>
      <c r="BJR1" s="922"/>
      <c r="BJV1" s="920" t="s">
        <v>475</v>
      </c>
      <c r="BJZ1" s="922"/>
      <c r="BKD1" s="920" t="s">
        <v>475</v>
      </c>
      <c r="BKH1" s="922"/>
      <c r="BKL1" s="920" t="s">
        <v>475</v>
      </c>
      <c r="BKP1" s="922"/>
      <c r="BKT1" s="920" t="s">
        <v>475</v>
      </c>
      <c r="BKX1" s="922"/>
      <c r="BLB1" s="920" t="s">
        <v>475</v>
      </c>
      <c r="BLF1" s="922"/>
      <c r="BLJ1" s="920" t="s">
        <v>475</v>
      </c>
      <c r="BLN1" s="922"/>
      <c r="BLR1" s="920" t="s">
        <v>475</v>
      </c>
      <c r="BLV1" s="922"/>
      <c r="BLZ1" s="920" t="s">
        <v>475</v>
      </c>
      <c r="BMD1" s="922"/>
      <c r="BMH1" s="920" t="s">
        <v>475</v>
      </c>
      <c r="BML1" s="922"/>
      <c r="BMP1" s="920" t="s">
        <v>475</v>
      </c>
      <c r="BMT1" s="922"/>
      <c r="BMX1" s="920" t="s">
        <v>475</v>
      </c>
      <c r="BNB1" s="922"/>
      <c r="BNF1" s="920" t="s">
        <v>475</v>
      </c>
      <c r="BNJ1" s="922"/>
      <c r="BNN1" s="920" t="s">
        <v>475</v>
      </c>
      <c r="BNR1" s="922"/>
      <c r="BNV1" s="920" t="s">
        <v>475</v>
      </c>
      <c r="BNZ1" s="922"/>
      <c r="BOD1" s="920" t="s">
        <v>475</v>
      </c>
      <c r="BOH1" s="922"/>
      <c r="BOL1" s="920" t="s">
        <v>475</v>
      </c>
      <c r="BOP1" s="922"/>
      <c r="BOT1" s="920" t="s">
        <v>475</v>
      </c>
      <c r="BOX1" s="922"/>
      <c r="BPB1" s="920" t="s">
        <v>475</v>
      </c>
      <c r="BPF1" s="922"/>
      <c r="BPJ1" s="920" t="s">
        <v>475</v>
      </c>
      <c r="BPN1" s="922"/>
      <c r="BPR1" s="920" t="s">
        <v>475</v>
      </c>
      <c r="BPV1" s="922"/>
      <c r="BPZ1" s="920" t="s">
        <v>475</v>
      </c>
      <c r="BQD1" s="922"/>
      <c r="BQH1" s="920" t="s">
        <v>475</v>
      </c>
      <c r="BQL1" s="922"/>
      <c r="BQP1" s="920" t="s">
        <v>475</v>
      </c>
      <c r="BQT1" s="922"/>
      <c r="BQX1" s="920" t="s">
        <v>475</v>
      </c>
      <c r="BRB1" s="922"/>
      <c r="BRF1" s="920" t="s">
        <v>475</v>
      </c>
      <c r="BRJ1" s="922"/>
      <c r="BRN1" s="920" t="s">
        <v>475</v>
      </c>
      <c r="BRR1" s="922"/>
      <c r="BRV1" s="920" t="s">
        <v>475</v>
      </c>
      <c r="BRZ1" s="922"/>
      <c r="BSD1" s="920" t="s">
        <v>475</v>
      </c>
      <c r="BSH1" s="922"/>
      <c r="BSL1" s="920" t="s">
        <v>475</v>
      </c>
      <c r="BSP1" s="922"/>
      <c r="BST1" s="920" t="s">
        <v>475</v>
      </c>
      <c r="BSX1" s="922"/>
      <c r="BTB1" s="920" t="s">
        <v>475</v>
      </c>
      <c r="BTF1" s="922"/>
      <c r="BTJ1" s="920" t="s">
        <v>475</v>
      </c>
      <c r="BTN1" s="922"/>
      <c r="BTR1" s="920" t="s">
        <v>475</v>
      </c>
      <c r="BTV1" s="922"/>
      <c r="BTZ1" s="920" t="s">
        <v>475</v>
      </c>
      <c r="BUD1" s="922"/>
      <c r="BUH1" s="920" t="s">
        <v>475</v>
      </c>
      <c r="BUL1" s="922"/>
      <c r="BUP1" s="920" t="s">
        <v>475</v>
      </c>
      <c r="BUT1" s="922"/>
      <c r="BUX1" s="920" t="s">
        <v>475</v>
      </c>
      <c r="BVB1" s="922"/>
      <c r="BVF1" s="920" t="s">
        <v>475</v>
      </c>
      <c r="BVJ1" s="922"/>
      <c r="BVN1" s="920" t="s">
        <v>475</v>
      </c>
      <c r="BVR1" s="922"/>
      <c r="BVV1" s="920" t="s">
        <v>475</v>
      </c>
      <c r="BVZ1" s="922"/>
      <c r="BWD1" s="920" t="s">
        <v>475</v>
      </c>
      <c r="BWH1" s="922"/>
      <c r="BWL1" s="920" t="s">
        <v>475</v>
      </c>
      <c r="BWP1" s="922"/>
      <c r="BWT1" s="920" t="s">
        <v>475</v>
      </c>
      <c r="BWX1" s="922"/>
      <c r="BXB1" s="920" t="s">
        <v>475</v>
      </c>
      <c r="BXF1" s="922"/>
      <c r="BXJ1" s="920" t="s">
        <v>475</v>
      </c>
      <c r="BXN1" s="922"/>
      <c r="BXR1" s="920" t="s">
        <v>475</v>
      </c>
      <c r="BXV1" s="922"/>
      <c r="BXZ1" s="920" t="s">
        <v>475</v>
      </c>
      <c r="BYD1" s="922"/>
      <c r="BYH1" s="920" t="s">
        <v>475</v>
      </c>
      <c r="BYL1" s="922"/>
      <c r="BYP1" s="920" t="s">
        <v>475</v>
      </c>
      <c r="BYT1" s="922"/>
      <c r="BYX1" s="920" t="s">
        <v>475</v>
      </c>
      <c r="BZB1" s="922"/>
      <c r="BZF1" s="920" t="s">
        <v>475</v>
      </c>
      <c r="BZJ1" s="922"/>
      <c r="BZN1" s="920" t="s">
        <v>475</v>
      </c>
      <c r="BZR1" s="922"/>
      <c r="BZV1" s="920" t="s">
        <v>475</v>
      </c>
      <c r="BZZ1" s="922"/>
      <c r="CAD1" s="920" t="s">
        <v>475</v>
      </c>
      <c r="CAH1" s="922"/>
      <c r="CAL1" s="920" t="s">
        <v>475</v>
      </c>
      <c r="CAP1" s="922"/>
      <c r="CAT1" s="920" t="s">
        <v>475</v>
      </c>
      <c r="CAX1" s="922"/>
      <c r="CBB1" s="920" t="s">
        <v>475</v>
      </c>
      <c r="CBF1" s="922"/>
      <c r="CBJ1" s="920" t="s">
        <v>475</v>
      </c>
      <c r="CBN1" s="922"/>
      <c r="CBR1" s="920" t="s">
        <v>475</v>
      </c>
      <c r="CBV1" s="922"/>
      <c r="CBZ1" s="920" t="s">
        <v>475</v>
      </c>
      <c r="CCD1" s="922"/>
      <c r="CCH1" s="920" t="s">
        <v>475</v>
      </c>
      <c r="CCL1" s="922"/>
      <c r="CCP1" s="920" t="s">
        <v>475</v>
      </c>
      <c r="CCT1" s="922"/>
      <c r="CCX1" s="920" t="s">
        <v>475</v>
      </c>
      <c r="CDB1" s="922"/>
      <c r="CDF1" s="920" t="s">
        <v>475</v>
      </c>
      <c r="CDJ1" s="922"/>
      <c r="CDN1" s="920" t="s">
        <v>475</v>
      </c>
      <c r="CDR1" s="922"/>
      <c r="CDV1" s="920" t="s">
        <v>475</v>
      </c>
      <c r="CDZ1" s="922"/>
      <c r="CED1" s="920" t="s">
        <v>475</v>
      </c>
      <c r="CEH1" s="922"/>
      <c r="CEL1" s="920" t="s">
        <v>475</v>
      </c>
      <c r="CEP1" s="922"/>
      <c r="CET1" s="920" t="s">
        <v>475</v>
      </c>
      <c r="CEX1" s="922"/>
      <c r="CFB1" s="920" t="s">
        <v>475</v>
      </c>
      <c r="CFF1" s="922"/>
      <c r="CFJ1" s="920" t="s">
        <v>475</v>
      </c>
      <c r="CFN1" s="922"/>
      <c r="CFR1" s="920" t="s">
        <v>475</v>
      </c>
      <c r="CFV1" s="922"/>
      <c r="CFZ1" s="920" t="s">
        <v>475</v>
      </c>
      <c r="CGD1" s="922"/>
      <c r="CGH1" s="920" t="s">
        <v>475</v>
      </c>
      <c r="CGL1" s="922"/>
      <c r="CGP1" s="920" t="s">
        <v>475</v>
      </c>
      <c r="CGT1" s="922"/>
      <c r="CGX1" s="920" t="s">
        <v>475</v>
      </c>
      <c r="CHB1" s="922"/>
      <c r="CHF1" s="920" t="s">
        <v>475</v>
      </c>
      <c r="CHJ1" s="922"/>
      <c r="CHN1" s="920" t="s">
        <v>475</v>
      </c>
      <c r="CHR1" s="922"/>
      <c r="CHV1" s="920" t="s">
        <v>475</v>
      </c>
      <c r="CHZ1" s="922"/>
      <c r="CID1" s="920" t="s">
        <v>475</v>
      </c>
      <c r="CIH1" s="922"/>
      <c r="CIL1" s="920" t="s">
        <v>475</v>
      </c>
      <c r="CIP1" s="922"/>
      <c r="CIT1" s="920" t="s">
        <v>475</v>
      </c>
      <c r="CIX1" s="922"/>
      <c r="CJB1" s="920" t="s">
        <v>475</v>
      </c>
      <c r="CJF1" s="922"/>
      <c r="CJJ1" s="920" t="s">
        <v>475</v>
      </c>
      <c r="CJN1" s="922"/>
      <c r="CJR1" s="920" t="s">
        <v>475</v>
      </c>
      <c r="CJV1" s="922"/>
      <c r="CJZ1" s="920" t="s">
        <v>475</v>
      </c>
      <c r="CKD1" s="922"/>
      <c r="CKH1" s="920" t="s">
        <v>475</v>
      </c>
      <c r="CKL1" s="922"/>
      <c r="CKP1" s="920" t="s">
        <v>475</v>
      </c>
      <c r="CKT1" s="922"/>
      <c r="CKX1" s="920" t="s">
        <v>475</v>
      </c>
      <c r="CLB1" s="922"/>
      <c r="CLF1" s="920" t="s">
        <v>475</v>
      </c>
      <c r="CLJ1" s="922"/>
      <c r="CLN1" s="920" t="s">
        <v>475</v>
      </c>
      <c r="CLR1" s="922"/>
      <c r="CLV1" s="920" t="s">
        <v>475</v>
      </c>
      <c r="CLZ1" s="922"/>
      <c r="CMD1" s="920" t="s">
        <v>475</v>
      </c>
      <c r="CMH1" s="922"/>
      <c r="CML1" s="920" t="s">
        <v>475</v>
      </c>
      <c r="CMP1" s="922"/>
      <c r="CMT1" s="920" t="s">
        <v>475</v>
      </c>
      <c r="CMX1" s="922"/>
      <c r="CNB1" s="920" t="s">
        <v>475</v>
      </c>
      <c r="CNF1" s="922"/>
      <c r="CNJ1" s="920" t="s">
        <v>475</v>
      </c>
      <c r="CNN1" s="922"/>
      <c r="CNR1" s="920" t="s">
        <v>475</v>
      </c>
      <c r="CNV1" s="922"/>
      <c r="CNZ1" s="920" t="s">
        <v>475</v>
      </c>
      <c r="COD1" s="922"/>
      <c r="COH1" s="920" t="s">
        <v>475</v>
      </c>
      <c r="COL1" s="922"/>
      <c r="COP1" s="920" t="s">
        <v>475</v>
      </c>
      <c r="COT1" s="922"/>
      <c r="COX1" s="920" t="s">
        <v>475</v>
      </c>
      <c r="CPB1" s="922"/>
      <c r="CPF1" s="920" t="s">
        <v>475</v>
      </c>
      <c r="CPJ1" s="922"/>
      <c r="CPN1" s="920" t="s">
        <v>475</v>
      </c>
      <c r="CPR1" s="922"/>
      <c r="CPV1" s="920" t="s">
        <v>475</v>
      </c>
      <c r="CPZ1" s="922"/>
      <c r="CQD1" s="920" t="s">
        <v>475</v>
      </c>
      <c r="CQH1" s="922"/>
      <c r="CQL1" s="920" t="s">
        <v>475</v>
      </c>
      <c r="CQP1" s="922"/>
      <c r="CQT1" s="920" t="s">
        <v>475</v>
      </c>
      <c r="CQX1" s="922"/>
      <c r="CRB1" s="920" t="s">
        <v>475</v>
      </c>
      <c r="CRF1" s="922"/>
      <c r="CRJ1" s="920" t="s">
        <v>475</v>
      </c>
      <c r="CRN1" s="922"/>
      <c r="CRR1" s="920" t="s">
        <v>475</v>
      </c>
      <c r="CRV1" s="922"/>
      <c r="CRZ1" s="920" t="s">
        <v>475</v>
      </c>
      <c r="CSD1" s="922"/>
      <c r="CSH1" s="920" t="s">
        <v>475</v>
      </c>
      <c r="CSL1" s="922"/>
      <c r="CSP1" s="920" t="s">
        <v>475</v>
      </c>
      <c r="CST1" s="922"/>
      <c r="CSX1" s="920" t="s">
        <v>475</v>
      </c>
      <c r="CTB1" s="922"/>
      <c r="CTF1" s="920" t="s">
        <v>475</v>
      </c>
      <c r="CTJ1" s="922"/>
      <c r="CTN1" s="920" t="s">
        <v>475</v>
      </c>
      <c r="CTR1" s="922"/>
      <c r="CTV1" s="920" t="s">
        <v>475</v>
      </c>
      <c r="CTZ1" s="922"/>
      <c r="CUD1" s="920" t="s">
        <v>475</v>
      </c>
      <c r="CUH1" s="922"/>
      <c r="CUL1" s="920" t="s">
        <v>475</v>
      </c>
      <c r="CUP1" s="922"/>
      <c r="CUT1" s="920" t="s">
        <v>475</v>
      </c>
      <c r="CUX1" s="922"/>
      <c r="CVB1" s="920" t="s">
        <v>475</v>
      </c>
      <c r="CVF1" s="922"/>
      <c r="CVJ1" s="920" t="s">
        <v>475</v>
      </c>
      <c r="CVN1" s="922"/>
      <c r="CVR1" s="920" t="s">
        <v>475</v>
      </c>
      <c r="CVV1" s="922"/>
      <c r="CVZ1" s="920" t="s">
        <v>475</v>
      </c>
      <c r="CWD1" s="922"/>
      <c r="CWH1" s="920" t="s">
        <v>475</v>
      </c>
      <c r="CWL1" s="922"/>
      <c r="CWP1" s="920" t="s">
        <v>475</v>
      </c>
      <c r="CWT1" s="922"/>
      <c r="CWX1" s="920" t="s">
        <v>475</v>
      </c>
      <c r="CXB1" s="922"/>
      <c r="CXF1" s="920" t="s">
        <v>475</v>
      </c>
      <c r="CXJ1" s="922"/>
      <c r="CXN1" s="920" t="s">
        <v>475</v>
      </c>
      <c r="CXR1" s="922"/>
      <c r="CXV1" s="920" t="s">
        <v>475</v>
      </c>
      <c r="CXZ1" s="922"/>
      <c r="CYD1" s="920" t="s">
        <v>475</v>
      </c>
      <c r="CYH1" s="922"/>
      <c r="CYL1" s="920" t="s">
        <v>475</v>
      </c>
      <c r="CYP1" s="922"/>
      <c r="CYT1" s="920" t="s">
        <v>475</v>
      </c>
      <c r="CYX1" s="922"/>
      <c r="CZB1" s="920" t="s">
        <v>475</v>
      </c>
      <c r="CZF1" s="922"/>
      <c r="CZJ1" s="920" t="s">
        <v>475</v>
      </c>
      <c r="CZN1" s="922"/>
      <c r="CZR1" s="920" t="s">
        <v>475</v>
      </c>
      <c r="CZV1" s="922"/>
      <c r="CZZ1" s="920" t="s">
        <v>475</v>
      </c>
      <c r="DAD1" s="922"/>
      <c r="DAH1" s="920" t="s">
        <v>475</v>
      </c>
      <c r="DAL1" s="922"/>
      <c r="DAP1" s="920" t="s">
        <v>475</v>
      </c>
      <c r="DAT1" s="922"/>
      <c r="DAX1" s="920" t="s">
        <v>475</v>
      </c>
      <c r="DBB1" s="922"/>
      <c r="DBF1" s="920" t="s">
        <v>475</v>
      </c>
      <c r="DBJ1" s="922"/>
      <c r="DBN1" s="920" t="s">
        <v>475</v>
      </c>
      <c r="DBR1" s="922"/>
      <c r="DBV1" s="920" t="s">
        <v>475</v>
      </c>
      <c r="DBZ1" s="922"/>
      <c r="DCD1" s="920" t="s">
        <v>475</v>
      </c>
      <c r="DCH1" s="922"/>
      <c r="DCL1" s="920" t="s">
        <v>475</v>
      </c>
      <c r="DCP1" s="922"/>
      <c r="DCT1" s="920" t="s">
        <v>475</v>
      </c>
      <c r="DCX1" s="922"/>
      <c r="DDB1" s="920" t="s">
        <v>475</v>
      </c>
      <c r="DDF1" s="922"/>
      <c r="DDJ1" s="920" t="s">
        <v>475</v>
      </c>
      <c r="DDN1" s="922"/>
      <c r="DDR1" s="920" t="s">
        <v>475</v>
      </c>
      <c r="DDV1" s="922"/>
      <c r="DDZ1" s="920" t="s">
        <v>475</v>
      </c>
      <c r="DED1" s="922"/>
      <c r="DEH1" s="920" t="s">
        <v>475</v>
      </c>
      <c r="DEL1" s="922"/>
      <c r="DEP1" s="920" t="s">
        <v>475</v>
      </c>
      <c r="DET1" s="922"/>
      <c r="DEX1" s="920" t="s">
        <v>475</v>
      </c>
      <c r="DFB1" s="922"/>
      <c r="DFF1" s="920" t="s">
        <v>475</v>
      </c>
      <c r="DFJ1" s="922"/>
      <c r="DFN1" s="920" t="s">
        <v>475</v>
      </c>
      <c r="DFR1" s="922"/>
      <c r="DFV1" s="920" t="s">
        <v>475</v>
      </c>
      <c r="DFZ1" s="922"/>
      <c r="DGD1" s="920" t="s">
        <v>475</v>
      </c>
      <c r="DGH1" s="922"/>
      <c r="DGL1" s="920" t="s">
        <v>475</v>
      </c>
      <c r="DGP1" s="922"/>
      <c r="DGT1" s="920" t="s">
        <v>475</v>
      </c>
      <c r="DGX1" s="922"/>
      <c r="DHB1" s="920" t="s">
        <v>475</v>
      </c>
      <c r="DHF1" s="922"/>
      <c r="DHJ1" s="920" t="s">
        <v>475</v>
      </c>
      <c r="DHN1" s="922"/>
      <c r="DHR1" s="920" t="s">
        <v>475</v>
      </c>
      <c r="DHV1" s="922"/>
      <c r="DHZ1" s="920" t="s">
        <v>475</v>
      </c>
      <c r="DID1" s="922"/>
      <c r="DIH1" s="920" t="s">
        <v>475</v>
      </c>
      <c r="DIL1" s="922"/>
      <c r="DIP1" s="920" t="s">
        <v>475</v>
      </c>
      <c r="DIT1" s="922"/>
      <c r="DIX1" s="920" t="s">
        <v>475</v>
      </c>
      <c r="DJB1" s="922"/>
      <c r="DJF1" s="920" t="s">
        <v>475</v>
      </c>
      <c r="DJJ1" s="922"/>
      <c r="DJN1" s="920" t="s">
        <v>475</v>
      </c>
      <c r="DJR1" s="922"/>
      <c r="DJV1" s="920" t="s">
        <v>475</v>
      </c>
      <c r="DJZ1" s="922"/>
      <c r="DKD1" s="920" t="s">
        <v>475</v>
      </c>
      <c r="DKH1" s="922"/>
      <c r="DKL1" s="920" t="s">
        <v>475</v>
      </c>
      <c r="DKP1" s="922"/>
      <c r="DKT1" s="920" t="s">
        <v>475</v>
      </c>
      <c r="DKX1" s="922"/>
      <c r="DLB1" s="920" t="s">
        <v>475</v>
      </c>
      <c r="DLF1" s="922"/>
      <c r="DLJ1" s="920" t="s">
        <v>475</v>
      </c>
      <c r="DLN1" s="922"/>
      <c r="DLR1" s="920" t="s">
        <v>475</v>
      </c>
      <c r="DLV1" s="922"/>
      <c r="DLZ1" s="920" t="s">
        <v>475</v>
      </c>
      <c r="DMD1" s="922"/>
      <c r="DMH1" s="920" t="s">
        <v>475</v>
      </c>
      <c r="DML1" s="922"/>
      <c r="DMP1" s="920" t="s">
        <v>475</v>
      </c>
      <c r="DMT1" s="922"/>
      <c r="DMX1" s="920" t="s">
        <v>475</v>
      </c>
      <c r="DNB1" s="922"/>
      <c r="DNF1" s="920" t="s">
        <v>475</v>
      </c>
      <c r="DNJ1" s="922"/>
      <c r="DNN1" s="920" t="s">
        <v>475</v>
      </c>
      <c r="DNR1" s="922"/>
      <c r="DNV1" s="920" t="s">
        <v>475</v>
      </c>
      <c r="DNZ1" s="922"/>
      <c r="DOD1" s="920" t="s">
        <v>475</v>
      </c>
      <c r="DOH1" s="922"/>
      <c r="DOL1" s="920" t="s">
        <v>475</v>
      </c>
      <c r="DOP1" s="922"/>
      <c r="DOT1" s="920" t="s">
        <v>475</v>
      </c>
      <c r="DOX1" s="922"/>
      <c r="DPB1" s="920" t="s">
        <v>475</v>
      </c>
      <c r="DPF1" s="922"/>
      <c r="DPJ1" s="920" t="s">
        <v>475</v>
      </c>
      <c r="DPN1" s="922"/>
      <c r="DPR1" s="920" t="s">
        <v>475</v>
      </c>
      <c r="DPV1" s="922"/>
      <c r="DPZ1" s="920" t="s">
        <v>475</v>
      </c>
      <c r="DQD1" s="922"/>
      <c r="DQH1" s="920" t="s">
        <v>475</v>
      </c>
      <c r="DQL1" s="922"/>
      <c r="DQP1" s="920" t="s">
        <v>475</v>
      </c>
      <c r="DQT1" s="922"/>
      <c r="DQX1" s="920" t="s">
        <v>475</v>
      </c>
      <c r="DRB1" s="922"/>
      <c r="DRF1" s="920" t="s">
        <v>475</v>
      </c>
      <c r="DRJ1" s="922"/>
      <c r="DRN1" s="920" t="s">
        <v>475</v>
      </c>
      <c r="DRR1" s="922"/>
      <c r="DRV1" s="920" t="s">
        <v>475</v>
      </c>
      <c r="DRZ1" s="922"/>
      <c r="DSD1" s="920" t="s">
        <v>475</v>
      </c>
      <c r="DSH1" s="922"/>
      <c r="DSL1" s="920" t="s">
        <v>475</v>
      </c>
      <c r="DSP1" s="922"/>
      <c r="DST1" s="920" t="s">
        <v>475</v>
      </c>
      <c r="DSX1" s="922"/>
      <c r="DTB1" s="920" t="s">
        <v>475</v>
      </c>
      <c r="DTF1" s="922"/>
      <c r="DTJ1" s="920" t="s">
        <v>475</v>
      </c>
      <c r="DTN1" s="922"/>
      <c r="DTR1" s="920" t="s">
        <v>475</v>
      </c>
      <c r="DTV1" s="922"/>
      <c r="DTZ1" s="920" t="s">
        <v>475</v>
      </c>
      <c r="DUD1" s="922"/>
      <c r="DUH1" s="920" t="s">
        <v>475</v>
      </c>
      <c r="DUL1" s="922"/>
      <c r="DUP1" s="920" t="s">
        <v>475</v>
      </c>
      <c r="DUT1" s="922"/>
      <c r="DUX1" s="920" t="s">
        <v>475</v>
      </c>
      <c r="DVB1" s="922"/>
      <c r="DVF1" s="920" t="s">
        <v>475</v>
      </c>
      <c r="DVJ1" s="922"/>
      <c r="DVN1" s="920" t="s">
        <v>475</v>
      </c>
      <c r="DVR1" s="922"/>
      <c r="DVV1" s="920" t="s">
        <v>475</v>
      </c>
      <c r="DVZ1" s="922"/>
      <c r="DWD1" s="920" t="s">
        <v>475</v>
      </c>
      <c r="DWH1" s="922"/>
      <c r="DWL1" s="920" t="s">
        <v>475</v>
      </c>
      <c r="DWP1" s="922"/>
      <c r="DWT1" s="920" t="s">
        <v>475</v>
      </c>
      <c r="DWX1" s="922"/>
      <c r="DXB1" s="920" t="s">
        <v>475</v>
      </c>
      <c r="DXF1" s="922"/>
      <c r="DXJ1" s="920" t="s">
        <v>475</v>
      </c>
      <c r="DXN1" s="922"/>
      <c r="DXR1" s="920" t="s">
        <v>475</v>
      </c>
      <c r="DXV1" s="922"/>
      <c r="DXZ1" s="920" t="s">
        <v>475</v>
      </c>
      <c r="DYD1" s="922"/>
      <c r="DYH1" s="920" t="s">
        <v>475</v>
      </c>
      <c r="DYL1" s="922"/>
      <c r="DYP1" s="920" t="s">
        <v>475</v>
      </c>
      <c r="DYT1" s="922"/>
      <c r="DYX1" s="920" t="s">
        <v>475</v>
      </c>
      <c r="DZB1" s="922"/>
      <c r="DZF1" s="920" t="s">
        <v>475</v>
      </c>
      <c r="DZJ1" s="922"/>
      <c r="DZN1" s="920" t="s">
        <v>475</v>
      </c>
      <c r="DZR1" s="922"/>
      <c r="DZV1" s="920" t="s">
        <v>475</v>
      </c>
      <c r="DZZ1" s="922"/>
      <c r="EAD1" s="920" t="s">
        <v>475</v>
      </c>
      <c r="EAH1" s="922"/>
      <c r="EAL1" s="920" t="s">
        <v>475</v>
      </c>
      <c r="EAP1" s="922"/>
      <c r="EAT1" s="920" t="s">
        <v>475</v>
      </c>
      <c r="EAX1" s="922"/>
      <c r="EBB1" s="920" t="s">
        <v>475</v>
      </c>
      <c r="EBF1" s="922"/>
      <c r="EBJ1" s="920" t="s">
        <v>475</v>
      </c>
      <c r="EBN1" s="922"/>
      <c r="EBR1" s="920" t="s">
        <v>475</v>
      </c>
      <c r="EBV1" s="922"/>
      <c r="EBZ1" s="920" t="s">
        <v>475</v>
      </c>
      <c r="ECD1" s="922"/>
      <c r="ECH1" s="920" t="s">
        <v>475</v>
      </c>
      <c r="ECL1" s="922"/>
      <c r="ECP1" s="920" t="s">
        <v>475</v>
      </c>
      <c r="ECT1" s="922"/>
      <c r="ECX1" s="920" t="s">
        <v>475</v>
      </c>
      <c r="EDB1" s="922"/>
      <c r="EDF1" s="920" t="s">
        <v>475</v>
      </c>
      <c r="EDJ1" s="922"/>
      <c r="EDN1" s="920" t="s">
        <v>475</v>
      </c>
      <c r="EDR1" s="922"/>
      <c r="EDV1" s="920" t="s">
        <v>475</v>
      </c>
      <c r="EDZ1" s="922"/>
      <c r="EED1" s="920" t="s">
        <v>475</v>
      </c>
      <c r="EEH1" s="922"/>
      <c r="EEL1" s="920" t="s">
        <v>475</v>
      </c>
      <c r="EEP1" s="922"/>
      <c r="EET1" s="920" t="s">
        <v>475</v>
      </c>
      <c r="EEX1" s="922"/>
      <c r="EFB1" s="920" t="s">
        <v>475</v>
      </c>
      <c r="EFF1" s="922"/>
      <c r="EFJ1" s="920" t="s">
        <v>475</v>
      </c>
      <c r="EFN1" s="922"/>
      <c r="EFR1" s="920" t="s">
        <v>475</v>
      </c>
      <c r="EFV1" s="922"/>
      <c r="EFZ1" s="920" t="s">
        <v>475</v>
      </c>
      <c r="EGD1" s="922"/>
      <c r="EGH1" s="920" t="s">
        <v>475</v>
      </c>
      <c r="EGL1" s="922"/>
      <c r="EGP1" s="920" t="s">
        <v>475</v>
      </c>
      <c r="EGT1" s="922"/>
      <c r="EGX1" s="920" t="s">
        <v>475</v>
      </c>
      <c r="EHB1" s="922"/>
      <c r="EHF1" s="920" t="s">
        <v>475</v>
      </c>
      <c r="EHJ1" s="922"/>
      <c r="EHN1" s="920" t="s">
        <v>475</v>
      </c>
      <c r="EHR1" s="922"/>
      <c r="EHV1" s="920" t="s">
        <v>475</v>
      </c>
      <c r="EHZ1" s="922"/>
      <c r="EID1" s="920" t="s">
        <v>475</v>
      </c>
      <c r="EIH1" s="922"/>
      <c r="EIL1" s="920" t="s">
        <v>475</v>
      </c>
      <c r="EIP1" s="922"/>
      <c r="EIT1" s="920" t="s">
        <v>475</v>
      </c>
      <c r="EIX1" s="922"/>
      <c r="EJB1" s="920" t="s">
        <v>475</v>
      </c>
      <c r="EJF1" s="922"/>
      <c r="EJJ1" s="920" t="s">
        <v>475</v>
      </c>
      <c r="EJN1" s="922"/>
      <c r="EJR1" s="920" t="s">
        <v>475</v>
      </c>
      <c r="EJV1" s="922"/>
      <c r="EJZ1" s="920" t="s">
        <v>475</v>
      </c>
      <c r="EKD1" s="922"/>
      <c r="EKH1" s="920" t="s">
        <v>475</v>
      </c>
      <c r="EKL1" s="922"/>
      <c r="EKP1" s="920" t="s">
        <v>475</v>
      </c>
      <c r="EKT1" s="922"/>
      <c r="EKX1" s="920" t="s">
        <v>475</v>
      </c>
      <c r="ELB1" s="922"/>
      <c r="ELF1" s="920" t="s">
        <v>475</v>
      </c>
      <c r="ELJ1" s="922"/>
      <c r="ELN1" s="920" t="s">
        <v>475</v>
      </c>
      <c r="ELR1" s="922"/>
      <c r="ELV1" s="920" t="s">
        <v>475</v>
      </c>
      <c r="ELZ1" s="922"/>
      <c r="EMD1" s="920" t="s">
        <v>475</v>
      </c>
      <c r="EMH1" s="922"/>
      <c r="EML1" s="920" t="s">
        <v>475</v>
      </c>
      <c r="EMP1" s="922"/>
      <c r="EMT1" s="920" t="s">
        <v>475</v>
      </c>
      <c r="EMX1" s="922"/>
      <c r="ENB1" s="920" t="s">
        <v>475</v>
      </c>
      <c r="ENF1" s="922"/>
      <c r="ENJ1" s="920" t="s">
        <v>475</v>
      </c>
      <c r="ENN1" s="922"/>
      <c r="ENR1" s="920" t="s">
        <v>475</v>
      </c>
      <c r="ENV1" s="922"/>
      <c r="ENZ1" s="920" t="s">
        <v>475</v>
      </c>
      <c r="EOD1" s="922"/>
      <c r="EOH1" s="920" t="s">
        <v>475</v>
      </c>
      <c r="EOL1" s="922"/>
      <c r="EOP1" s="920" t="s">
        <v>475</v>
      </c>
      <c r="EOT1" s="922"/>
      <c r="EOX1" s="920" t="s">
        <v>475</v>
      </c>
      <c r="EPB1" s="922"/>
      <c r="EPF1" s="920" t="s">
        <v>475</v>
      </c>
      <c r="EPJ1" s="922"/>
      <c r="EPN1" s="920" t="s">
        <v>475</v>
      </c>
      <c r="EPR1" s="922"/>
      <c r="EPV1" s="920" t="s">
        <v>475</v>
      </c>
      <c r="EPZ1" s="922"/>
      <c r="EQD1" s="920" t="s">
        <v>475</v>
      </c>
      <c r="EQH1" s="922"/>
      <c r="EQL1" s="920" t="s">
        <v>475</v>
      </c>
      <c r="EQP1" s="922"/>
      <c r="EQT1" s="920" t="s">
        <v>475</v>
      </c>
      <c r="EQX1" s="922"/>
      <c r="ERB1" s="920" t="s">
        <v>475</v>
      </c>
      <c r="ERF1" s="922"/>
      <c r="ERJ1" s="920" t="s">
        <v>475</v>
      </c>
      <c r="ERN1" s="922"/>
      <c r="ERR1" s="920" t="s">
        <v>475</v>
      </c>
      <c r="ERV1" s="922"/>
      <c r="ERZ1" s="920" t="s">
        <v>475</v>
      </c>
      <c r="ESD1" s="922"/>
      <c r="ESH1" s="920" t="s">
        <v>475</v>
      </c>
      <c r="ESL1" s="922"/>
      <c r="ESP1" s="920" t="s">
        <v>475</v>
      </c>
      <c r="EST1" s="922"/>
      <c r="ESX1" s="920" t="s">
        <v>475</v>
      </c>
      <c r="ETB1" s="922"/>
      <c r="ETF1" s="920" t="s">
        <v>475</v>
      </c>
      <c r="ETJ1" s="922"/>
      <c r="ETN1" s="920" t="s">
        <v>475</v>
      </c>
      <c r="ETR1" s="922"/>
      <c r="ETV1" s="920" t="s">
        <v>475</v>
      </c>
      <c r="ETZ1" s="922"/>
      <c r="EUD1" s="920" t="s">
        <v>475</v>
      </c>
      <c r="EUH1" s="922"/>
      <c r="EUL1" s="920" t="s">
        <v>475</v>
      </c>
      <c r="EUP1" s="922"/>
      <c r="EUT1" s="920" t="s">
        <v>475</v>
      </c>
      <c r="EUX1" s="922"/>
      <c r="EVB1" s="920" t="s">
        <v>475</v>
      </c>
      <c r="EVF1" s="922"/>
      <c r="EVJ1" s="920" t="s">
        <v>475</v>
      </c>
      <c r="EVN1" s="922"/>
      <c r="EVR1" s="920" t="s">
        <v>475</v>
      </c>
      <c r="EVV1" s="922"/>
      <c r="EVZ1" s="920" t="s">
        <v>475</v>
      </c>
      <c r="EWD1" s="922"/>
      <c r="EWH1" s="920" t="s">
        <v>475</v>
      </c>
      <c r="EWL1" s="922"/>
      <c r="EWP1" s="920" t="s">
        <v>475</v>
      </c>
      <c r="EWT1" s="922"/>
      <c r="EWX1" s="920" t="s">
        <v>475</v>
      </c>
      <c r="EXB1" s="922"/>
      <c r="EXF1" s="920" t="s">
        <v>475</v>
      </c>
      <c r="EXJ1" s="922"/>
      <c r="EXN1" s="920" t="s">
        <v>475</v>
      </c>
      <c r="EXR1" s="922"/>
      <c r="EXV1" s="920" t="s">
        <v>475</v>
      </c>
      <c r="EXZ1" s="922"/>
      <c r="EYD1" s="920" t="s">
        <v>475</v>
      </c>
      <c r="EYH1" s="922"/>
      <c r="EYL1" s="920" t="s">
        <v>475</v>
      </c>
      <c r="EYP1" s="922"/>
      <c r="EYT1" s="920" t="s">
        <v>475</v>
      </c>
      <c r="EYX1" s="922"/>
      <c r="EZB1" s="920" t="s">
        <v>475</v>
      </c>
      <c r="EZF1" s="922"/>
      <c r="EZJ1" s="920" t="s">
        <v>475</v>
      </c>
      <c r="EZN1" s="922"/>
      <c r="EZR1" s="920" t="s">
        <v>475</v>
      </c>
      <c r="EZV1" s="922"/>
      <c r="EZZ1" s="920" t="s">
        <v>475</v>
      </c>
      <c r="FAD1" s="922"/>
      <c r="FAH1" s="920" t="s">
        <v>475</v>
      </c>
      <c r="FAL1" s="922"/>
      <c r="FAP1" s="920" t="s">
        <v>475</v>
      </c>
      <c r="FAT1" s="922"/>
      <c r="FAX1" s="920" t="s">
        <v>475</v>
      </c>
      <c r="FBB1" s="922"/>
      <c r="FBF1" s="920" t="s">
        <v>475</v>
      </c>
      <c r="FBJ1" s="922"/>
      <c r="FBN1" s="920" t="s">
        <v>475</v>
      </c>
      <c r="FBR1" s="922"/>
      <c r="FBV1" s="920" t="s">
        <v>475</v>
      </c>
      <c r="FBZ1" s="922"/>
      <c r="FCD1" s="920" t="s">
        <v>475</v>
      </c>
      <c r="FCH1" s="922"/>
      <c r="FCL1" s="920" t="s">
        <v>475</v>
      </c>
      <c r="FCP1" s="922"/>
      <c r="FCT1" s="920" t="s">
        <v>475</v>
      </c>
      <c r="FCX1" s="922"/>
      <c r="FDB1" s="920" t="s">
        <v>475</v>
      </c>
      <c r="FDF1" s="922"/>
      <c r="FDJ1" s="920" t="s">
        <v>475</v>
      </c>
      <c r="FDN1" s="922"/>
      <c r="FDR1" s="920" t="s">
        <v>475</v>
      </c>
      <c r="FDV1" s="922"/>
      <c r="FDZ1" s="920" t="s">
        <v>475</v>
      </c>
      <c r="FED1" s="922"/>
      <c r="FEH1" s="920" t="s">
        <v>475</v>
      </c>
      <c r="FEL1" s="922"/>
      <c r="FEP1" s="920" t="s">
        <v>475</v>
      </c>
      <c r="FET1" s="922"/>
      <c r="FEX1" s="920" t="s">
        <v>475</v>
      </c>
      <c r="FFB1" s="922"/>
      <c r="FFF1" s="920" t="s">
        <v>475</v>
      </c>
      <c r="FFJ1" s="922"/>
      <c r="FFN1" s="920" t="s">
        <v>475</v>
      </c>
      <c r="FFR1" s="922"/>
      <c r="FFV1" s="920" t="s">
        <v>475</v>
      </c>
      <c r="FFZ1" s="922"/>
      <c r="FGD1" s="920" t="s">
        <v>475</v>
      </c>
      <c r="FGH1" s="922"/>
      <c r="FGL1" s="920" t="s">
        <v>475</v>
      </c>
      <c r="FGP1" s="922"/>
      <c r="FGT1" s="920" t="s">
        <v>475</v>
      </c>
      <c r="FGX1" s="922"/>
      <c r="FHB1" s="920" t="s">
        <v>475</v>
      </c>
      <c r="FHF1" s="922"/>
      <c r="FHJ1" s="920" t="s">
        <v>475</v>
      </c>
      <c r="FHN1" s="922"/>
      <c r="FHR1" s="920" t="s">
        <v>475</v>
      </c>
      <c r="FHV1" s="922"/>
      <c r="FHZ1" s="920" t="s">
        <v>475</v>
      </c>
      <c r="FID1" s="922"/>
      <c r="FIH1" s="920" t="s">
        <v>475</v>
      </c>
      <c r="FIL1" s="922"/>
      <c r="FIP1" s="920" t="s">
        <v>475</v>
      </c>
      <c r="FIT1" s="922"/>
      <c r="FIX1" s="920" t="s">
        <v>475</v>
      </c>
      <c r="FJB1" s="922"/>
      <c r="FJF1" s="920" t="s">
        <v>475</v>
      </c>
      <c r="FJJ1" s="922"/>
      <c r="FJN1" s="920" t="s">
        <v>475</v>
      </c>
      <c r="FJR1" s="922"/>
      <c r="FJV1" s="920" t="s">
        <v>475</v>
      </c>
      <c r="FJZ1" s="922"/>
      <c r="FKD1" s="920" t="s">
        <v>475</v>
      </c>
      <c r="FKH1" s="922"/>
      <c r="FKL1" s="920" t="s">
        <v>475</v>
      </c>
      <c r="FKP1" s="922"/>
      <c r="FKT1" s="920" t="s">
        <v>475</v>
      </c>
      <c r="FKX1" s="922"/>
      <c r="FLB1" s="920" t="s">
        <v>475</v>
      </c>
      <c r="FLF1" s="922"/>
      <c r="FLJ1" s="920" t="s">
        <v>475</v>
      </c>
      <c r="FLN1" s="922"/>
      <c r="FLR1" s="920" t="s">
        <v>475</v>
      </c>
      <c r="FLV1" s="922"/>
      <c r="FLZ1" s="920" t="s">
        <v>475</v>
      </c>
      <c r="FMD1" s="922"/>
      <c r="FMH1" s="920" t="s">
        <v>475</v>
      </c>
      <c r="FML1" s="922"/>
      <c r="FMP1" s="920" t="s">
        <v>475</v>
      </c>
      <c r="FMT1" s="922"/>
      <c r="FMX1" s="920" t="s">
        <v>475</v>
      </c>
      <c r="FNB1" s="922"/>
      <c r="FNF1" s="920" t="s">
        <v>475</v>
      </c>
      <c r="FNJ1" s="922"/>
      <c r="FNN1" s="920" t="s">
        <v>475</v>
      </c>
      <c r="FNR1" s="922"/>
      <c r="FNV1" s="920" t="s">
        <v>475</v>
      </c>
      <c r="FNZ1" s="922"/>
      <c r="FOD1" s="920" t="s">
        <v>475</v>
      </c>
      <c r="FOH1" s="922"/>
      <c r="FOL1" s="920" t="s">
        <v>475</v>
      </c>
      <c r="FOP1" s="922"/>
      <c r="FOT1" s="920" t="s">
        <v>475</v>
      </c>
      <c r="FOX1" s="922"/>
      <c r="FPB1" s="920" t="s">
        <v>475</v>
      </c>
      <c r="FPF1" s="922"/>
      <c r="FPJ1" s="920" t="s">
        <v>475</v>
      </c>
      <c r="FPN1" s="922"/>
      <c r="FPR1" s="920" t="s">
        <v>475</v>
      </c>
      <c r="FPV1" s="922"/>
      <c r="FPZ1" s="920" t="s">
        <v>475</v>
      </c>
      <c r="FQD1" s="922"/>
      <c r="FQH1" s="920" t="s">
        <v>475</v>
      </c>
      <c r="FQL1" s="922"/>
      <c r="FQP1" s="920" t="s">
        <v>475</v>
      </c>
      <c r="FQT1" s="922"/>
      <c r="FQX1" s="920" t="s">
        <v>475</v>
      </c>
      <c r="FRB1" s="922"/>
      <c r="FRF1" s="920" t="s">
        <v>475</v>
      </c>
      <c r="FRJ1" s="922"/>
      <c r="FRN1" s="920" t="s">
        <v>475</v>
      </c>
      <c r="FRR1" s="922"/>
      <c r="FRV1" s="920" t="s">
        <v>475</v>
      </c>
      <c r="FRZ1" s="922"/>
      <c r="FSD1" s="920" t="s">
        <v>475</v>
      </c>
      <c r="FSH1" s="922"/>
      <c r="FSL1" s="920" t="s">
        <v>475</v>
      </c>
      <c r="FSP1" s="922"/>
      <c r="FST1" s="920" t="s">
        <v>475</v>
      </c>
      <c r="FSX1" s="922"/>
      <c r="FTB1" s="920" t="s">
        <v>475</v>
      </c>
      <c r="FTF1" s="922"/>
      <c r="FTJ1" s="920" t="s">
        <v>475</v>
      </c>
      <c r="FTN1" s="922"/>
      <c r="FTR1" s="920" t="s">
        <v>475</v>
      </c>
      <c r="FTV1" s="922"/>
      <c r="FTZ1" s="920" t="s">
        <v>475</v>
      </c>
      <c r="FUD1" s="922"/>
      <c r="FUH1" s="920" t="s">
        <v>475</v>
      </c>
      <c r="FUL1" s="922"/>
      <c r="FUP1" s="920" t="s">
        <v>475</v>
      </c>
      <c r="FUT1" s="922"/>
      <c r="FUX1" s="920" t="s">
        <v>475</v>
      </c>
      <c r="FVB1" s="922"/>
      <c r="FVF1" s="920" t="s">
        <v>475</v>
      </c>
      <c r="FVJ1" s="922"/>
      <c r="FVN1" s="920" t="s">
        <v>475</v>
      </c>
      <c r="FVR1" s="922"/>
      <c r="FVV1" s="920" t="s">
        <v>475</v>
      </c>
      <c r="FVZ1" s="922"/>
      <c r="FWD1" s="920" t="s">
        <v>475</v>
      </c>
      <c r="FWH1" s="922"/>
      <c r="FWL1" s="920" t="s">
        <v>475</v>
      </c>
      <c r="FWP1" s="922"/>
      <c r="FWT1" s="920" t="s">
        <v>475</v>
      </c>
      <c r="FWX1" s="922"/>
      <c r="FXB1" s="920" t="s">
        <v>475</v>
      </c>
      <c r="FXF1" s="922"/>
      <c r="FXJ1" s="920" t="s">
        <v>475</v>
      </c>
      <c r="FXN1" s="922"/>
      <c r="FXR1" s="920" t="s">
        <v>475</v>
      </c>
      <c r="FXV1" s="922"/>
      <c r="FXZ1" s="920" t="s">
        <v>475</v>
      </c>
      <c r="FYD1" s="922"/>
      <c r="FYH1" s="920" t="s">
        <v>475</v>
      </c>
      <c r="FYL1" s="922"/>
      <c r="FYP1" s="920" t="s">
        <v>475</v>
      </c>
      <c r="FYT1" s="922"/>
      <c r="FYX1" s="920" t="s">
        <v>475</v>
      </c>
      <c r="FZB1" s="922"/>
      <c r="FZF1" s="920" t="s">
        <v>475</v>
      </c>
      <c r="FZJ1" s="922"/>
      <c r="FZN1" s="920" t="s">
        <v>475</v>
      </c>
      <c r="FZR1" s="922"/>
      <c r="FZV1" s="920" t="s">
        <v>475</v>
      </c>
      <c r="FZZ1" s="922"/>
      <c r="GAD1" s="920" t="s">
        <v>475</v>
      </c>
      <c r="GAH1" s="922"/>
      <c r="GAL1" s="920" t="s">
        <v>475</v>
      </c>
      <c r="GAP1" s="922"/>
      <c r="GAT1" s="920" t="s">
        <v>475</v>
      </c>
      <c r="GAX1" s="922"/>
      <c r="GBB1" s="920" t="s">
        <v>475</v>
      </c>
      <c r="GBF1" s="922"/>
      <c r="GBJ1" s="920" t="s">
        <v>475</v>
      </c>
      <c r="GBN1" s="922"/>
      <c r="GBR1" s="920" t="s">
        <v>475</v>
      </c>
      <c r="GBV1" s="922"/>
      <c r="GBZ1" s="920" t="s">
        <v>475</v>
      </c>
      <c r="GCD1" s="922"/>
      <c r="GCH1" s="920" t="s">
        <v>475</v>
      </c>
      <c r="GCL1" s="922"/>
      <c r="GCP1" s="920" t="s">
        <v>475</v>
      </c>
      <c r="GCT1" s="922"/>
      <c r="GCX1" s="920" t="s">
        <v>475</v>
      </c>
      <c r="GDB1" s="922"/>
      <c r="GDF1" s="920" t="s">
        <v>475</v>
      </c>
      <c r="GDJ1" s="922"/>
      <c r="GDN1" s="920" t="s">
        <v>475</v>
      </c>
      <c r="GDR1" s="922"/>
      <c r="GDV1" s="920" t="s">
        <v>475</v>
      </c>
      <c r="GDZ1" s="922"/>
      <c r="GED1" s="920" t="s">
        <v>475</v>
      </c>
      <c r="GEH1" s="922"/>
      <c r="GEL1" s="920" t="s">
        <v>475</v>
      </c>
      <c r="GEP1" s="922"/>
      <c r="GET1" s="920" t="s">
        <v>475</v>
      </c>
      <c r="GEX1" s="922"/>
      <c r="GFB1" s="920" t="s">
        <v>475</v>
      </c>
      <c r="GFF1" s="922"/>
      <c r="GFJ1" s="920" t="s">
        <v>475</v>
      </c>
      <c r="GFN1" s="922"/>
      <c r="GFR1" s="920" t="s">
        <v>475</v>
      </c>
      <c r="GFV1" s="922"/>
      <c r="GFZ1" s="920" t="s">
        <v>475</v>
      </c>
      <c r="GGD1" s="922"/>
      <c r="GGH1" s="920" t="s">
        <v>475</v>
      </c>
      <c r="GGL1" s="922"/>
      <c r="GGP1" s="920" t="s">
        <v>475</v>
      </c>
      <c r="GGT1" s="922"/>
      <c r="GGX1" s="920" t="s">
        <v>475</v>
      </c>
      <c r="GHB1" s="922"/>
      <c r="GHF1" s="920" t="s">
        <v>475</v>
      </c>
      <c r="GHJ1" s="922"/>
      <c r="GHN1" s="920" t="s">
        <v>475</v>
      </c>
      <c r="GHR1" s="922"/>
      <c r="GHV1" s="920" t="s">
        <v>475</v>
      </c>
      <c r="GHZ1" s="922"/>
      <c r="GID1" s="920" t="s">
        <v>475</v>
      </c>
      <c r="GIH1" s="922"/>
      <c r="GIL1" s="920" t="s">
        <v>475</v>
      </c>
      <c r="GIP1" s="922"/>
      <c r="GIT1" s="920" t="s">
        <v>475</v>
      </c>
      <c r="GIX1" s="922"/>
      <c r="GJB1" s="920" t="s">
        <v>475</v>
      </c>
      <c r="GJF1" s="922"/>
      <c r="GJJ1" s="920" t="s">
        <v>475</v>
      </c>
      <c r="GJN1" s="922"/>
      <c r="GJR1" s="920" t="s">
        <v>475</v>
      </c>
      <c r="GJV1" s="922"/>
      <c r="GJZ1" s="920" t="s">
        <v>475</v>
      </c>
      <c r="GKD1" s="922"/>
      <c r="GKH1" s="920" t="s">
        <v>475</v>
      </c>
      <c r="GKL1" s="922"/>
      <c r="GKP1" s="920" t="s">
        <v>475</v>
      </c>
      <c r="GKT1" s="922"/>
      <c r="GKX1" s="920" t="s">
        <v>475</v>
      </c>
      <c r="GLB1" s="922"/>
      <c r="GLF1" s="920" t="s">
        <v>475</v>
      </c>
      <c r="GLJ1" s="922"/>
      <c r="GLN1" s="920" t="s">
        <v>475</v>
      </c>
      <c r="GLR1" s="922"/>
      <c r="GLV1" s="920" t="s">
        <v>475</v>
      </c>
      <c r="GLZ1" s="922"/>
      <c r="GMD1" s="920" t="s">
        <v>475</v>
      </c>
      <c r="GMH1" s="922"/>
      <c r="GML1" s="920" t="s">
        <v>475</v>
      </c>
      <c r="GMP1" s="922"/>
      <c r="GMT1" s="920" t="s">
        <v>475</v>
      </c>
      <c r="GMX1" s="922"/>
      <c r="GNB1" s="920" t="s">
        <v>475</v>
      </c>
      <c r="GNF1" s="922"/>
      <c r="GNJ1" s="920" t="s">
        <v>475</v>
      </c>
      <c r="GNN1" s="922"/>
      <c r="GNR1" s="920" t="s">
        <v>475</v>
      </c>
      <c r="GNV1" s="922"/>
      <c r="GNZ1" s="920" t="s">
        <v>475</v>
      </c>
      <c r="GOD1" s="922"/>
      <c r="GOH1" s="920" t="s">
        <v>475</v>
      </c>
      <c r="GOL1" s="922"/>
      <c r="GOP1" s="920" t="s">
        <v>475</v>
      </c>
      <c r="GOT1" s="922"/>
      <c r="GOX1" s="920" t="s">
        <v>475</v>
      </c>
      <c r="GPB1" s="922"/>
      <c r="GPF1" s="920" t="s">
        <v>475</v>
      </c>
      <c r="GPJ1" s="922"/>
      <c r="GPN1" s="920" t="s">
        <v>475</v>
      </c>
      <c r="GPR1" s="922"/>
      <c r="GPV1" s="920" t="s">
        <v>475</v>
      </c>
      <c r="GPZ1" s="922"/>
      <c r="GQD1" s="920" t="s">
        <v>475</v>
      </c>
      <c r="GQH1" s="922"/>
      <c r="GQL1" s="920" t="s">
        <v>475</v>
      </c>
      <c r="GQP1" s="922"/>
      <c r="GQT1" s="920" t="s">
        <v>475</v>
      </c>
      <c r="GQX1" s="922"/>
      <c r="GRB1" s="920" t="s">
        <v>475</v>
      </c>
      <c r="GRF1" s="922"/>
      <c r="GRJ1" s="920" t="s">
        <v>475</v>
      </c>
      <c r="GRN1" s="922"/>
      <c r="GRR1" s="920" t="s">
        <v>475</v>
      </c>
      <c r="GRV1" s="922"/>
      <c r="GRZ1" s="920" t="s">
        <v>475</v>
      </c>
      <c r="GSD1" s="922"/>
      <c r="GSH1" s="920" t="s">
        <v>475</v>
      </c>
      <c r="GSL1" s="922"/>
      <c r="GSP1" s="920" t="s">
        <v>475</v>
      </c>
      <c r="GST1" s="922"/>
      <c r="GSX1" s="920" t="s">
        <v>475</v>
      </c>
      <c r="GTB1" s="922"/>
      <c r="GTF1" s="920" t="s">
        <v>475</v>
      </c>
      <c r="GTJ1" s="922"/>
      <c r="GTN1" s="920" t="s">
        <v>475</v>
      </c>
      <c r="GTR1" s="922"/>
      <c r="GTV1" s="920" t="s">
        <v>475</v>
      </c>
      <c r="GTZ1" s="922"/>
      <c r="GUD1" s="920" t="s">
        <v>475</v>
      </c>
      <c r="GUH1" s="922"/>
      <c r="GUL1" s="920" t="s">
        <v>475</v>
      </c>
      <c r="GUP1" s="922"/>
      <c r="GUT1" s="920" t="s">
        <v>475</v>
      </c>
      <c r="GUX1" s="922"/>
      <c r="GVB1" s="920" t="s">
        <v>475</v>
      </c>
      <c r="GVF1" s="922"/>
      <c r="GVJ1" s="920" t="s">
        <v>475</v>
      </c>
      <c r="GVN1" s="922"/>
      <c r="GVR1" s="920" t="s">
        <v>475</v>
      </c>
      <c r="GVV1" s="922"/>
      <c r="GVZ1" s="920" t="s">
        <v>475</v>
      </c>
      <c r="GWD1" s="922"/>
      <c r="GWH1" s="920" t="s">
        <v>475</v>
      </c>
      <c r="GWL1" s="922"/>
      <c r="GWP1" s="920" t="s">
        <v>475</v>
      </c>
      <c r="GWT1" s="922"/>
      <c r="GWX1" s="920" t="s">
        <v>475</v>
      </c>
      <c r="GXB1" s="922"/>
      <c r="GXF1" s="920" t="s">
        <v>475</v>
      </c>
      <c r="GXJ1" s="922"/>
      <c r="GXN1" s="920" t="s">
        <v>475</v>
      </c>
      <c r="GXR1" s="922"/>
      <c r="GXV1" s="920" t="s">
        <v>475</v>
      </c>
      <c r="GXZ1" s="922"/>
      <c r="GYD1" s="920" t="s">
        <v>475</v>
      </c>
      <c r="GYH1" s="922"/>
      <c r="GYL1" s="920" t="s">
        <v>475</v>
      </c>
      <c r="GYP1" s="922"/>
      <c r="GYT1" s="920" t="s">
        <v>475</v>
      </c>
      <c r="GYX1" s="922"/>
      <c r="GZB1" s="920" t="s">
        <v>475</v>
      </c>
      <c r="GZF1" s="922"/>
      <c r="GZJ1" s="920" t="s">
        <v>475</v>
      </c>
      <c r="GZN1" s="922"/>
      <c r="GZR1" s="920" t="s">
        <v>475</v>
      </c>
      <c r="GZV1" s="922"/>
      <c r="GZZ1" s="920" t="s">
        <v>475</v>
      </c>
      <c r="HAD1" s="922"/>
      <c r="HAH1" s="920" t="s">
        <v>475</v>
      </c>
      <c r="HAL1" s="922"/>
      <c r="HAP1" s="920" t="s">
        <v>475</v>
      </c>
      <c r="HAT1" s="922"/>
      <c r="HAX1" s="920" t="s">
        <v>475</v>
      </c>
      <c r="HBB1" s="922"/>
      <c r="HBF1" s="920" t="s">
        <v>475</v>
      </c>
      <c r="HBJ1" s="922"/>
      <c r="HBN1" s="920" t="s">
        <v>475</v>
      </c>
      <c r="HBR1" s="922"/>
      <c r="HBV1" s="920" t="s">
        <v>475</v>
      </c>
      <c r="HBZ1" s="922"/>
      <c r="HCD1" s="920" t="s">
        <v>475</v>
      </c>
      <c r="HCH1" s="922"/>
      <c r="HCL1" s="920" t="s">
        <v>475</v>
      </c>
      <c r="HCP1" s="922"/>
      <c r="HCT1" s="920" t="s">
        <v>475</v>
      </c>
      <c r="HCX1" s="922"/>
      <c r="HDB1" s="920" t="s">
        <v>475</v>
      </c>
      <c r="HDF1" s="922"/>
      <c r="HDJ1" s="920" t="s">
        <v>475</v>
      </c>
      <c r="HDN1" s="922"/>
      <c r="HDR1" s="920" t="s">
        <v>475</v>
      </c>
      <c r="HDV1" s="922"/>
      <c r="HDZ1" s="920" t="s">
        <v>475</v>
      </c>
      <c r="HED1" s="922"/>
      <c r="HEH1" s="920" t="s">
        <v>475</v>
      </c>
      <c r="HEL1" s="922"/>
      <c r="HEP1" s="920" t="s">
        <v>475</v>
      </c>
      <c r="HET1" s="922"/>
      <c r="HEX1" s="920" t="s">
        <v>475</v>
      </c>
      <c r="HFB1" s="922"/>
      <c r="HFF1" s="920" t="s">
        <v>475</v>
      </c>
      <c r="HFJ1" s="922"/>
      <c r="HFN1" s="920" t="s">
        <v>475</v>
      </c>
      <c r="HFR1" s="922"/>
      <c r="HFV1" s="920" t="s">
        <v>475</v>
      </c>
      <c r="HFZ1" s="922"/>
      <c r="HGD1" s="920" t="s">
        <v>475</v>
      </c>
      <c r="HGH1" s="922"/>
      <c r="HGL1" s="920" t="s">
        <v>475</v>
      </c>
      <c r="HGP1" s="922"/>
      <c r="HGT1" s="920" t="s">
        <v>475</v>
      </c>
      <c r="HGX1" s="922"/>
      <c r="HHB1" s="920" t="s">
        <v>475</v>
      </c>
      <c r="HHF1" s="922"/>
      <c r="HHJ1" s="920" t="s">
        <v>475</v>
      </c>
      <c r="HHN1" s="922"/>
      <c r="HHR1" s="920" t="s">
        <v>475</v>
      </c>
      <c r="HHV1" s="922"/>
      <c r="HHZ1" s="920" t="s">
        <v>475</v>
      </c>
      <c r="HID1" s="922"/>
      <c r="HIH1" s="920" t="s">
        <v>475</v>
      </c>
      <c r="HIL1" s="922"/>
      <c r="HIP1" s="920" t="s">
        <v>475</v>
      </c>
      <c r="HIT1" s="922"/>
      <c r="HIX1" s="920" t="s">
        <v>475</v>
      </c>
      <c r="HJB1" s="922"/>
      <c r="HJF1" s="920" t="s">
        <v>475</v>
      </c>
      <c r="HJJ1" s="922"/>
      <c r="HJN1" s="920" t="s">
        <v>475</v>
      </c>
      <c r="HJR1" s="922"/>
      <c r="HJV1" s="920" t="s">
        <v>475</v>
      </c>
      <c r="HJZ1" s="922"/>
      <c r="HKD1" s="920" t="s">
        <v>475</v>
      </c>
      <c r="HKH1" s="922"/>
      <c r="HKL1" s="920" t="s">
        <v>475</v>
      </c>
      <c r="HKP1" s="922"/>
      <c r="HKT1" s="920" t="s">
        <v>475</v>
      </c>
      <c r="HKX1" s="922"/>
      <c r="HLB1" s="920" t="s">
        <v>475</v>
      </c>
      <c r="HLF1" s="922"/>
      <c r="HLJ1" s="920" t="s">
        <v>475</v>
      </c>
      <c r="HLN1" s="922"/>
      <c r="HLR1" s="920" t="s">
        <v>475</v>
      </c>
      <c r="HLV1" s="922"/>
      <c r="HLZ1" s="920" t="s">
        <v>475</v>
      </c>
      <c r="HMD1" s="922"/>
      <c r="HMH1" s="920" t="s">
        <v>475</v>
      </c>
      <c r="HML1" s="922"/>
      <c r="HMP1" s="920" t="s">
        <v>475</v>
      </c>
      <c r="HMT1" s="922"/>
      <c r="HMX1" s="920" t="s">
        <v>475</v>
      </c>
      <c r="HNB1" s="922"/>
      <c r="HNF1" s="920" t="s">
        <v>475</v>
      </c>
      <c r="HNJ1" s="922"/>
      <c r="HNN1" s="920" t="s">
        <v>475</v>
      </c>
      <c r="HNR1" s="922"/>
      <c r="HNV1" s="920" t="s">
        <v>475</v>
      </c>
      <c r="HNZ1" s="922"/>
      <c r="HOD1" s="920" t="s">
        <v>475</v>
      </c>
      <c r="HOH1" s="922"/>
      <c r="HOL1" s="920" t="s">
        <v>475</v>
      </c>
      <c r="HOP1" s="922"/>
      <c r="HOT1" s="920" t="s">
        <v>475</v>
      </c>
      <c r="HOX1" s="922"/>
      <c r="HPB1" s="920" t="s">
        <v>475</v>
      </c>
      <c r="HPF1" s="922"/>
      <c r="HPJ1" s="920" t="s">
        <v>475</v>
      </c>
      <c r="HPN1" s="922"/>
      <c r="HPR1" s="920" t="s">
        <v>475</v>
      </c>
      <c r="HPV1" s="922"/>
      <c r="HPZ1" s="920" t="s">
        <v>475</v>
      </c>
      <c r="HQD1" s="922"/>
      <c r="HQH1" s="920" t="s">
        <v>475</v>
      </c>
      <c r="HQL1" s="922"/>
      <c r="HQP1" s="920" t="s">
        <v>475</v>
      </c>
      <c r="HQT1" s="922"/>
      <c r="HQX1" s="920" t="s">
        <v>475</v>
      </c>
      <c r="HRB1" s="922"/>
      <c r="HRF1" s="920" t="s">
        <v>475</v>
      </c>
      <c r="HRJ1" s="922"/>
      <c r="HRN1" s="920" t="s">
        <v>475</v>
      </c>
      <c r="HRR1" s="922"/>
      <c r="HRV1" s="920" t="s">
        <v>475</v>
      </c>
      <c r="HRZ1" s="922"/>
      <c r="HSD1" s="920" t="s">
        <v>475</v>
      </c>
      <c r="HSH1" s="922"/>
      <c r="HSL1" s="920" t="s">
        <v>475</v>
      </c>
      <c r="HSP1" s="922"/>
      <c r="HST1" s="920" t="s">
        <v>475</v>
      </c>
      <c r="HSX1" s="922"/>
      <c r="HTB1" s="920" t="s">
        <v>475</v>
      </c>
      <c r="HTF1" s="922"/>
      <c r="HTJ1" s="920" t="s">
        <v>475</v>
      </c>
      <c r="HTN1" s="922"/>
      <c r="HTR1" s="920" t="s">
        <v>475</v>
      </c>
      <c r="HTV1" s="922"/>
      <c r="HTZ1" s="920" t="s">
        <v>475</v>
      </c>
      <c r="HUD1" s="922"/>
      <c r="HUH1" s="920" t="s">
        <v>475</v>
      </c>
      <c r="HUL1" s="922"/>
      <c r="HUP1" s="920" t="s">
        <v>475</v>
      </c>
      <c r="HUT1" s="922"/>
      <c r="HUX1" s="920" t="s">
        <v>475</v>
      </c>
      <c r="HVB1" s="922"/>
      <c r="HVF1" s="920" t="s">
        <v>475</v>
      </c>
      <c r="HVJ1" s="922"/>
      <c r="HVN1" s="920" t="s">
        <v>475</v>
      </c>
      <c r="HVR1" s="922"/>
      <c r="HVV1" s="920" t="s">
        <v>475</v>
      </c>
      <c r="HVZ1" s="922"/>
      <c r="HWD1" s="920" t="s">
        <v>475</v>
      </c>
      <c r="HWH1" s="922"/>
      <c r="HWL1" s="920" t="s">
        <v>475</v>
      </c>
      <c r="HWP1" s="922"/>
      <c r="HWT1" s="920" t="s">
        <v>475</v>
      </c>
      <c r="HWX1" s="922"/>
      <c r="HXB1" s="920" t="s">
        <v>475</v>
      </c>
      <c r="HXF1" s="922"/>
      <c r="HXJ1" s="920" t="s">
        <v>475</v>
      </c>
      <c r="HXN1" s="922"/>
      <c r="HXR1" s="920" t="s">
        <v>475</v>
      </c>
      <c r="HXV1" s="922"/>
      <c r="HXZ1" s="920" t="s">
        <v>475</v>
      </c>
      <c r="HYD1" s="922"/>
      <c r="HYH1" s="920" t="s">
        <v>475</v>
      </c>
      <c r="HYL1" s="922"/>
      <c r="HYP1" s="920" t="s">
        <v>475</v>
      </c>
      <c r="HYT1" s="922"/>
      <c r="HYX1" s="920" t="s">
        <v>475</v>
      </c>
      <c r="HZB1" s="922"/>
      <c r="HZF1" s="920" t="s">
        <v>475</v>
      </c>
      <c r="HZJ1" s="922"/>
      <c r="HZN1" s="920" t="s">
        <v>475</v>
      </c>
      <c r="HZR1" s="922"/>
      <c r="HZV1" s="920" t="s">
        <v>475</v>
      </c>
      <c r="HZZ1" s="922"/>
      <c r="IAD1" s="920" t="s">
        <v>475</v>
      </c>
      <c r="IAH1" s="922"/>
      <c r="IAL1" s="920" t="s">
        <v>475</v>
      </c>
      <c r="IAP1" s="922"/>
      <c r="IAT1" s="920" t="s">
        <v>475</v>
      </c>
      <c r="IAX1" s="922"/>
      <c r="IBB1" s="920" t="s">
        <v>475</v>
      </c>
      <c r="IBF1" s="922"/>
      <c r="IBJ1" s="920" t="s">
        <v>475</v>
      </c>
      <c r="IBN1" s="922"/>
      <c r="IBR1" s="920" t="s">
        <v>475</v>
      </c>
      <c r="IBV1" s="922"/>
      <c r="IBZ1" s="920" t="s">
        <v>475</v>
      </c>
      <c r="ICD1" s="922"/>
      <c r="ICH1" s="920" t="s">
        <v>475</v>
      </c>
      <c r="ICL1" s="922"/>
      <c r="ICP1" s="920" t="s">
        <v>475</v>
      </c>
      <c r="ICT1" s="922"/>
      <c r="ICX1" s="920" t="s">
        <v>475</v>
      </c>
      <c r="IDB1" s="922"/>
      <c r="IDF1" s="920" t="s">
        <v>475</v>
      </c>
      <c r="IDJ1" s="922"/>
      <c r="IDN1" s="920" t="s">
        <v>475</v>
      </c>
      <c r="IDR1" s="922"/>
      <c r="IDV1" s="920" t="s">
        <v>475</v>
      </c>
      <c r="IDZ1" s="922"/>
      <c r="IED1" s="920" t="s">
        <v>475</v>
      </c>
      <c r="IEH1" s="922"/>
      <c r="IEL1" s="920" t="s">
        <v>475</v>
      </c>
      <c r="IEP1" s="922"/>
      <c r="IET1" s="920" t="s">
        <v>475</v>
      </c>
      <c r="IEX1" s="922"/>
      <c r="IFB1" s="920" t="s">
        <v>475</v>
      </c>
      <c r="IFF1" s="922"/>
      <c r="IFJ1" s="920" t="s">
        <v>475</v>
      </c>
      <c r="IFN1" s="922"/>
      <c r="IFR1" s="920" t="s">
        <v>475</v>
      </c>
      <c r="IFV1" s="922"/>
      <c r="IFZ1" s="920" t="s">
        <v>475</v>
      </c>
      <c r="IGD1" s="922"/>
      <c r="IGH1" s="920" t="s">
        <v>475</v>
      </c>
      <c r="IGL1" s="922"/>
      <c r="IGP1" s="920" t="s">
        <v>475</v>
      </c>
      <c r="IGT1" s="922"/>
      <c r="IGX1" s="920" t="s">
        <v>475</v>
      </c>
      <c r="IHB1" s="922"/>
      <c r="IHF1" s="920" t="s">
        <v>475</v>
      </c>
      <c r="IHJ1" s="922"/>
      <c r="IHN1" s="920" t="s">
        <v>475</v>
      </c>
      <c r="IHR1" s="922"/>
      <c r="IHV1" s="920" t="s">
        <v>475</v>
      </c>
      <c r="IHZ1" s="922"/>
      <c r="IID1" s="920" t="s">
        <v>475</v>
      </c>
      <c r="IIH1" s="922"/>
      <c r="IIL1" s="920" t="s">
        <v>475</v>
      </c>
      <c r="IIP1" s="922"/>
      <c r="IIT1" s="920" t="s">
        <v>475</v>
      </c>
      <c r="IIX1" s="922"/>
      <c r="IJB1" s="920" t="s">
        <v>475</v>
      </c>
      <c r="IJF1" s="922"/>
      <c r="IJJ1" s="920" t="s">
        <v>475</v>
      </c>
      <c r="IJN1" s="922"/>
      <c r="IJR1" s="920" t="s">
        <v>475</v>
      </c>
      <c r="IJV1" s="922"/>
      <c r="IJZ1" s="920" t="s">
        <v>475</v>
      </c>
      <c r="IKD1" s="922"/>
      <c r="IKH1" s="920" t="s">
        <v>475</v>
      </c>
      <c r="IKL1" s="922"/>
      <c r="IKP1" s="920" t="s">
        <v>475</v>
      </c>
      <c r="IKT1" s="922"/>
      <c r="IKX1" s="920" t="s">
        <v>475</v>
      </c>
      <c r="ILB1" s="922"/>
      <c r="ILF1" s="920" t="s">
        <v>475</v>
      </c>
      <c r="ILJ1" s="922"/>
      <c r="ILN1" s="920" t="s">
        <v>475</v>
      </c>
      <c r="ILR1" s="922"/>
      <c r="ILV1" s="920" t="s">
        <v>475</v>
      </c>
      <c r="ILZ1" s="922"/>
      <c r="IMD1" s="920" t="s">
        <v>475</v>
      </c>
      <c r="IMH1" s="922"/>
      <c r="IML1" s="920" t="s">
        <v>475</v>
      </c>
      <c r="IMP1" s="922"/>
      <c r="IMT1" s="920" t="s">
        <v>475</v>
      </c>
      <c r="IMX1" s="922"/>
      <c r="INB1" s="920" t="s">
        <v>475</v>
      </c>
      <c r="INF1" s="922"/>
      <c r="INJ1" s="920" t="s">
        <v>475</v>
      </c>
      <c r="INN1" s="922"/>
      <c r="INR1" s="920" t="s">
        <v>475</v>
      </c>
      <c r="INV1" s="922"/>
      <c r="INZ1" s="920" t="s">
        <v>475</v>
      </c>
      <c r="IOD1" s="922"/>
      <c r="IOH1" s="920" t="s">
        <v>475</v>
      </c>
      <c r="IOL1" s="922"/>
      <c r="IOP1" s="920" t="s">
        <v>475</v>
      </c>
      <c r="IOT1" s="922"/>
      <c r="IOX1" s="920" t="s">
        <v>475</v>
      </c>
      <c r="IPB1" s="922"/>
      <c r="IPF1" s="920" t="s">
        <v>475</v>
      </c>
      <c r="IPJ1" s="922"/>
      <c r="IPN1" s="920" t="s">
        <v>475</v>
      </c>
      <c r="IPR1" s="922"/>
      <c r="IPV1" s="920" t="s">
        <v>475</v>
      </c>
      <c r="IPZ1" s="922"/>
      <c r="IQD1" s="920" t="s">
        <v>475</v>
      </c>
      <c r="IQH1" s="922"/>
      <c r="IQL1" s="920" t="s">
        <v>475</v>
      </c>
      <c r="IQP1" s="922"/>
      <c r="IQT1" s="920" t="s">
        <v>475</v>
      </c>
      <c r="IQX1" s="922"/>
      <c r="IRB1" s="920" t="s">
        <v>475</v>
      </c>
      <c r="IRF1" s="922"/>
      <c r="IRJ1" s="920" t="s">
        <v>475</v>
      </c>
      <c r="IRN1" s="922"/>
      <c r="IRR1" s="920" t="s">
        <v>475</v>
      </c>
      <c r="IRV1" s="922"/>
      <c r="IRZ1" s="920" t="s">
        <v>475</v>
      </c>
      <c r="ISD1" s="922"/>
      <c r="ISH1" s="920" t="s">
        <v>475</v>
      </c>
      <c r="ISL1" s="922"/>
      <c r="ISP1" s="920" t="s">
        <v>475</v>
      </c>
      <c r="IST1" s="922"/>
      <c r="ISX1" s="920" t="s">
        <v>475</v>
      </c>
      <c r="ITB1" s="922"/>
      <c r="ITF1" s="920" t="s">
        <v>475</v>
      </c>
      <c r="ITJ1" s="922"/>
      <c r="ITN1" s="920" t="s">
        <v>475</v>
      </c>
      <c r="ITR1" s="922"/>
      <c r="ITV1" s="920" t="s">
        <v>475</v>
      </c>
      <c r="ITZ1" s="922"/>
      <c r="IUD1" s="920" t="s">
        <v>475</v>
      </c>
      <c r="IUH1" s="922"/>
      <c r="IUL1" s="920" t="s">
        <v>475</v>
      </c>
      <c r="IUP1" s="922"/>
      <c r="IUT1" s="920" t="s">
        <v>475</v>
      </c>
      <c r="IUX1" s="922"/>
      <c r="IVB1" s="920" t="s">
        <v>475</v>
      </c>
      <c r="IVF1" s="922"/>
      <c r="IVJ1" s="920" t="s">
        <v>475</v>
      </c>
      <c r="IVN1" s="922"/>
      <c r="IVR1" s="920" t="s">
        <v>475</v>
      </c>
      <c r="IVV1" s="922"/>
      <c r="IVZ1" s="920" t="s">
        <v>475</v>
      </c>
      <c r="IWD1" s="922"/>
      <c r="IWH1" s="920" t="s">
        <v>475</v>
      </c>
      <c r="IWL1" s="922"/>
      <c r="IWP1" s="920" t="s">
        <v>475</v>
      </c>
      <c r="IWT1" s="922"/>
      <c r="IWX1" s="920" t="s">
        <v>475</v>
      </c>
      <c r="IXB1" s="922"/>
      <c r="IXF1" s="920" t="s">
        <v>475</v>
      </c>
      <c r="IXJ1" s="922"/>
      <c r="IXN1" s="920" t="s">
        <v>475</v>
      </c>
      <c r="IXR1" s="922"/>
      <c r="IXV1" s="920" t="s">
        <v>475</v>
      </c>
      <c r="IXZ1" s="922"/>
      <c r="IYD1" s="920" t="s">
        <v>475</v>
      </c>
      <c r="IYH1" s="922"/>
      <c r="IYL1" s="920" t="s">
        <v>475</v>
      </c>
      <c r="IYP1" s="922"/>
      <c r="IYT1" s="920" t="s">
        <v>475</v>
      </c>
      <c r="IYX1" s="922"/>
      <c r="IZB1" s="920" t="s">
        <v>475</v>
      </c>
      <c r="IZF1" s="922"/>
      <c r="IZJ1" s="920" t="s">
        <v>475</v>
      </c>
      <c r="IZN1" s="922"/>
      <c r="IZR1" s="920" t="s">
        <v>475</v>
      </c>
      <c r="IZV1" s="922"/>
      <c r="IZZ1" s="920" t="s">
        <v>475</v>
      </c>
      <c r="JAD1" s="922"/>
      <c r="JAH1" s="920" t="s">
        <v>475</v>
      </c>
      <c r="JAL1" s="922"/>
      <c r="JAP1" s="920" t="s">
        <v>475</v>
      </c>
      <c r="JAT1" s="922"/>
      <c r="JAX1" s="920" t="s">
        <v>475</v>
      </c>
      <c r="JBB1" s="922"/>
      <c r="JBF1" s="920" t="s">
        <v>475</v>
      </c>
      <c r="JBJ1" s="922"/>
      <c r="JBN1" s="920" t="s">
        <v>475</v>
      </c>
      <c r="JBR1" s="922"/>
      <c r="JBV1" s="920" t="s">
        <v>475</v>
      </c>
      <c r="JBZ1" s="922"/>
      <c r="JCD1" s="920" t="s">
        <v>475</v>
      </c>
      <c r="JCH1" s="922"/>
      <c r="JCL1" s="920" t="s">
        <v>475</v>
      </c>
      <c r="JCP1" s="922"/>
      <c r="JCT1" s="920" t="s">
        <v>475</v>
      </c>
      <c r="JCX1" s="922"/>
      <c r="JDB1" s="920" t="s">
        <v>475</v>
      </c>
      <c r="JDF1" s="922"/>
      <c r="JDJ1" s="920" t="s">
        <v>475</v>
      </c>
      <c r="JDN1" s="922"/>
      <c r="JDR1" s="920" t="s">
        <v>475</v>
      </c>
      <c r="JDV1" s="922"/>
      <c r="JDZ1" s="920" t="s">
        <v>475</v>
      </c>
      <c r="JED1" s="922"/>
      <c r="JEH1" s="920" t="s">
        <v>475</v>
      </c>
      <c r="JEL1" s="922"/>
      <c r="JEP1" s="920" t="s">
        <v>475</v>
      </c>
      <c r="JET1" s="922"/>
      <c r="JEX1" s="920" t="s">
        <v>475</v>
      </c>
      <c r="JFB1" s="922"/>
      <c r="JFF1" s="920" t="s">
        <v>475</v>
      </c>
      <c r="JFJ1" s="922"/>
      <c r="JFN1" s="920" t="s">
        <v>475</v>
      </c>
      <c r="JFR1" s="922"/>
      <c r="JFV1" s="920" t="s">
        <v>475</v>
      </c>
      <c r="JFZ1" s="922"/>
      <c r="JGD1" s="920" t="s">
        <v>475</v>
      </c>
      <c r="JGH1" s="922"/>
      <c r="JGL1" s="920" t="s">
        <v>475</v>
      </c>
      <c r="JGP1" s="922"/>
      <c r="JGT1" s="920" t="s">
        <v>475</v>
      </c>
      <c r="JGX1" s="922"/>
      <c r="JHB1" s="920" t="s">
        <v>475</v>
      </c>
      <c r="JHF1" s="922"/>
      <c r="JHJ1" s="920" t="s">
        <v>475</v>
      </c>
      <c r="JHN1" s="922"/>
      <c r="JHR1" s="920" t="s">
        <v>475</v>
      </c>
      <c r="JHV1" s="922"/>
      <c r="JHZ1" s="920" t="s">
        <v>475</v>
      </c>
      <c r="JID1" s="922"/>
      <c r="JIH1" s="920" t="s">
        <v>475</v>
      </c>
      <c r="JIL1" s="922"/>
      <c r="JIP1" s="920" t="s">
        <v>475</v>
      </c>
      <c r="JIT1" s="922"/>
      <c r="JIX1" s="920" t="s">
        <v>475</v>
      </c>
      <c r="JJB1" s="922"/>
      <c r="JJF1" s="920" t="s">
        <v>475</v>
      </c>
      <c r="JJJ1" s="922"/>
      <c r="JJN1" s="920" t="s">
        <v>475</v>
      </c>
      <c r="JJR1" s="922"/>
      <c r="JJV1" s="920" t="s">
        <v>475</v>
      </c>
      <c r="JJZ1" s="922"/>
      <c r="JKD1" s="920" t="s">
        <v>475</v>
      </c>
      <c r="JKH1" s="922"/>
      <c r="JKL1" s="920" t="s">
        <v>475</v>
      </c>
      <c r="JKP1" s="922"/>
      <c r="JKT1" s="920" t="s">
        <v>475</v>
      </c>
      <c r="JKX1" s="922"/>
      <c r="JLB1" s="920" t="s">
        <v>475</v>
      </c>
      <c r="JLF1" s="922"/>
      <c r="JLJ1" s="920" t="s">
        <v>475</v>
      </c>
      <c r="JLN1" s="922"/>
      <c r="JLR1" s="920" t="s">
        <v>475</v>
      </c>
      <c r="JLV1" s="922"/>
      <c r="JLZ1" s="920" t="s">
        <v>475</v>
      </c>
      <c r="JMD1" s="922"/>
      <c r="JMH1" s="920" t="s">
        <v>475</v>
      </c>
      <c r="JML1" s="922"/>
      <c r="JMP1" s="920" t="s">
        <v>475</v>
      </c>
      <c r="JMT1" s="922"/>
      <c r="JMX1" s="920" t="s">
        <v>475</v>
      </c>
      <c r="JNB1" s="922"/>
      <c r="JNF1" s="920" t="s">
        <v>475</v>
      </c>
      <c r="JNJ1" s="922"/>
      <c r="JNN1" s="920" t="s">
        <v>475</v>
      </c>
      <c r="JNR1" s="922"/>
      <c r="JNV1" s="920" t="s">
        <v>475</v>
      </c>
      <c r="JNZ1" s="922"/>
      <c r="JOD1" s="920" t="s">
        <v>475</v>
      </c>
      <c r="JOH1" s="922"/>
      <c r="JOL1" s="920" t="s">
        <v>475</v>
      </c>
      <c r="JOP1" s="922"/>
      <c r="JOT1" s="920" t="s">
        <v>475</v>
      </c>
      <c r="JOX1" s="922"/>
      <c r="JPB1" s="920" t="s">
        <v>475</v>
      </c>
      <c r="JPF1" s="922"/>
      <c r="JPJ1" s="920" t="s">
        <v>475</v>
      </c>
      <c r="JPN1" s="922"/>
      <c r="JPR1" s="920" t="s">
        <v>475</v>
      </c>
      <c r="JPV1" s="922"/>
      <c r="JPZ1" s="920" t="s">
        <v>475</v>
      </c>
      <c r="JQD1" s="922"/>
      <c r="JQH1" s="920" t="s">
        <v>475</v>
      </c>
      <c r="JQL1" s="922"/>
      <c r="JQP1" s="920" t="s">
        <v>475</v>
      </c>
      <c r="JQT1" s="922"/>
      <c r="JQX1" s="920" t="s">
        <v>475</v>
      </c>
      <c r="JRB1" s="922"/>
      <c r="JRF1" s="920" t="s">
        <v>475</v>
      </c>
      <c r="JRJ1" s="922"/>
      <c r="JRN1" s="920" t="s">
        <v>475</v>
      </c>
      <c r="JRR1" s="922"/>
      <c r="JRV1" s="920" t="s">
        <v>475</v>
      </c>
      <c r="JRZ1" s="922"/>
      <c r="JSD1" s="920" t="s">
        <v>475</v>
      </c>
      <c r="JSH1" s="922"/>
      <c r="JSL1" s="920" t="s">
        <v>475</v>
      </c>
      <c r="JSP1" s="922"/>
      <c r="JST1" s="920" t="s">
        <v>475</v>
      </c>
      <c r="JSX1" s="922"/>
      <c r="JTB1" s="920" t="s">
        <v>475</v>
      </c>
      <c r="JTF1" s="922"/>
      <c r="JTJ1" s="920" t="s">
        <v>475</v>
      </c>
      <c r="JTN1" s="922"/>
      <c r="JTR1" s="920" t="s">
        <v>475</v>
      </c>
      <c r="JTV1" s="922"/>
      <c r="JTZ1" s="920" t="s">
        <v>475</v>
      </c>
      <c r="JUD1" s="922"/>
      <c r="JUH1" s="920" t="s">
        <v>475</v>
      </c>
      <c r="JUL1" s="922"/>
      <c r="JUP1" s="920" t="s">
        <v>475</v>
      </c>
      <c r="JUT1" s="922"/>
      <c r="JUX1" s="920" t="s">
        <v>475</v>
      </c>
      <c r="JVB1" s="922"/>
      <c r="JVF1" s="920" t="s">
        <v>475</v>
      </c>
      <c r="JVJ1" s="922"/>
      <c r="JVN1" s="920" t="s">
        <v>475</v>
      </c>
      <c r="JVR1" s="922"/>
      <c r="JVV1" s="920" t="s">
        <v>475</v>
      </c>
      <c r="JVZ1" s="922"/>
      <c r="JWD1" s="920" t="s">
        <v>475</v>
      </c>
      <c r="JWH1" s="922"/>
      <c r="JWL1" s="920" t="s">
        <v>475</v>
      </c>
      <c r="JWP1" s="922"/>
      <c r="JWT1" s="920" t="s">
        <v>475</v>
      </c>
      <c r="JWX1" s="922"/>
      <c r="JXB1" s="920" t="s">
        <v>475</v>
      </c>
      <c r="JXF1" s="922"/>
      <c r="JXJ1" s="920" t="s">
        <v>475</v>
      </c>
      <c r="JXN1" s="922"/>
      <c r="JXR1" s="920" t="s">
        <v>475</v>
      </c>
      <c r="JXV1" s="922"/>
      <c r="JXZ1" s="920" t="s">
        <v>475</v>
      </c>
      <c r="JYD1" s="922"/>
      <c r="JYH1" s="920" t="s">
        <v>475</v>
      </c>
      <c r="JYL1" s="922"/>
      <c r="JYP1" s="920" t="s">
        <v>475</v>
      </c>
      <c r="JYT1" s="922"/>
      <c r="JYX1" s="920" t="s">
        <v>475</v>
      </c>
      <c r="JZB1" s="922"/>
      <c r="JZF1" s="920" t="s">
        <v>475</v>
      </c>
      <c r="JZJ1" s="922"/>
      <c r="JZN1" s="920" t="s">
        <v>475</v>
      </c>
      <c r="JZR1" s="922"/>
      <c r="JZV1" s="920" t="s">
        <v>475</v>
      </c>
      <c r="JZZ1" s="922"/>
      <c r="KAD1" s="920" t="s">
        <v>475</v>
      </c>
      <c r="KAH1" s="922"/>
      <c r="KAL1" s="920" t="s">
        <v>475</v>
      </c>
      <c r="KAP1" s="922"/>
      <c r="KAT1" s="920" t="s">
        <v>475</v>
      </c>
      <c r="KAX1" s="922"/>
      <c r="KBB1" s="920" t="s">
        <v>475</v>
      </c>
      <c r="KBF1" s="922"/>
      <c r="KBJ1" s="920" t="s">
        <v>475</v>
      </c>
      <c r="KBN1" s="922"/>
      <c r="KBR1" s="920" t="s">
        <v>475</v>
      </c>
      <c r="KBV1" s="922"/>
      <c r="KBZ1" s="920" t="s">
        <v>475</v>
      </c>
      <c r="KCD1" s="922"/>
      <c r="KCH1" s="920" t="s">
        <v>475</v>
      </c>
      <c r="KCL1" s="922"/>
      <c r="KCP1" s="920" t="s">
        <v>475</v>
      </c>
      <c r="KCT1" s="922"/>
      <c r="KCX1" s="920" t="s">
        <v>475</v>
      </c>
      <c r="KDB1" s="922"/>
      <c r="KDF1" s="920" t="s">
        <v>475</v>
      </c>
      <c r="KDJ1" s="922"/>
      <c r="KDN1" s="920" t="s">
        <v>475</v>
      </c>
      <c r="KDR1" s="922"/>
      <c r="KDV1" s="920" t="s">
        <v>475</v>
      </c>
      <c r="KDZ1" s="922"/>
      <c r="KED1" s="920" t="s">
        <v>475</v>
      </c>
      <c r="KEH1" s="922"/>
      <c r="KEL1" s="920" t="s">
        <v>475</v>
      </c>
      <c r="KEP1" s="922"/>
      <c r="KET1" s="920" t="s">
        <v>475</v>
      </c>
      <c r="KEX1" s="922"/>
      <c r="KFB1" s="920" t="s">
        <v>475</v>
      </c>
      <c r="KFF1" s="922"/>
      <c r="KFJ1" s="920" t="s">
        <v>475</v>
      </c>
      <c r="KFN1" s="922"/>
      <c r="KFR1" s="920" t="s">
        <v>475</v>
      </c>
      <c r="KFV1" s="922"/>
      <c r="KFZ1" s="920" t="s">
        <v>475</v>
      </c>
      <c r="KGD1" s="922"/>
      <c r="KGH1" s="920" t="s">
        <v>475</v>
      </c>
      <c r="KGL1" s="922"/>
      <c r="KGP1" s="920" t="s">
        <v>475</v>
      </c>
      <c r="KGT1" s="922"/>
      <c r="KGX1" s="920" t="s">
        <v>475</v>
      </c>
      <c r="KHB1" s="922"/>
      <c r="KHF1" s="920" t="s">
        <v>475</v>
      </c>
      <c r="KHJ1" s="922"/>
      <c r="KHN1" s="920" t="s">
        <v>475</v>
      </c>
      <c r="KHR1" s="922"/>
      <c r="KHV1" s="920" t="s">
        <v>475</v>
      </c>
      <c r="KHZ1" s="922"/>
      <c r="KID1" s="920" t="s">
        <v>475</v>
      </c>
      <c r="KIH1" s="922"/>
      <c r="KIL1" s="920" t="s">
        <v>475</v>
      </c>
      <c r="KIP1" s="922"/>
      <c r="KIT1" s="920" t="s">
        <v>475</v>
      </c>
      <c r="KIX1" s="922"/>
      <c r="KJB1" s="920" t="s">
        <v>475</v>
      </c>
      <c r="KJF1" s="922"/>
      <c r="KJJ1" s="920" t="s">
        <v>475</v>
      </c>
      <c r="KJN1" s="922"/>
      <c r="KJR1" s="920" t="s">
        <v>475</v>
      </c>
      <c r="KJV1" s="922"/>
      <c r="KJZ1" s="920" t="s">
        <v>475</v>
      </c>
      <c r="KKD1" s="922"/>
      <c r="KKH1" s="920" t="s">
        <v>475</v>
      </c>
      <c r="KKL1" s="922"/>
      <c r="KKP1" s="920" t="s">
        <v>475</v>
      </c>
      <c r="KKT1" s="922"/>
      <c r="KKX1" s="920" t="s">
        <v>475</v>
      </c>
      <c r="KLB1" s="922"/>
      <c r="KLF1" s="920" t="s">
        <v>475</v>
      </c>
      <c r="KLJ1" s="922"/>
      <c r="KLN1" s="920" t="s">
        <v>475</v>
      </c>
      <c r="KLR1" s="922"/>
      <c r="KLV1" s="920" t="s">
        <v>475</v>
      </c>
      <c r="KLZ1" s="922"/>
      <c r="KMD1" s="920" t="s">
        <v>475</v>
      </c>
      <c r="KMH1" s="922"/>
      <c r="KML1" s="920" t="s">
        <v>475</v>
      </c>
      <c r="KMP1" s="922"/>
      <c r="KMT1" s="920" t="s">
        <v>475</v>
      </c>
      <c r="KMX1" s="922"/>
      <c r="KNB1" s="920" t="s">
        <v>475</v>
      </c>
      <c r="KNF1" s="922"/>
      <c r="KNJ1" s="920" t="s">
        <v>475</v>
      </c>
      <c r="KNN1" s="922"/>
      <c r="KNR1" s="920" t="s">
        <v>475</v>
      </c>
      <c r="KNV1" s="922"/>
      <c r="KNZ1" s="920" t="s">
        <v>475</v>
      </c>
      <c r="KOD1" s="922"/>
      <c r="KOH1" s="920" t="s">
        <v>475</v>
      </c>
      <c r="KOL1" s="922"/>
      <c r="KOP1" s="920" t="s">
        <v>475</v>
      </c>
      <c r="KOT1" s="922"/>
      <c r="KOX1" s="920" t="s">
        <v>475</v>
      </c>
      <c r="KPB1" s="922"/>
      <c r="KPF1" s="920" t="s">
        <v>475</v>
      </c>
      <c r="KPJ1" s="922"/>
      <c r="KPN1" s="920" t="s">
        <v>475</v>
      </c>
      <c r="KPR1" s="922"/>
      <c r="KPV1" s="920" t="s">
        <v>475</v>
      </c>
      <c r="KPZ1" s="922"/>
      <c r="KQD1" s="920" t="s">
        <v>475</v>
      </c>
      <c r="KQH1" s="922"/>
      <c r="KQL1" s="920" t="s">
        <v>475</v>
      </c>
      <c r="KQP1" s="922"/>
      <c r="KQT1" s="920" t="s">
        <v>475</v>
      </c>
      <c r="KQX1" s="922"/>
      <c r="KRB1" s="920" t="s">
        <v>475</v>
      </c>
      <c r="KRF1" s="922"/>
      <c r="KRJ1" s="920" t="s">
        <v>475</v>
      </c>
      <c r="KRN1" s="922"/>
      <c r="KRR1" s="920" t="s">
        <v>475</v>
      </c>
      <c r="KRV1" s="922"/>
      <c r="KRZ1" s="920" t="s">
        <v>475</v>
      </c>
      <c r="KSD1" s="922"/>
      <c r="KSH1" s="920" t="s">
        <v>475</v>
      </c>
      <c r="KSL1" s="922"/>
      <c r="KSP1" s="920" t="s">
        <v>475</v>
      </c>
      <c r="KST1" s="922"/>
      <c r="KSX1" s="920" t="s">
        <v>475</v>
      </c>
      <c r="KTB1" s="922"/>
      <c r="KTF1" s="920" t="s">
        <v>475</v>
      </c>
      <c r="KTJ1" s="922"/>
      <c r="KTN1" s="920" t="s">
        <v>475</v>
      </c>
      <c r="KTR1" s="922"/>
      <c r="KTV1" s="920" t="s">
        <v>475</v>
      </c>
      <c r="KTZ1" s="922"/>
      <c r="KUD1" s="920" t="s">
        <v>475</v>
      </c>
      <c r="KUH1" s="922"/>
      <c r="KUL1" s="920" t="s">
        <v>475</v>
      </c>
      <c r="KUP1" s="922"/>
      <c r="KUT1" s="920" t="s">
        <v>475</v>
      </c>
      <c r="KUX1" s="922"/>
      <c r="KVB1" s="920" t="s">
        <v>475</v>
      </c>
      <c r="KVF1" s="922"/>
      <c r="KVJ1" s="920" t="s">
        <v>475</v>
      </c>
      <c r="KVN1" s="922"/>
      <c r="KVR1" s="920" t="s">
        <v>475</v>
      </c>
      <c r="KVV1" s="922"/>
      <c r="KVZ1" s="920" t="s">
        <v>475</v>
      </c>
      <c r="KWD1" s="922"/>
      <c r="KWH1" s="920" t="s">
        <v>475</v>
      </c>
      <c r="KWL1" s="922"/>
      <c r="KWP1" s="920" t="s">
        <v>475</v>
      </c>
      <c r="KWT1" s="922"/>
      <c r="KWX1" s="920" t="s">
        <v>475</v>
      </c>
      <c r="KXB1" s="922"/>
      <c r="KXF1" s="920" t="s">
        <v>475</v>
      </c>
      <c r="KXJ1" s="922"/>
      <c r="KXN1" s="920" t="s">
        <v>475</v>
      </c>
      <c r="KXR1" s="922"/>
      <c r="KXV1" s="920" t="s">
        <v>475</v>
      </c>
      <c r="KXZ1" s="922"/>
      <c r="KYD1" s="920" t="s">
        <v>475</v>
      </c>
      <c r="KYH1" s="922"/>
      <c r="KYL1" s="920" t="s">
        <v>475</v>
      </c>
      <c r="KYP1" s="922"/>
      <c r="KYT1" s="920" t="s">
        <v>475</v>
      </c>
      <c r="KYX1" s="922"/>
      <c r="KZB1" s="920" t="s">
        <v>475</v>
      </c>
      <c r="KZF1" s="922"/>
      <c r="KZJ1" s="920" t="s">
        <v>475</v>
      </c>
      <c r="KZN1" s="922"/>
      <c r="KZR1" s="920" t="s">
        <v>475</v>
      </c>
      <c r="KZV1" s="922"/>
      <c r="KZZ1" s="920" t="s">
        <v>475</v>
      </c>
      <c r="LAD1" s="922"/>
      <c r="LAH1" s="920" t="s">
        <v>475</v>
      </c>
      <c r="LAL1" s="922"/>
      <c r="LAP1" s="920" t="s">
        <v>475</v>
      </c>
      <c r="LAT1" s="922"/>
      <c r="LAX1" s="920" t="s">
        <v>475</v>
      </c>
      <c r="LBB1" s="922"/>
      <c r="LBF1" s="920" t="s">
        <v>475</v>
      </c>
      <c r="LBJ1" s="922"/>
      <c r="LBN1" s="920" t="s">
        <v>475</v>
      </c>
      <c r="LBR1" s="922"/>
      <c r="LBV1" s="920" t="s">
        <v>475</v>
      </c>
      <c r="LBZ1" s="922"/>
      <c r="LCD1" s="920" t="s">
        <v>475</v>
      </c>
      <c r="LCH1" s="922"/>
      <c r="LCL1" s="920" t="s">
        <v>475</v>
      </c>
      <c r="LCP1" s="922"/>
      <c r="LCT1" s="920" t="s">
        <v>475</v>
      </c>
      <c r="LCX1" s="922"/>
      <c r="LDB1" s="920" t="s">
        <v>475</v>
      </c>
      <c r="LDF1" s="922"/>
      <c r="LDJ1" s="920" t="s">
        <v>475</v>
      </c>
      <c r="LDN1" s="922"/>
      <c r="LDR1" s="920" t="s">
        <v>475</v>
      </c>
      <c r="LDV1" s="922"/>
      <c r="LDZ1" s="920" t="s">
        <v>475</v>
      </c>
      <c r="LED1" s="922"/>
      <c r="LEH1" s="920" t="s">
        <v>475</v>
      </c>
      <c r="LEL1" s="922"/>
      <c r="LEP1" s="920" t="s">
        <v>475</v>
      </c>
      <c r="LET1" s="922"/>
      <c r="LEX1" s="920" t="s">
        <v>475</v>
      </c>
      <c r="LFB1" s="922"/>
      <c r="LFF1" s="920" t="s">
        <v>475</v>
      </c>
      <c r="LFJ1" s="922"/>
      <c r="LFN1" s="920" t="s">
        <v>475</v>
      </c>
      <c r="LFR1" s="922"/>
      <c r="LFV1" s="920" t="s">
        <v>475</v>
      </c>
      <c r="LFZ1" s="922"/>
      <c r="LGD1" s="920" t="s">
        <v>475</v>
      </c>
      <c r="LGH1" s="922"/>
      <c r="LGL1" s="920" t="s">
        <v>475</v>
      </c>
      <c r="LGP1" s="922"/>
      <c r="LGT1" s="920" t="s">
        <v>475</v>
      </c>
      <c r="LGX1" s="922"/>
      <c r="LHB1" s="920" t="s">
        <v>475</v>
      </c>
      <c r="LHF1" s="922"/>
      <c r="LHJ1" s="920" t="s">
        <v>475</v>
      </c>
      <c r="LHN1" s="922"/>
      <c r="LHR1" s="920" t="s">
        <v>475</v>
      </c>
      <c r="LHV1" s="922"/>
      <c r="LHZ1" s="920" t="s">
        <v>475</v>
      </c>
      <c r="LID1" s="922"/>
      <c r="LIH1" s="920" t="s">
        <v>475</v>
      </c>
      <c r="LIL1" s="922"/>
      <c r="LIP1" s="920" t="s">
        <v>475</v>
      </c>
      <c r="LIT1" s="922"/>
      <c r="LIX1" s="920" t="s">
        <v>475</v>
      </c>
      <c r="LJB1" s="922"/>
      <c r="LJF1" s="920" t="s">
        <v>475</v>
      </c>
      <c r="LJJ1" s="922"/>
      <c r="LJN1" s="920" t="s">
        <v>475</v>
      </c>
      <c r="LJR1" s="922"/>
      <c r="LJV1" s="920" t="s">
        <v>475</v>
      </c>
      <c r="LJZ1" s="922"/>
      <c r="LKD1" s="920" t="s">
        <v>475</v>
      </c>
      <c r="LKH1" s="922"/>
      <c r="LKL1" s="920" t="s">
        <v>475</v>
      </c>
      <c r="LKP1" s="922"/>
      <c r="LKT1" s="920" t="s">
        <v>475</v>
      </c>
      <c r="LKX1" s="922"/>
      <c r="LLB1" s="920" t="s">
        <v>475</v>
      </c>
      <c r="LLF1" s="922"/>
      <c r="LLJ1" s="920" t="s">
        <v>475</v>
      </c>
      <c r="LLN1" s="922"/>
      <c r="LLR1" s="920" t="s">
        <v>475</v>
      </c>
      <c r="LLV1" s="922"/>
      <c r="LLZ1" s="920" t="s">
        <v>475</v>
      </c>
      <c r="LMD1" s="922"/>
      <c r="LMH1" s="920" t="s">
        <v>475</v>
      </c>
      <c r="LML1" s="922"/>
      <c r="LMP1" s="920" t="s">
        <v>475</v>
      </c>
      <c r="LMT1" s="922"/>
      <c r="LMX1" s="920" t="s">
        <v>475</v>
      </c>
      <c r="LNB1" s="922"/>
      <c r="LNF1" s="920" t="s">
        <v>475</v>
      </c>
      <c r="LNJ1" s="922"/>
      <c r="LNN1" s="920" t="s">
        <v>475</v>
      </c>
      <c r="LNR1" s="922"/>
      <c r="LNV1" s="920" t="s">
        <v>475</v>
      </c>
      <c r="LNZ1" s="922"/>
      <c r="LOD1" s="920" t="s">
        <v>475</v>
      </c>
      <c r="LOH1" s="922"/>
      <c r="LOL1" s="920" t="s">
        <v>475</v>
      </c>
      <c r="LOP1" s="922"/>
      <c r="LOT1" s="920" t="s">
        <v>475</v>
      </c>
      <c r="LOX1" s="922"/>
      <c r="LPB1" s="920" t="s">
        <v>475</v>
      </c>
      <c r="LPF1" s="922"/>
      <c r="LPJ1" s="920" t="s">
        <v>475</v>
      </c>
      <c r="LPN1" s="922"/>
      <c r="LPR1" s="920" t="s">
        <v>475</v>
      </c>
      <c r="LPV1" s="922"/>
      <c r="LPZ1" s="920" t="s">
        <v>475</v>
      </c>
      <c r="LQD1" s="922"/>
      <c r="LQH1" s="920" t="s">
        <v>475</v>
      </c>
      <c r="LQL1" s="922"/>
      <c r="LQP1" s="920" t="s">
        <v>475</v>
      </c>
      <c r="LQT1" s="922"/>
      <c r="LQX1" s="920" t="s">
        <v>475</v>
      </c>
      <c r="LRB1" s="922"/>
      <c r="LRF1" s="920" t="s">
        <v>475</v>
      </c>
      <c r="LRJ1" s="922"/>
      <c r="LRN1" s="920" t="s">
        <v>475</v>
      </c>
      <c r="LRR1" s="922"/>
      <c r="LRV1" s="920" t="s">
        <v>475</v>
      </c>
      <c r="LRZ1" s="922"/>
      <c r="LSD1" s="920" t="s">
        <v>475</v>
      </c>
      <c r="LSH1" s="922"/>
      <c r="LSL1" s="920" t="s">
        <v>475</v>
      </c>
      <c r="LSP1" s="922"/>
      <c r="LST1" s="920" t="s">
        <v>475</v>
      </c>
      <c r="LSX1" s="922"/>
      <c r="LTB1" s="920" t="s">
        <v>475</v>
      </c>
      <c r="LTF1" s="922"/>
      <c r="LTJ1" s="920" t="s">
        <v>475</v>
      </c>
      <c r="LTN1" s="922"/>
      <c r="LTR1" s="920" t="s">
        <v>475</v>
      </c>
      <c r="LTV1" s="922"/>
      <c r="LTZ1" s="920" t="s">
        <v>475</v>
      </c>
      <c r="LUD1" s="922"/>
      <c r="LUH1" s="920" t="s">
        <v>475</v>
      </c>
      <c r="LUL1" s="922"/>
      <c r="LUP1" s="920" t="s">
        <v>475</v>
      </c>
      <c r="LUT1" s="922"/>
      <c r="LUX1" s="920" t="s">
        <v>475</v>
      </c>
      <c r="LVB1" s="922"/>
      <c r="LVF1" s="920" t="s">
        <v>475</v>
      </c>
      <c r="LVJ1" s="922"/>
      <c r="LVN1" s="920" t="s">
        <v>475</v>
      </c>
      <c r="LVR1" s="922"/>
      <c r="LVV1" s="920" t="s">
        <v>475</v>
      </c>
      <c r="LVZ1" s="922"/>
      <c r="LWD1" s="920" t="s">
        <v>475</v>
      </c>
      <c r="LWH1" s="922"/>
      <c r="LWL1" s="920" t="s">
        <v>475</v>
      </c>
      <c r="LWP1" s="922"/>
      <c r="LWT1" s="920" t="s">
        <v>475</v>
      </c>
      <c r="LWX1" s="922"/>
      <c r="LXB1" s="920" t="s">
        <v>475</v>
      </c>
      <c r="LXF1" s="922"/>
      <c r="LXJ1" s="920" t="s">
        <v>475</v>
      </c>
      <c r="LXN1" s="922"/>
      <c r="LXR1" s="920" t="s">
        <v>475</v>
      </c>
      <c r="LXV1" s="922"/>
      <c r="LXZ1" s="920" t="s">
        <v>475</v>
      </c>
      <c r="LYD1" s="922"/>
      <c r="LYH1" s="920" t="s">
        <v>475</v>
      </c>
      <c r="LYL1" s="922"/>
      <c r="LYP1" s="920" t="s">
        <v>475</v>
      </c>
      <c r="LYT1" s="922"/>
      <c r="LYX1" s="920" t="s">
        <v>475</v>
      </c>
      <c r="LZB1" s="922"/>
      <c r="LZF1" s="920" t="s">
        <v>475</v>
      </c>
      <c r="LZJ1" s="922"/>
      <c r="LZN1" s="920" t="s">
        <v>475</v>
      </c>
      <c r="LZR1" s="922"/>
      <c r="LZV1" s="920" t="s">
        <v>475</v>
      </c>
      <c r="LZZ1" s="922"/>
      <c r="MAD1" s="920" t="s">
        <v>475</v>
      </c>
      <c r="MAH1" s="922"/>
      <c r="MAL1" s="920" t="s">
        <v>475</v>
      </c>
      <c r="MAP1" s="922"/>
      <c r="MAT1" s="920" t="s">
        <v>475</v>
      </c>
      <c r="MAX1" s="922"/>
      <c r="MBB1" s="920" t="s">
        <v>475</v>
      </c>
      <c r="MBF1" s="922"/>
      <c r="MBJ1" s="920" t="s">
        <v>475</v>
      </c>
      <c r="MBN1" s="922"/>
      <c r="MBR1" s="920" t="s">
        <v>475</v>
      </c>
      <c r="MBV1" s="922"/>
      <c r="MBZ1" s="920" t="s">
        <v>475</v>
      </c>
      <c r="MCD1" s="922"/>
      <c r="MCH1" s="920" t="s">
        <v>475</v>
      </c>
      <c r="MCL1" s="922"/>
      <c r="MCP1" s="920" t="s">
        <v>475</v>
      </c>
      <c r="MCT1" s="922"/>
      <c r="MCX1" s="920" t="s">
        <v>475</v>
      </c>
      <c r="MDB1" s="922"/>
      <c r="MDF1" s="920" t="s">
        <v>475</v>
      </c>
      <c r="MDJ1" s="922"/>
      <c r="MDN1" s="920" t="s">
        <v>475</v>
      </c>
      <c r="MDR1" s="922"/>
      <c r="MDV1" s="920" t="s">
        <v>475</v>
      </c>
      <c r="MDZ1" s="922"/>
      <c r="MED1" s="920" t="s">
        <v>475</v>
      </c>
      <c r="MEH1" s="922"/>
      <c r="MEL1" s="920" t="s">
        <v>475</v>
      </c>
      <c r="MEP1" s="922"/>
      <c r="MET1" s="920" t="s">
        <v>475</v>
      </c>
      <c r="MEX1" s="922"/>
      <c r="MFB1" s="920" t="s">
        <v>475</v>
      </c>
      <c r="MFF1" s="922"/>
      <c r="MFJ1" s="920" t="s">
        <v>475</v>
      </c>
      <c r="MFN1" s="922"/>
      <c r="MFR1" s="920" t="s">
        <v>475</v>
      </c>
      <c r="MFV1" s="922"/>
      <c r="MFZ1" s="920" t="s">
        <v>475</v>
      </c>
      <c r="MGD1" s="922"/>
      <c r="MGH1" s="920" t="s">
        <v>475</v>
      </c>
      <c r="MGL1" s="922"/>
      <c r="MGP1" s="920" t="s">
        <v>475</v>
      </c>
      <c r="MGT1" s="922"/>
      <c r="MGX1" s="920" t="s">
        <v>475</v>
      </c>
      <c r="MHB1" s="922"/>
      <c r="MHF1" s="920" t="s">
        <v>475</v>
      </c>
      <c r="MHJ1" s="922"/>
      <c r="MHN1" s="920" t="s">
        <v>475</v>
      </c>
      <c r="MHR1" s="922"/>
      <c r="MHV1" s="920" t="s">
        <v>475</v>
      </c>
      <c r="MHZ1" s="922"/>
      <c r="MID1" s="920" t="s">
        <v>475</v>
      </c>
      <c r="MIH1" s="922"/>
      <c r="MIL1" s="920" t="s">
        <v>475</v>
      </c>
      <c r="MIP1" s="922"/>
      <c r="MIT1" s="920" t="s">
        <v>475</v>
      </c>
      <c r="MIX1" s="922"/>
      <c r="MJB1" s="920" t="s">
        <v>475</v>
      </c>
      <c r="MJF1" s="922"/>
      <c r="MJJ1" s="920" t="s">
        <v>475</v>
      </c>
      <c r="MJN1" s="922"/>
      <c r="MJR1" s="920" t="s">
        <v>475</v>
      </c>
      <c r="MJV1" s="922"/>
      <c r="MJZ1" s="920" t="s">
        <v>475</v>
      </c>
      <c r="MKD1" s="922"/>
      <c r="MKH1" s="920" t="s">
        <v>475</v>
      </c>
      <c r="MKL1" s="922"/>
      <c r="MKP1" s="920" t="s">
        <v>475</v>
      </c>
      <c r="MKT1" s="922"/>
      <c r="MKX1" s="920" t="s">
        <v>475</v>
      </c>
      <c r="MLB1" s="922"/>
      <c r="MLF1" s="920" t="s">
        <v>475</v>
      </c>
      <c r="MLJ1" s="922"/>
      <c r="MLN1" s="920" t="s">
        <v>475</v>
      </c>
      <c r="MLR1" s="922"/>
      <c r="MLV1" s="920" t="s">
        <v>475</v>
      </c>
      <c r="MLZ1" s="922"/>
      <c r="MMD1" s="920" t="s">
        <v>475</v>
      </c>
      <c r="MMH1" s="922"/>
      <c r="MML1" s="920" t="s">
        <v>475</v>
      </c>
      <c r="MMP1" s="922"/>
      <c r="MMT1" s="920" t="s">
        <v>475</v>
      </c>
      <c r="MMX1" s="922"/>
      <c r="MNB1" s="920" t="s">
        <v>475</v>
      </c>
      <c r="MNF1" s="922"/>
      <c r="MNJ1" s="920" t="s">
        <v>475</v>
      </c>
      <c r="MNN1" s="922"/>
      <c r="MNR1" s="920" t="s">
        <v>475</v>
      </c>
      <c r="MNV1" s="922"/>
      <c r="MNZ1" s="920" t="s">
        <v>475</v>
      </c>
      <c r="MOD1" s="922"/>
      <c r="MOH1" s="920" t="s">
        <v>475</v>
      </c>
      <c r="MOL1" s="922"/>
      <c r="MOP1" s="920" t="s">
        <v>475</v>
      </c>
      <c r="MOT1" s="922"/>
      <c r="MOX1" s="920" t="s">
        <v>475</v>
      </c>
      <c r="MPB1" s="922"/>
      <c r="MPF1" s="920" t="s">
        <v>475</v>
      </c>
      <c r="MPJ1" s="922"/>
      <c r="MPN1" s="920" t="s">
        <v>475</v>
      </c>
      <c r="MPR1" s="922"/>
      <c r="MPV1" s="920" t="s">
        <v>475</v>
      </c>
      <c r="MPZ1" s="922"/>
      <c r="MQD1" s="920" t="s">
        <v>475</v>
      </c>
      <c r="MQH1" s="922"/>
      <c r="MQL1" s="920" t="s">
        <v>475</v>
      </c>
      <c r="MQP1" s="922"/>
      <c r="MQT1" s="920" t="s">
        <v>475</v>
      </c>
      <c r="MQX1" s="922"/>
      <c r="MRB1" s="920" t="s">
        <v>475</v>
      </c>
      <c r="MRF1" s="922"/>
      <c r="MRJ1" s="920" t="s">
        <v>475</v>
      </c>
      <c r="MRN1" s="922"/>
      <c r="MRR1" s="920" t="s">
        <v>475</v>
      </c>
      <c r="MRV1" s="922"/>
      <c r="MRZ1" s="920" t="s">
        <v>475</v>
      </c>
      <c r="MSD1" s="922"/>
      <c r="MSH1" s="920" t="s">
        <v>475</v>
      </c>
      <c r="MSL1" s="922"/>
      <c r="MSP1" s="920" t="s">
        <v>475</v>
      </c>
      <c r="MST1" s="922"/>
      <c r="MSX1" s="920" t="s">
        <v>475</v>
      </c>
      <c r="MTB1" s="922"/>
      <c r="MTF1" s="920" t="s">
        <v>475</v>
      </c>
      <c r="MTJ1" s="922"/>
      <c r="MTN1" s="920" t="s">
        <v>475</v>
      </c>
      <c r="MTR1" s="922"/>
      <c r="MTV1" s="920" t="s">
        <v>475</v>
      </c>
      <c r="MTZ1" s="922"/>
      <c r="MUD1" s="920" t="s">
        <v>475</v>
      </c>
      <c r="MUH1" s="922"/>
      <c r="MUL1" s="920" t="s">
        <v>475</v>
      </c>
      <c r="MUP1" s="922"/>
      <c r="MUT1" s="920" t="s">
        <v>475</v>
      </c>
      <c r="MUX1" s="922"/>
      <c r="MVB1" s="920" t="s">
        <v>475</v>
      </c>
      <c r="MVF1" s="922"/>
      <c r="MVJ1" s="920" t="s">
        <v>475</v>
      </c>
      <c r="MVN1" s="922"/>
      <c r="MVR1" s="920" t="s">
        <v>475</v>
      </c>
      <c r="MVV1" s="922"/>
      <c r="MVZ1" s="920" t="s">
        <v>475</v>
      </c>
      <c r="MWD1" s="922"/>
      <c r="MWH1" s="920" t="s">
        <v>475</v>
      </c>
      <c r="MWL1" s="922"/>
      <c r="MWP1" s="920" t="s">
        <v>475</v>
      </c>
      <c r="MWT1" s="922"/>
      <c r="MWX1" s="920" t="s">
        <v>475</v>
      </c>
      <c r="MXB1" s="922"/>
      <c r="MXF1" s="920" t="s">
        <v>475</v>
      </c>
      <c r="MXJ1" s="922"/>
      <c r="MXN1" s="920" t="s">
        <v>475</v>
      </c>
      <c r="MXR1" s="922"/>
      <c r="MXV1" s="920" t="s">
        <v>475</v>
      </c>
      <c r="MXZ1" s="922"/>
      <c r="MYD1" s="920" t="s">
        <v>475</v>
      </c>
      <c r="MYH1" s="922"/>
      <c r="MYL1" s="920" t="s">
        <v>475</v>
      </c>
      <c r="MYP1" s="922"/>
      <c r="MYT1" s="920" t="s">
        <v>475</v>
      </c>
      <c r="MYX1" s="922"/>
      <c r="MZB1" s="920" t="s">
        <v>475</v>
      </c>
      <c r="MZF1" s="922"/>
      <c r="MZJ1" s="920" t="s">
        <v>475</v>
      </c>
      <c r="MZN1" s="922"/>
      <c r="MZR1" s="920" t="s">
        <v>475</v>
      </c>
      <c r="MZV1" s="922"/>
      <c r="MZZ1" s="920" t="s">
        <v>475</v>
      </c>
      <c r="NAD1" s="922"/>
      <c r="NAH1" s="920" t="s">
        <v>475</v>
      </c>
      <c r="NAL1" s="922"/>
      <c r="NAP1" s="920" t="s">
        <v>475</v>
      </c>
      <c r="NAT1" s="922"/>
      <c r="NAX1" s="920" t="s">
        <v>475</v>
      </c>
      <c r="NBB1" s="922"/>
      <c r="NBF1" s="920" t="s">
        <v>475</v>
      </c>
      <c r="NBJ1" s="922"/>
      <c r="NBN1" s="920" t="s">
        <v>475</v>
      </c>
      <c r="NBR1" s="922"/>
      <c r="NBV1" s="920" t="s">
        <v>475</v>
      </c>
      <c r="NBZ1" s="922"/>
      <c r="NCD1" s="920" t="s">
        <v>475</v>
      </c>
      <c r="NCH1" s="922"/>
      <c r="NCL1" s="920" t="s">
        <v>475</v>
      </c>
      <c r="NCP1" s="922"/>
      <c r="NCT1" s="920" t="s">
        <v>475</v>
      </c>
      <c r="NCX1" s="922"/>
      <c r="NDB1" s="920" t="s">
        <v>475</v>
      </c>
      <c r="NDF1" s="922"/>
      <c r="NDJ1" s="920" t="s">
        <v>475</v>
      </c>
      <c r="NDN1" s="922"/>
      <c r="NDR1" s="920" t="s">
        <v>475</v>
      </c>
      <c r="NDV1" s="922"/>
      <c r="NDZ1" s="920" t="s">
        <v>475</v>
      </c>
      <c r="NED1" s="922"/>
      <c r="NEH1" s="920" t="s">
        <v>475</v>
      </c>
      <c r="NEL1" s="922"/>
      <c r="NEP1" s="920" t="s">
        <v>475</v>
      </c>
      <c r="NET1" s="922"/>
      <c r="NEX1" s="920" t="s">
        <v>475</v>
      </c>
      <c r="NFB1" s="922"/>
      <c r="NFF1" s="920" t="s">
        <v>475</v>
      </c>
      <c r="NFJ1" s="922"/>
      <c r="NFN1" s="920" t="s">
        <v>475</v>
      </c>
      <c r="NFR1" s="922"/>
      <c r="NFV1" s="920" t="s">
        <v>475</v>
      </c>
      <c r="NFZ1" s="922"/>
      <c r="NGD1" s="920" t="s">
        <v>475</v>
      </c>
      <c r="NGH1" s="922"/>
      <c r="NGL1" s="920" t="s">
        <v>475</v>
      </c>
      <c r="NGP1" s="922"/>
      <c r="NGT1" s="920" t="s">
        <v>475</v>
      </c>
      <c r="NGX1" s="922"/>
      <c r="NHB1" s="920" t="s">
        <v>475</v>
      </c>
      <c r="NHF1" s="922"/>
      <c r="NHJ1" s="920" t="s">
        <v>475</v>
      </c>
      <c r="NHN1" s="922"/>
      <c r="NHR1" s="920" t="s">
        <v>475</v>
      </c>
      <c r="NHV1" s="922"/>
      <c r="NHZ1" s="920" t="s">
        <v>475</v>
      </c>
      <c r="NID1" s="922"/>
      <c r="NIH1" s="920" t="s">
        <v>475</v>
      </c>
      <c r="NIL1" s="922"/>
      <c r="NIP1" s="920" t="s">
        <v>475</v>
      </c>
      <c r="NIT1" s="922"/>
      <c r="NIX1" s="920" t="s">
        <v>475</v>
      </c>
      <c r="NJB1" s="922"/>
      <c r="NJF1" s="920" t="s">
        <v>475</v>
      </c>
      <c r="NJJ1" s="922"/>
      <c r="NJN1" s="920" t="s">
        <v>475</v>
      </c>
      <c r="NJR1" s="922"/>
      <c r="NJV1" s="920" t="s">
        <v>475</v>
      </c>
      <c r="NJZ1" s="922"/>
      <c r="NKD1" s="920" t="s">
        <v>475</v>
      </c>
      <c r="NKH1" s="922"/>
      <c r="NKL1" s="920" t="s">
        <v>475</v>
      </c>
      <c r="NKP1" s="922"/>
      <c r="NKT1" s="920" t="s">
        <v>475</v>
      </c>
      <c r="NKX1" s="922"/>
      <c r="NLB1" s="920" t="s">
        <v>475</v>
      </c>
      <c r="NLF1" s="922"/>
      <c r="NLJ1" s="920" t="s">
        <v>475</v>
      </c>
      <c r="NLN1" s="922"/>
      <c r="NLR1" s="920" t="s">
        <v>475</v>
      </c>
      <c r="NLV1" s="922"/>
      <c r="NLZ1" s="920" t="s">
        <v>475</v>
      </c>
      <c r="NMD1" s="922"/>
      <c r="NMH1" s="920" t="s">
        <v>475</v>
      </c>
      <c r="NML1" s="922"/>
      <c r="NMP1" s="920" t="s">
        <v>475</v>
      </c>
      <c r="NMT1" s="922"/>
      <c r="NMX1" s="920" t="s">
        <v>475</v>
      </c>
      <c r="NNB1" s="922"/>
      <c r="NNF1" s="920" t="s">
        <v>475</v>
      </c>
      <c r="NNJ1" s="922"/>
      <c r="NNN1" s="920" t="s">
        <v>475</v>
      </c>
      <c r="NNR1" s="922"/>
      <c r="NNV1" s="920" t="s">
        <v>475</v>
      </c>
      <c r="NNZ1" s="922"/>
      <c r="NOD1" s="920" t="s">
        <v>475</v>
      </c>
      <c r="NOH1" s="922"/>
      <c r="NOL1" s="920" t="s">
        <v>475</v>
      </c>
      <c r="NOP1" s="922"/>
      <c r="NOT1" s="920" t="s">
        <v>475</v>
      </c>
      <c r="NOX1" s="922"/>
      <c r="NPB1" s="920" t="s">
        <v>475</v>
      </c>
      <c r="NPF1" s="922"/>
      <c r="NPJ1" s="920" t="s">
        <v>475</v>
      </c>
      <c r="NPN1" s="922"/>
      <c r="NPR1" s="920" t="s">
        <v>475</v>
      </c>
      <c r="NPV1" s="922"/>
      <c r="NPZ1" s="920" t="s">
        <v>475</v>
      </c>
      <c r="NQD1" s="922"/>
      <c r="NQH1" s="920" t="s">
        <v>475</v>
      </c>
      <c r="NQL1" s="922"/>
      <c r="NQP1" s="920" t="s">
        <v>475</v>
      </c>
      <c r="NQT1" s="922"/>
      <c r="NQX1" s="920" t="s">
        <v>475</v>
      </c>
      <c r="NRB1" s="922"/>
      <c r="NRF1" s="920" t="s">
        <v>475</v>
      </c>
      <c r="NRJ1" s="922"/>
      <c r="NRN1" s="920" t="s">
        <v>475</v>
      </c>
      <c r="NRR1" s="922"/>
      <c r="NRV1" s="920" t="s">
        <v>475</v>
      </c>
      <c r="NRZ1" s="922"/>
      <c r="NSD1" s="920" t="s">
        <v>475</v>
      </c>
      <c r="NSH1" s="922"/>
      <c r="NSL1" s="920" t="s">
        <v>475</v>
      </c>
      <c r="NSP1" s="922"/>
      <c r="NST1" s="920" t="s">
        <v>475</v>
      </c>
      <c r="NSX1" s="922"/>
      <c r="NTB1" s="920" t="s">
        <v>475</v>
      </c>
      <c r="NTF1" s="922"/>
      <c r="NTJ1" s="920" t="s">
        <v>475</v>
      </c>
      <c r="NTN1" s="922"/>
      <c r="NTR1" s="920" t="s">
        <v>475</v>
      </c>
      <c r="NTV1" s="922"/>
      <c r="NTZ1" s="920" t="s">
        <v>475</v>
      </c>
      <c r="NUD1" s="922"/>
      <c r="NUH1" s="920" t="s">
        <v>475</v>
      </c>
      <c r="NUL1" s="922"/>
      <c r="NUP1" s="920" t="s">
        <v>475</v>
      </c>
      <c r="NUT1" s="922"/>
      <c r="NUX1" s="920" t="s">
        <v>475</v>
      </c>
      <c r="NVB1" s="922"/>
      <c r="NVF1" s="920" t="s">
        <v>475</v>
      </c>
      <c r="NVJ1" s="922"/>
      <c r="NVN1" s="920" t="s">
        <v>475</v>
      </c>
      <c r="NVR1" s="922"/>
      <c r="NVV1" s="920" t="s">
        <v>475</v>
      </c>
      <c r="NVZ1" s="922"/>
      <c r="NWD1" s="920" t="s">
        <v>475</v>
      </c>
      <c r="NWH1" s="922"/>
      <c r="NWL1" s="920" t="s">
        <v>475</v>
      </c>
      <c r="NWP1" s="922"/>
      <c r="NWT1" s="920" t="s">
        <v>475</v>
      </c>
      <c r="NWX1" s="922"/>
      <c r="NXB1" s="920" t="s">
        <v>475</v>
      </c>
      <c r="NXF1" s="922"/>
      <c r="NXJ1" s="920" t="s">
        <v>475</v>
      </c>
      <c r="NXN1" s="922"/>
      <c r="NXR1" s="920" t="s">
        <v>475</v>
      </c>
      <c r="NXV1" s="922"/>
      <c r="NXZ1" s="920" t="s">
        <v>475</v>
      </c>
      <c r="NYD1" s="922"/>
      <c r="NYH1" s="920" t="s">
        <v>475</v>
      </c>
      <c r="NYL1" s="922"/>
      <c r="NYP1" s="920" t="s">
        <v>475</v>
      </c>
      <c r="NYT1" s="922"/>
      <c r="NYX1" s="920" t="s">
        <v>475</v>
      </c>
      <c r="NZB1" s="922"/>
      <c r="NZF1" s="920" t="s">
        <v>475</v>
      </c>
      <c r="NZJ1" s="922"/>
      <c r="NZN1" s="920" t="s">
        <v>475</v>
      </c>
      <c r="NZR1" s="922"/>
      <c r="NZV1" s="920" t="s">
        <v>475</v>
      </c>
      <c r="NZZ1" s="922"/>
      <c r="OAD1" s="920" t="s">
        <v>475</v>
      </c>
      <c r="OAH1" s="922"/>
      <c r="OAL1" s="920" t="s">
        <v>475</v>
      </c>
      <c r="OAP1" s="922"/>
      <c r="OAT1" s="920" t="s">
        <v>475</v>
      </c>
      <c r="OAX1" s="922"/>
      <c r="OBB1" s="920" t="s">
        <v>475</v>
      </c>
      <c r="OBF1" s="922"/>
      <c r="OBJ1" s="920" t="s">
        <v>475</v>
      </c>
      <c r="OBN1" s="922"/>
      <c r="OBR1" s="920" t="s">
        <v>475</v>
      </c>
      <c r="OBV1" s="922"/>
      <c r="OBZ1" s="920" t="s">
        <v>475</v>
      </c>
      <c r="OCD1" s="922"/>
      <c r="OCH1" s="920" t="s">
        <v>475</v>
      </c>
      <c r="OCL1" s="922"/>
      <c r="OCP1" s="920" t="s">
        <v>475</v>
      </c>
      <c r="OCT1" s="922"/>
      <c r="OCX1" s="920" t="s">
        <v>475</v>
      </c>
      <c r="ODB1" s="922"/>
      <c r="ODF1" s="920" t="s">
        <v>475</v>
      </c>
      <c r="ODJ1" s="922"/>
      <c r="ODN1" s="920" t="s">
        <v>475</v>
      </c>
      <c r="ODR1" s="922"/>
      <c r="ODV1" s="920" t="s">
        <v>475</v>
      </c>
      <c r="ODZ1" s="922"/>
      <c r="OED1" s="920" t="s">
        <v>475</v>
      </c>
      <c r="OEH1" s="922"/>
      <c r="OEL1" s="920" t="s">
        <v>475</v>
      </c>
      <c r="OEP1" s="922"/>
      <c r="OET1" s="920" t="s">
        <v>475</v>
      </c>
      <c r="OEX1" s="922"/>
      <c r="OFB1" s="920" t="s">
        <v>475</v>
      </c>
      <c r="OFF1" s="922"/>
      <c r="OFJ1" s="920" t="s">
        <v>475</v>
      </c>
      <c r="OFN1" s="922"/>
      <c r="OFR1" s="920" t="s">
        <v>475</v>
      </c>
      <c r="OFV1" s="922"/>
      <c r="OFZ1" s="920" t="s">
        <v>475</v>
      </c>
      <c r="OGD1" s="922"/>
      <c r="OGH1" s="920" t="s">
        <v>475</v>
      </c>
      <c r="OGL1" s="922"/>
      <c r="OGP1" s="920" t="s">
        <v>475</v>
      </c>
      <c r="OGT1" s="922"/>
      <c r="OGX1" s="920" t="s">
        <v>475</v>
      </c>
      <c r="OHB1" s="922"/>
      <c r="OHF1" s="920" t="s">
        <v>475</v>
      </c>
      <c r="OHJ1" s="922"/>
      <c r="OHN1" s="920" t="s">
        <v>475</v>
      </c>
      <c r="OHR1" s="922"/>
      <c r="OHV1" s="920" t="s">
        <v>475</v>
      </c>
      <c r="OHZ1" s="922"/>
      <c r="OID1" s="920" t="s">
        <v>475</v>
      </c>
      <c r="OIH1" s="922"/>
      <c r="OIL1" s="920" t="s">
        <v>475</v>
      </c>
      <c r="OIP1" s="922"/>
      <c r="OIT1" s="920" t="s">
        <v>475</v>
      </c>
      <c r="OIX1" s="922"/>
      <c r="OJB1" s="920" t="s">
        <v>475</v>
      </c>
      <c r="OJF1" s="922"/>
      <c r="OJJ1" s="920" t="s">
        <v>475</v>
      </c>
      <c r="OJN1" s="922"/>
      <c r="OJR1" s="920" t="s">
        <v>475</v>
      </c>
      <c r="OJV1" s="922"/>
      <c r="OJZ1" s="920" t="s">
        <v>475</v>
      </c>
      <c r="OKD1" s="922"/>
      <c r="OKH1" s="920" t="s">
        <v>475</v>
      </c>
      <c r="OKL1" s="922"/>
      <c r="OKP1" s="920" t="s">
        <v>475</v>
      </c>
      <c r="OKT1" s="922"/>
      <c r="OKX1" s="920" t="s">
        <v>475</v>
      </c>
      <c r="OLB1" s="922"/>
      <c r="OLF1" s="920" t="s">
        <v>475</v>
      </c>
      <c r="OLJ1" s="922"/>
      <c r="OLN1" s="920" t="s">
        <v>475</v>
      </c>
      <c r="OLR1" s="922"/>
      <c r="OLV1" s="920" t="s">
        <v>475</v>
      </c>
      <c r="OLZ1" s="922"/>
      <c r="OMD1" s="920" t="s">
        <v>475</v>
      </c>
      <c r="OMH1" s="922"/>
      <c r="OML1" s="920" t="s">
        <v>475</v>
      </c>
      <c r="OMP1" s="922"/>
      <c r="OMT1" s="920" t="s">
        <v>475</v>
      </c>
      <c r="OMX1" s="922"/>
      <c r="ONB1" s="920" t="s">
        <v>475</v>
      </c>
      <c r="ONF1" s="922"/>
      <c r="ONJ1" s="920" t="s">
        <v>475</v>
      </c>
      <c r="ONN1" s="922"/>
      <c r="ONR1" s="920" t="s">
        <v>475</v>
      </c>
      <c r="ONV1" s="922"/>
      <c r="ONZ1" s="920" t="s">
        <v>475</v>
      </c>
      <c r="OOD1" s="922"/>
      <c r="OOH1" s="920" t="s">
        <v>475</v>
      </c>
      <c r="OOL1" s="922"/>
      <c r="OOP1" s="920" t="s">
        <v>475</v>
      </c>
      <c r="OOT1" s="922"/>
      <c r="OOX1" s="920" t="s">
        <v>475</v>
      </c>
      <c r="OPB1" s="922"/>
      <c r="OPF1" s="920" t="s">
        <v>475</v>
      </c>
      <c r="OPJ1" s="922"/>
      <c r="OPN1" s="920" t="s">
        <v>475</v>
      </c>
      <c r="OPR1" s="922"/>
      <c r="OPV1" s="920" t="s">
        <v>475</v>
      </c>
      <c r="OPZ1" s="922"/>
      <c r="OQD1" s="920" t="s">
        <v>475</v>
      </c>
      <c r="OQH1" s="922"/>
      <c r="OQL1" s="920" t="s">
        <v>475</v>
      </c>
      <c r="OQP1" s="922"/>
      <c r="OQT1" s="920" t="s">
        <v>475</v>
      </c>
      <c r="OQX1" s="922"/>
      <c r="ORB1" s="920" t="s">
        <v>475</v>
      </c>
      <c r="ORF1" s="922"/>
      <c r="ORJ1" s="920" t="s">
        <v>475</v>
      </c>
      <c r="ORN1" s="922"/>
      <c r="ORR1" s="920" t="s">
        <v>475</v>
      </c>
      <c r="ORV1" s="922"/>
      <c r="ORZ1" s="920" t="s">
        <v>475</v>
      </c>
      <c r="OSD1" s="922"/>
      <c r="OSH1" s="920" t="s">
        <v>475</v>
      </c>
      <c r="OSL1" s="922"/>
      <c r="OSP1" s="920" t="s">
        <v>475</v>
      </c>
      <c r="OST1" s="922"/>
      <c r="OSX1" s="920" t="s">
        <v>475</v>
      </c>
      <c r="OTB1" s="922"/>
      <c r="OTF1" s="920" t="s">
        <v>475</v>
      </c>
      <c r="OTJ1" s="922"/>
      <c r="OTN1" s="920" t="s">
        <v>475</v>
      </c>
      <c r="OTR1" s="922"/>
      <c r="OTV1" s="920" t="s">
        <v>475</v>
      </c>
      <c r="OTZ1" s="922"/>
      <c r="OUD1" s="920" t="s">
        <v>475</v>
      </c>
      <c r="OUH1" s="922"/>
      <c r="OUL1" s="920" t="s">
        <v>475</v>
      </c>
      <c r="OUP1" s="922"/>
      <c r="OUT1" s="920" t="s">
        <v>475</v>
      </c>
      <c r="OUX1" s="922"/>
      <c r="OVB1" s="920" t="s">
        <v>475</v>
      </c>
      <c r="OVF1" s="922"/>
      <c r="OVJ1" s="920" t="s">
        <v>475</v>
      </c>
      <c r="OVN1" s="922"/>
      <c r="OVR1" s="920" t="s">
        <v>475</v>
      </c>
      <c r="OVV1" s="922"/>
      <c r="OVZ1" s="920" t="s">
        <v>475</v>
      </c>
      <c r="OWD1" s="922"/>
      <c r="OWH1" s="920" t="s">
        <v>475</v>
      </c>
      <c r="OWL1" s="922"/>
      <c r="OWP1" s="920" t="s">
        <v>475</v>
      </c>
      <c r="OWT1" s="922"/>
      <c r="OWX1" s="920" t="s">
        <v>475</v>
      </c>
      <c r="OXB1" s="922"/>
      <c r="OXF1" s="920" t="s">
        <v>475</v>
      </c>
      <c r="OXJ1" s="922"/>
      <c r="OXN1" s="920" t="s">
        <v>475</v>
      </c>
      <c r="OXR1" s="922"/>
      <c r="OXV1" s="920" t="s">
        <v>475</v>
      </c>
      <c r="OXZ1" s="922"/>
      <c r="OYD1" s="920" t="s">
        <v>475</v>
      </c>
      <c r="OYH1" s="922"/>
      <c r="OYL1" s="920" t="s">
        <v>475</v>
      </c>
      <c r="OYP1" s="922"/>
      <c r="OYT1" s="920" t="s">
        <v>475</v>
      </c>
      <c r="OYX1" s="922"/>
      <c r="OZB1" s="920" t="s">
        <v>475</v>
      </c>
      <c r="OZF1" s="922"/>
      <c r="OZJ1" s="920" t="s">
        <v>475</v>
      </c>
      <c r="OZN1" s="922"/>
      <c r="OZR1" s="920" t="s">
        <v>475</v>
      </c>
      <c r="OZV1" s="922"/>
      <c r="OZZ1" s="920" t="s">
        <v>475</v>
      </c>
      <c r="PAD1" s="922"/>
      <c r="PAH1" s="920" t="s">
        <v>475</v>
      </c>
      <c r="PAL1" s="922"/>
      <c r="PAP1" s="920" t="s">
        <v>475</v>
      </c>
      <c r="PAT1" s="922"/>
      <c r="PAX1" s="920" t="s">
        <v>475</v>
      </c>
      <c r="PBB1" s="922"/>
      <c r="PBF1" s="920" t="s">
        <v>475</v>
      </c>
      <c r="PBJ1" s="922"/>
      <c r="PBN1" s="920" t="s">
        <v>475</v>
      </c>
      <c r="PBR1" s="922"/>
      <c r="PBV1" s="920" t="s">
        <v>475</v>
      </c>
      <c r="PBZ1" s="922"/>
      <c r="PCD1" s="920" t="s">
        <v>475</v>
      </c>
      <c r="PCH1" s="922"/>
      <c r="PCL1" s="920" t="s">
        <v>475</v>
      </c>
      <c r="PCP1" s="922"/>
      <c r="PCT1" s="920" t="s">
        <v>475</v>
      </c>
      <c r="PCX1" s="922"/>
      <c r="PDB1" s="920" t="s">
        <v>475</v>
      </c>
      <c r="PDF1" s="922"/>
      <c r="PDJ1" s="920" t="s">
        <v>475</v>
      </c>
      <c r="PDN1" s="922"/>
      <c r="PDR1" s="920" t="s">
        <v>475</v>
      </c>
      <c r="PDV1" s="922"/>
      <c r="PDZ1" s="920" t="s">
        <v>475</v>
      </c>
      <c r="PED1" s="922"/>
      <c r="PEH1" s="920" t="s">
        <v>475</v>
      </c>
      <c r="PEL1" s="922"/>
      <c r="PEP1" s="920" t="s">
        <v>475</v>
      </c>
      <c r="PET1" s="922"/>
      <c r="PEX1" s="920" t="s">
        <v>475</v>
      </c>
      <c r="PFB1" s="922"/>
      <c r="PFF1" s="920" t="s">
        <v>475</v>
      </c>
      <c r="PFJ1" s="922"/>
      <c r="PFN1" s="920" t="s">
        <v>475</v>
      </c>
      <c r="PFR1" s="922"/>
      <c r="PFV1" s="920" t="s">
        <v>475</v>
      </c>
      <c r="PFZ1" s="922"/>
      <c r="PGD1" s="920" t="s">
        <v>475</v>
      </c>
      <c r="PGH1" s="922"/>
      <c r="PGL1" s="920" t="s">
        <v>475</v>
      </c>
      <c r="PGP1" s="922"/>
      <c r="PGT1" s="920" t="s">
        <v>475</v>
      </c>
      <c r="PGX1" s="922"/>
      <c r="PHB1" s="920" t="s">
        <v>475</v>
      </c>
      <c r="PHF1" s="922"/>
      <c r="PHJ1" s="920" t="s">
        <v>475</v>
      </c>
      <c r="PHN1" s="922"/>
      <c r="PHR1" s="920" t="s">
        <v>475</v>
      </c>
      <c r="PHV1" s="922"/>
      <c r="PHZ1" s="920" t="s">
        <v>475</v>
      </c>
      <c r="PID1" s="922"/>
      <c r="PIH1" s="920" t="s">
        <v>475</v>
      </c>
      <c r="PIL1" s="922"/>
      <c r="PIP1" s="920" t="s">
        <v>475</v>
      </c>
      <c r="PIT1" s="922"/>
      <c r="PIX1" s="920" t="s">
        <v>475</v>
      </c>
      <c r="PJB1" s="922"/>
      <c r="PJF1" s="920" t="s">
        <v>475</v>
      </c>
      <c r="PJJ1" s="922"/>
      <c r="PJN1" s="920" t="s">
        <v>475</v>
      </c>
      <c r="PJR1" s="922"/>
      <c r="PJV1" s="920" t="s">
        <v>475</v>
      </c>
      <c r="PJZ1" s="922"/>
      <c r="PKD1" s="920" t="s">
        <v>475</v>
      </c>
      <c r="PKH1" s="922"/>
      <c r="PKL1" s="920" t="s">
        <v>475</v>
      </c>
      <c r="PKP1" s="922"/>
      <c r="PKT1" s="920" t="s">
        <v>475</v>
      </c>
      <c r="PKX1" s="922"/>
      <c r="PLB1" s="920" t="s">
        <v>475</v>
      </c>
      <c r="PLF1" s="922"/>
      <c r="PLJ1" s="920" t="s">
        <v>475</v>
      </c>
      <c r="PLN1" s="922"/>
      <c r="PLR1" s="920" t="s">
        <v>475</v>
      </c>
      <c r="PLV1" s="922"/>
      <c r="PLZ1" s="920" t="s">
        <v>475</v>
      </c>
      <c r="PMD1" s="922"/>
      <c r="PMH1" s="920" t="s">
        <v>475</v>
      </c>
      <c r="PML1" s="922"/>
      <c r="PMP1" s="920" t="s">
        <v>475</v>
      </c>
      <c r="PMT1" s="922"/>
      <c r="PMX1" s="920" t="s">
        <v>475</v>
      </c>
      <c r="PNB1" s="922"/>
      <c r="PNF1" s="920" t="s">
        <v>475</v>
      </c>
      <c r="PNJ1" s="922"/>
      <c r="PNN1" s="920" t="s">
        <v>475</v>
      </c>
      <c r="PNR1" s="922"/>
      <c r="PNV1" s="920" t="s">
        <v>475</v>
      </c>
      <c r="PNZ1" s="922"/>
      <c r="POD1" s="920" t="s">
        <v>475</v>
      </c>
      <c r="POH1" s="922"/>
      <c r="POL1" s="920" t="s">
        <v>475</v>
      </c>
      <c r="POP1" s="922"/>
      <c r="POT1" s="920" t="s">
        <v>475</v>
      </c>
      <c r="POX1" s="922"/>
      <c r="PPB1" s="920" t="s">
        <v>475</v>
      </c>
      <c r="PPF1" s="922"/>
      <c r="PPJ1" s="920" t="s">
        <v>475</v>
      </c>
      <c r="PPN1" s="922"/>
      <c r="PPR1" s="920" t="s">
        <v>475</v>
      </c>
      <c r="PPV1" s="922"/>
      <c r="PPZ1" s="920" t="s">
        <v>475</v>
      </c>
      <c r="PQD1" s="922"/>
      <c r="PQH1" s="920" t="s">
        <v>475</v>
      </c>
      <c r="PQL1" s="922"/>
      <c r="PQP1" s="920" t="s">
        <v>475</v>
      </c>
      <c r="PQT1" s="922"/>
      <c r="PQX1" s="920" t="s">
        <v>475</v>
      </c>
      <c r="PRB1" s="922"/>
      <c r="PRF1" s="920" t="s">
        <v>475</v>
      </c>
      <c r="PRJ1" s="922"/>
      <c r="PRN1" s="920" t="s">
        <v>475</v>
      </c>
      <c r="PRR1" s="922"/>
      <c r="PRV1" s="920" t="s">
        <v>475</v>
      </c>
      <c r="PRZ1" s="922"/>
      <c r="PSD1" s="920" t="s">
        <v>475</v>
      </c>
      <c r="PSH1" s="922"/>
      <c r="PSL1" s="920" t="s">
        <v>475</v>
      </c>
      <c r="PSP1" s="922"/>
      <c r="PST1" s="920" t="s">
        <v>475</v>
      </c>
      <c r="PSX1" s="922"/>
      <c r="PTB1" s="920" t="s">
        <v>475</v>
      </c>
      <c r="PTF1" s="922"/>
      <c r="PTJ1" s="920" t="s">
        <v>475</v>
      </c>
      <c r="PTN1" s="922"/>
      <c r="PTR1" s="920" t="s">
        <v>475</v>
      </c>
      <c r="PTV1" s="922"/>
      <c r="PTZ1" s="920" t="s">
        <v>475</v>
      </c>
      <c r="PUD1" s="922"/>
      <c r="PUH1" s="920" t="s">
        <v>475</v>
      </c>
      <c r="PUL1" s="922"/>
      <c r="PUP1" s="920" t="s">
        <v>475</v>
      </c>
      <c r="PUT1" s="922"/>
      <c r="PUX1" s="920" t="s">
        <v>475</v>
      </c>
      <c r="PVB1" s="922"/>
      <c r="PVF1" s="920" t="s">
        <v>475</v>
      </c>
      <c r="PVJ1" s="922"/>
      <c r="PVN1" s="920" t="s">
        <v>475</v>
      </c>
      <c r="PVR1" s="922"/>
      <c r="PVV1" s="920" t="s">
        <v>475</v>
      </c>
      <c r="PVZ1" s="922"/>
      <c r="PWD1" s="920" t="s">
        <v>475</v>
      </c>
      <c r="PWH1" s="922"/>
      <c r="PWL1" s="920" t="s">
        <v>475</v>
      </c>
      <c r="PWP1" s="922"/>
      <c r="PWT1" s="920" t="s">
        <v>475</v>
      </c>
      <c r="PWX1" s="922"/>
      <c r="PXB1" s="920" t="s">
        <v>475</v>
      </c>
      <c r="PXF1" s="922"/>
      <c r="PXJ1" s="920" t="s">
        <v>475</v>
      </c>
      <c r="PXN1" s="922"/>
      <c r="PXR1" s="920" t="s">
        <v>475</v>
      </c>
      <c r="PXV1" s="922"/>
      <c r="PXZ1" s="920" t="s">
        <v>475</v>
      </c>
      <c r="PYD1" s="922"/>
      <c r="PYH1" s="920" t="s">
        <v>475</v>
      </c>
      <c r="PYL1" s="922"/>
      <c r="PYP1" s="920" t="s">
        <v>475</v>
      </c>
      <c r="PYT1" s="922"/>
      <c r="PYX1" s="920" t="s">
        <v>475</v>
      </c>
      <c r="PZB1" s="922"/>
      <c r="PZF1" s="920" t="s">
        <v>475</v>
      </c>
      <c r="PZJ1" s="922"/>
      <c r="PZN1" s="920" t="s">
        <v>475</v>
      </c>
      <c r="PZR1" s="922"/>
      <c r="PZV1" s="920" t="s">
        <v>475</v>
      </c>
      <c r="PZZ1" s="922"/>
      <c r="QAD1" s="920" t="s">
        <v>475</v>
      </c>
      <c r="QAH1" s="922"/>
      <c r="QAL1" s="920" t="s">
        <v>475</v>
      </c>
      <c r="QAP1" s="922"/>
      <c r="QAT1" s="920" t="s">
        <v>475</v>
      </c>
      <c r="QAX1" s="922"/>
      <c r="QBB1" s="920" t="s">
        <v>475</v>
      </c>
      <c r="QBF1" s="922"/>
      <c r="QBJ1" s="920" t="s">
        <v>475</v>
      </c>
      <c r="QBN1" s="922"/>
      <c r="QBR1" s="920" t="s">
        <v>475</v>
      </c>
      <c r="QBV1" s="922"/>
      <c r="QBZ1" s="920" t="s">
        <v>475</v>
      </c>
      <c r="QCD1" s="922"/>
      <c r="QCH1" s="920" t="s">
        <v>475</v>
      </c>
      <c r="QCL1" s="922"/>
      <c r="QCP1" s="920" t="s">
        <v>475</v>
      </c>
      <c r="QCT1" s="922"/>
      <c r="QCX1" s="920" t="s">
        <v>475</v>
      </c>
      <c r="QDB1" s="922"/>
      <c r="QDF1" s="920" t="s">
        <v>475</v>
      </c>
      <c r="QDJ1" s="922"/>
      <c r="QDN1" s="920" t="s">
        <v>475</v>
      </c>
      <c r="QDR1" s="922"/>
      <c r="QDV1" s="920" t="s">
        <v>475</v>
      </c>
      <c r="QDZ1" s="922"/>
      <c r="QED1" s="920" t="s">
        <v>475</v>
      </c>
      <c r="QEH1" s="922"/>
      <c r="QEL1" s="920" t="s">
        <v>475</v>
      </c>
      <c r="QEP1" s="922"/>
      <c r="QET1" s="920" t="s">
        <v>475</v>
      </c>
      <c r="QEX1" s="922"/>
      <c r="QFB1" s="920" t="s">
        <v>475</v>
      </c>
      <c r="QFF1" s="922"/>
      <c r="QFJ1" s="920" t="s">
        <v>475</v>
      </c>
      <c r="QFN1" s="922"/>
      <c r="QFR1" s="920" t="s">
        <v>475</v>
      </c>
      <c r="QFV1" s="922"/>
      <c r="QFZ1" s="920" t="s">
        <v>475</v>
      </c>
      <c r="QGD1" s="922"/>
      <c r="QGH1" s="920" t="s">
        <v>475</v>
      </c>
      <c r="QGL1" s="922"/>
      <c r="QGP1" s="920" t="s">
        <v>475</v>
      </c>
      <c r="QGT1" s="922"/>
      <c r="QGX1" s="920" t="s">
        <v>475</v>
      </c>
      <c r="QHB1" s="922"/>
      <c r="QHF1" s="920" t="s">
        <v>475</v>
      </c>
      <c r="QHJ1" s="922"/>
      <c r="QHN1" s="920" t="s">
        <v>475</v>
      </c>
      <c r="QHR1" s="922"/>
      <c r="QHV1" s="920" t="s">
        <v>475</v>
      </c>
      <c r="QHZ1" s="922"/>
      <c r="QID1" s="920" t="s">
        <v>475</v>
      </c>
      <c r="QIH1" s="922"/>
      <c r="QIL1" s="920" t="s">
        <v>475</v>
      </c>
      <c r="QIP1" s="922"/>
      <c r="QIT1" s="920" t="s">
        <v>475</v>
      </c>
      <c r="QIX1" s="922"/>
      <c r="QJB1" s="920" t="s">
        <v>475</v>
      </c>
      <c r="QJF1" s="922"/>
      <c r="QJJ1" s="920" t="s">
        <v>475</v>
      </c>
      <c r="QJN1" s="922"/>
      <c r="QJR1" s="920" t="s">
        <v>475</v>
      </c>
      <c r="QJV1" s="922"/>
      <c r="QJZ1" s="920" t="s">
        <v>475</v>
      </c>
      <c r="QKD1" s="922"/>
      <c r="QKH1" s="920" t="s">
        <v>475</v>
      </c>
      <c r="QKL1" s="922"/>
      <c r="QKP1" s="920" t="s">
        <v>475</v>
      </c>
      <c r="QKT1" s="922"/>
      <c r="QKX1" s="920" t="s">
        <v>475</v>
      </c>
      <c r="QLB1" s="922"/>
      <c r="QLF1" s="920" t="s">
        <v>475</v>
      </c>
      <c r="QLJ1" s="922"/>
      <c r="QLN1" s="920" t="s">
        <v>475</v>
      </c>
      <c r="QLR1" s="922"/>
      <c r="QLV1" s="920" t="s">
        <v>475</v>
      </c>
      <c r="QLZ1" s="922"/>
      <c r="QMD1" s="920" t="s">
        <v>475</v>
      </c>
      <c r="QMH1" s="922"/>
      <c r="QML1" s="920" t="s">
        <v>475</v>
      </c>
      <c r="QMP1" s="922"/>
      <c r="QMT1" s="920" t="s">
        <v>475</v>
      </c>
      <c r="QMX1" s="922"/>
      <c r="QNB1" s="920" t="s">
        <v>475</v>
      </c>
      <c r="QNF1" s="922"/>
      <c r="QNJ1" s="920" t="s">
        <v>475</v>
      </c>
      <c r="QNN1" s="922"/>
      <c r="QNR1" s="920" t="s">
        <v>475</v>
      </c>
      <c r="QNV1" s="922"/>
      <c r="QNZ1" s="920" t="s">
        <v>475</v>
      </c>
      <c r="QOD1" s="922"/>
      <c r="QOH1" s="920" t="s">
        <v>475</v>
      </c>
      <c r="QOL1" s="922"/>
      <c r="QOP1" s="920" t="s">
        <v>475</v>
      </c>
      <c r="QOT1" s="922"/>
      <c r="QOX1" s="920" t="s">
        <v>475</v>
      </c>
      <c r="QPB1" s="922"/>
      <c r="QPF1" s="920" t="s">
        <v>475</v>
      </c>
      <c r="QPJ1" s="922"/>
      <c r="QPN1" s="920" t="s">
        <v>475</v>
      </c>
      <c r="QPR1" s="922"/>
      <c r="QPV1" s="920" t="s">
        <v>475</v>
      </c>
      <c r="QPZ1" s="922"/>
      <c r="QQD1" s="920" t="s">
        <v>475</v>
      </c>
      <c r="QQH1" s="922"/>
      <c r="QQL1" s="920" t="s">
        <v>475</v>
      </c>
      <c r="QQP1" s="922"/>
      <c r="QQT1" s="920" t="s">
        <v>475</v>
      </c>
      <c r="QQX1" s="922"/>
      <c r="QRB1" s="920" t="s">
        <v>475</v>
      </c>
      <c r="QRF1" s="922"/>
      <c r="QRJ1" s="920" t="s">
        <v>475</v>
      </c>
      <c r="QRN1" s="922"/>
      <c r="QRR1" s="920" t="s">
        <v>475</v>
      </c>
      <c r="QRV1" s="922"/>
      <c r="QRZ1" s="920" t="s">
        <v>475</v>
      </c>
      <c r="QSD1" s="922"/>
      <c r="QSH1" s="920" t="s">
        <v>475</v>
      </c>
      <c r="QSL1" s="922"/>
      <c r="QSP1" s="920" t="s">
        <v>475</v>
      </c>
      <c r="QST1" s="922"/>
      <c r="QSX1" s="920" t="s">
        <v>475</v>
      </c>
      <c r="QTB1" s="922"/>
      <c r="QTF1" s="920" t="s">
        <v>475</v>
      </c>
      <c r="QTJ1" s="922"/>
      <c r="QTN1" s="920" t="s">
        <v>475</v>
      </c>
      <c r="QTR1" s="922"/>
      <c r="QTV1" s="920" t="s">
        <v>475</v>
      </c>
      <c r="QTZ1" s="922"/>
      <c r="QUD1" s="920" t="s">
        <v>475</v>
      </c>
      <c r="QUH1" s="922"/>
      <c r="QUL1" s="920" t="s">
        <v>475</v>
      </c>
      <c r="QUP1" s="922"/>
      <c r="QUT1" s="920" t="s">
        <v>475</v>
      </c>
      <c r="QUX1" s="922"/>
      <c r="QVB1" s="920" t="s">
        <v>475</v>
      </c>
      <c r="QVF1" s="922"/>
      <c r="QVJ1" s="920" t="s">
        <v>475</v>
      </c>
      <c r="QVN1" s="922"/>
      <c r="QVR1" s="920" t="s">
        <v>475</v>
      </c>
      <c r="QVV1" s="922"/>
      <c r="QVZ1" s="920" t="s">
        <v>475</v>
      </c>
      <c r="QWD1" s="922"/>
      <c r="QWH1" s="920" t="s">
        <v>475</v>
      </c>
      <c r="QWL1" s="922"/>
      <c r="QWP1" s="920" t="s">
        <v>475</v>
      </c>
      <c r="QWT1" s="922"/>
      <c r="QWX1" s="920" t="s">
        <v>475</v>
      </c>
      <c r="QXB1" s="922"/>
      <c r="QXF1" s="920" t="s">
        <v>475</v>
      </c>
      <c r="QXJ1" s="922"/>
      <c r="QXN1" s="920" t="s">
        <v>475</v>
      </c>
      <c r="QXR1" s="922"/>
      <c r="QXV1" s="920" t="s">
        <v>475</v>
      </c>
      <c r="QXZ1" s="922"/>
      <c r="QYD1" s="920" t="s">
        <v>475</v>
      </c>
      <c r="QYH1" s="922"/>
      <c r="QYL1" s="920" t="s">
        <v>475</v>
      </c>
      <c r="QYP1" s="922"/>
      <c r="QYT1" s="920" t="s">
        <v>475</v>
      </c>
      <c r="QYX1" s="922"/>
      <c r="QZB1" s="920" t="s">
        <v>475</v>
      </c>
      <c r="QZF1" s="922"/>
      <c r="QZJ1" s="920" t="s">
        <v>475</v>
      </c>
      <c r="QZN1" s="922"/>
      <c r="QZR1" s="920" t="s">
        <v>475</v>
      </c>
      <c r="QZV1" s="922"/>
      <c r="QZZ1" s="920" t="s">
        <v>475</v>
      </c>
      <c r="RAD1" s="922"/>
      <c r="RAH1" s="920" t="s">
        <v>475</v>
      </c>
      <c r="RAL1" s="922"/>
      <c r="RAP1" s="920" t="s">
        <v>475</v>
      </c>
      <c r="RAT1" s="922"/>
      <c r="RAX1" s="920" t="s">
        <v>475</v>
      </c>
      <c r="RBB1" s="922"/>
      <c r="RBF1" s="920" t="s">
        <v>475</v>
      </c>
      <c r="RBJ1" s="922"/>
      <c r="RBN1" s="920" t="s">
        <v>475</v>
      </c>
      <c r="RBR1" s="922"/>
      <c r="RBV1" s="920" t="s">
        <v>475</v>
      </c>
      <c r="RBZ1" s="922"/>
      <c r="RCD1" s="920" t="s">
        <v>475</v>
      </c>
      <c r="RCH1" s="922"/>
      <c r="RCL1" s="920" t="s">
        <v>475</v>
      </c>
      <c r="RCP1" s="922"/>
      <c r="RCT1" s="920" t="s">
        <v>475</v>
      </c>
      <c r="RCX1" s="922"/>
      <c r="RDB1" s="920" t="s">
        <v>475</v>
      </c>
      <c r="RDF1" s="922"/>
      <c r="RDJ1" s="920" t="s">
        <v>475</v>
      </c>
      <c r="RDN1" s="922"/>
      <c r="RDR1" s="920" t="s">
        <v>475</v>
      </c>
      <c r="RDV1" s="922"/>
      <c r="RDZ1" s="920" t="s">
        <v>475</v>
      </c>
      <c r="RED1" s="922"/>
      <c r="REH1" s="920" t="s">
        <v>475</v>
      </c>
      <c r="REL1" s="922"/>
      <c r="REP1" s="920" t="s">
        <v>475</v>
      </c>
      <c r="RET1" s="922"/>
      <c r="REX1" s="920" t="s">
        <v>475</v>
      </c>
      <c r="RFB1" s="922"/>
      <c r="RFF1" s="920" t="s">
        <v>475</v>
      </c>
      <c r="RFJ1" s="922"/>
      <c r="RFN1" s="920" t="s">
        <v>475</v>
      </c>
      <c r="RFR1" s="922"/>
      <c r="RFV1" s="920" t="s">
        <v>475</v>
      </c>
      <c r="RFZ1" s="922"/>
      <c r="RGD1" s="920" t="s">
        <v>475</v>
      </c>
      <c r="RGH1" s="922"/>
      <c r="RGL1" s="920" t="s">
        <v>475</v>
      </c>
      <c r="RGP1" s="922"/>
      <c r="RGT1" s="920" t="s">
        <v>475</v>
      </c>
      <c r="RGX1" s="922"/>
      <c r="RHB1" s="920" t="s">
        <v>475</v>
      </c>
      <c r="RHF1" s="922"/>
      <c r="RHJ1" s="920" t="s">
        <v>475</v>
      </c>
      <c r="RHN1" s="922"/>
      <c r="RHR1" s="920" t="s">
        <v>475</v>
      </c>
      <c r="RHV1" s="922"/>
      <c r="RHZ1" s="920" t="s">
        <v>475</v>
      </c>
      <c r="RID1" s="922"/>
      <c r="RIH1" s="920" t="s">
        <v>475</v>
      </c>
      <c r="RIL1" s="922"/>
      <c r="RIP1" s="920" t="s">
        <v>475</v>
      </c>
      <c r="RIT1" s="922"/>
      <c r="RIX1" s="920" t="s">
        <v>475</v>
      </c>
      <c r="RJB1" s="922"/>
      <c r="RJF1" s="920" t="s">
        <v>475</v>
      </c>
      <c r="RJJ1" s="922"/>
      <c r="RJN1" s="920" t="s">
        <v>475</v>
      </c>
      <c r="RJR1" s="922"/>
      <c r="RJV1" s="920" t="s">
        <v>475</v>
      </c>
      <c r="RJZ1" s="922"/>
      <c r="RKD1" s="920" t="s">
        <v>475</v>
      </c>
      <c r="RKH1" s="922"/>
      <c r="RKL1" s="920" t="s">
        <v>475</v>
      </c>
      <c r="RKP1" s="922"/>
      <c r="RKT1" s="920" t="s">
        <v>475</v>
      </c>
      <c r="RKX1" s="922"/>
      <c r="RLB1" s="920" t="s">
        <v>475</v>
      </c>
      <c r="RLF1" s="922"/>
      <c r="RLJ1" s="920" t="s">
        <v>475</v>
      </c>
      <c r="RLN1" s="922"/>
      <c r="RLR1" s="920" t="s">
        <v>475</v>
      </c>
      <c r="RLV1" s="922"/>
      <c r="RLZ1" s="920" t="s">
        <v>475</v>
      </c>
      <c r="RMD1" s="922"/>
      <c r="RMH1" s="920" t="s">
        <v>475</v>
      </c>
      <c r="RML1" s="922"/>
      <c r="RMP1" s="920" t="s">
        <v>475</v>
      </c>
      <c r="RMT1" s="922"/>
      <c r="RMX1" s="920" t="s">
        <v>475</v>
      </c>
      <c r="RNB1" s="922"/>
      <c r="RNF1" s="920" t="s">
        <v>475</v>
      </c>
      <c r="RNJ1" s="922"/>
      <c r="RNN1" s="920" t="s">
        <v>475</v>
      </c>
      <c r="RNR1" s="922"/>
      <c r="RNV1" s="920" t="s">
        <v>475</v>
      </c>
      <c r="RNZ1" s="922"/>
      <c r="ROD1" s="920" t="s">
        <v>475</v>
      </c>
      <c r="ROH1" s="922"/>
      <c r="ROL1" s="920" t="s">
        <v>475</v>
      </c>
      <c r="ROP1" s="922"/>
      <c r="ROT1" s="920" t="s">
        <v>475</v>
      </c>
      <c r="ROX1" s="922"/>
      <c r="RPB1" s="920" t="s">
        <v>475</v>
      </c>
      <c r="RPF1" s="922"/>
      <c r="RPJ1" s="920" t="s">
        <v>475</v>
      </c>
      <c r="RPN1" s="922"/>
      <c r="RPR1" s="920" t="s">
        <v>475</v>
      </c>
      <c r="RPV1" s="922"/>
      <c r="RPZ1" s="920" t="s">
        <v>475</v>
      </c>
      <c r="RQD1" s="922"/>
      <c r="RQH1" s="920" t="s">
        <v>475</v>
      </c>
      <c r="RQL1" s="922"/>
      <c r="RQP1" s="920" t="s">
        <v>475</v>
      </c>
      <c r="RQT1" s="922"/>
      <c r="RQX1" s="920" t="s">
        <v>475</v>
      </c>
      <c r="RRB1" s="922"/>
      <c r="RRF1" s="920" t="s">
        <v>475</v>
      </c>
      <c r="RRJ1" s="922"/>
      <c r="RRN1" s="920" t="s">
        <v>475</v>
      </c>
      <c r="RRR1" s="922"/>
      <c r="RRV1" s="920" t="s">
        <v>475</v>
      </c>
      <c r="RRZ1" s="922"/>
      <c r="RSD1" s="920" t="s">
        <v>475</v>
      </c>
      <c r="RSH1" s="922"/>
      <c r="RSL1" s="920" t="s">
        <v>475</v>
      </c>
      <c r="RSP1" s="922"/>
      <c r="RST1" s="920" t="s">
        <v>475</v>
      </c>
      <c r="RSX1" s="922"/>
      <c r="RTB1" s="920" t="s">
        <v>475</v>
      </c>
      <c r="RTF1" s="922"/>
      <c r="RTJ1" s="920" t="s">
        <v>475</v>
      </c>
      <c r="RTN1" s="922"/>
      <c r="RTR1" s="920" t="s">
        <v>475</v>
      </c>
      <c r="RTV1" s="922"/>
      <c r="RTZ1" s="920" t="s">
        <v>475</v>
      </c>
      <c r="RUD1" s="922"/>
      <c r="RUH1" s="920" t="s">
        <v>475</v>
      </c>
      <c r="RUL1" s="922"/>
      <c r="RUP1" s="920" t="s">
        <v>475</v>
      </c>
      <c r="RUT1" s="922"/>
      <c r="RUX1" s="920" t="s">
        <v>475</v>
      </c>
      <c r="RVB1" s="922"/>
      <c r="RVF1" s="920" t="s">
        <v>475</v>
      </c>
      <c r="RVJ1" s="922"/>
      <c r="RVN1" s="920" t="s">
        <v>475</v>
      </c>
      <c r="RVR1" s="922"/>
      <c r="RVV1" s="920" t="s">
        <v>475</v>
      </c>
      <c r="RVZ1" s="922"/>
      <c r="RWD1" s="920" t="s">
        <v>475</v>
      </c>
      <c r="RWH1" s="922"/>
      <c r="RWL1" s="920" t="s">
        <v>475</v>
      </c>
      <c r="RWP1" s="922"/>
      <c r="RWT1" s="920" t="s">
        <v>475</v>
      </c>
      <c r="RWX1" s="922"/>
      <c r="RXB1" s="920" t="s">
        <v>475</v>
      </c>
      <c r="RXF1" s="922"/>
      <c r="RXJ1" s="920" t="s">
        <v>475</v>
      </c>
      <c r="RXN1" s="922"/>
      <c r="RXR1" s="920" t="s">
        <v>475</v>
      </c>
      <c r="RXV1" s="922"/>
      <c r="RXZ1" s="920" t="s">
        <v>475</v>
      </c>
      <c r="RYD1" s="922"/>
      <c r="RYH1" s="920" t="s">
        <v>475</v>
      </c>
      <c r="RYL1" s="922"/>
      <c r="RYP1" s="920" t="s">
        <v>475</v>
      </c>
      <c r="RYT1" s="922"/>
      <c r="RYX1" s="920" t="s">
        <v>475</v>
      </c>
      <c r="RZB1" s="922"/>
      <c r="RZF1" s="920" t="s">
        <v>475</v>
      </c>
      <c r="RZJ1" s="922"/>
      <c r="RZN1" s="920" t="s">
        <v>475</v>
      </c>
      <c r="RZR1" s="922"/>
      <c r="RZV1" s="920" t="s">
        <v>475</v>
      </c>
      <c r="RZZ1" s="922"/>
      <c r="SAD1" s="920" t="s">
        <v>475</v>
      </c>
      <c r="SAH1" s="922"/>
      <c r="SAL1" s="920" t="s">
        <v>475</v>
      </c>
      <c r="SAP1" s="922"/>
      <c r="SAT1" s="920" t="s">
        <v>475</v>
      </c>
      <c r="SAX1" s="922"/>
      <c r="SBB1" s="920" t="s">
        <v>475</v>
      </c>
      <c r="SBF1" s="922"/>
      <c r="SBJ1" s="920" t="s">
        <v>475</v>
      </c>
      <c r="SBN1" s="922"/>
      <c r="SBR1" s="920" t="s">
        <v>475</v>
      </c>
      <c r="SBV1" s="922"/>
      <c r="SBZ1" s="920" t="s">
        <v>475</v>
      </c>
      <c r="SCD1" s="922"/>
      <c r="SCH1" s="920" t="s">
        <v>475</v>
      </c>
      <c r="SCL1" s="922"/>
      <c r="SCP1" s="920" t="s">
        <v>475</v>
      </c>
      <c r="SCT1" s="922"/>
      <c r="SCX1" s="920" t="s">
        <v>475</v>
      </c>
      <c r="SDB1" s="922"/>
      <c r="SDF1" s="920" t="s">
        <v>475</v>
      </c>
      <c r="SDJ1" s="922"/>
      <c r="SDN1" s="920" t="s">
        <v>475</v>
      </c>
      <c r="SDR1" s="922"/>
      <c r="SDV1" s="920" t="s">
        <v>475</v>
      </c>
      <c r="SDZ1" s="922"/>
      <c r="SED1" s="920" t="s">
        <v>475</v>
      </c>
      <c r="SEH1" s="922"/>
      <c r="SEL1" s="920" t="s">
        <v>475</v>
      </c>
      <c r="SEP1" s="922"/>
      <c r="SET1" s="920" t="s">
        <v>475</v>
      </c>
      <c r="SEX1" s="922"/>
      <c r="SFB1" s="920" t="s">
        <v>475</v>
      </c>
      <c r="SFF1" s="922"/>
      <c r="SFJ1" s="920" t="s">
        <v>475</v>
      </c>
      <c r="SFN1" s="922"/>
      <c r="SFR1" s="920" t="s">
        <v>475</v>
      </c>
      <c r="SFV1" s="922"/>
      <c r="SFZ1" s="920" t="s">
        <v>475</v>
      </c>
      <c r="SGD1" s="922"/>
      <c r="SGH1" s="920" t="s">
        <v>475</v>
      </c>
      <c r="SGL1" s="922"/>
      <c r="SGP1" s="920" t="s">
        <v>475</v>
      </c>
      <c r="SGT1" s="922"/>
      <c r="SGX1" s="920" t="s">
        <v>475</v>
      </c>
      <c r="SHB1" s="922"/>
      <c r="SHF1" s="920" t="s">
        <v>475</v>
      </c>
      <c r="SHJ1" s="922"/>
      <c r="SHN1" s="920" t="s">
        <v>475</v>
      </c>
      <c r="SHR1" s="922"/>
      <c r="SHV1" s="920" t="s">
        <v>475</v>
      </c>
      <c r="SHZ1" s="922"/>
      <c r="SID1" s="920" t="s">
        <v>475</v>
      </c>
      <c r="SIH1" s="922"/>
      <c r="SIL1" s="920" t="s">
        <v>475</v>
      </c>
      <c r="SIP1" s="922"/>
      <c r="SIT1" s="920" t="s">
        <v>475</v>
      </c>
      <c r="SIX1" s="922"/>
      <c r="SJB1" s="920" t="s">
        <v>475</v>
      </c>
      <c r="SJF1" s="922"/>
      <c r="SJJ1" s="920" t="s">
        <v>475</v>
      </c>
      <c r="SJN1" s="922"/>
      <c r="SJR1" s="920" t="s">
        <v>475</v>
      </c>
      <c r="SJV1" s="922"/>
      <c r="SJZ1" s="920" t="s">
        <v>475</v>
      </c>
      <c r="SKD1" s="922"/>
      <c r="SKH1" s="920" t="s">
        <v>475</v>
      </c>
      <c r="SKL1" s="922"/>
      <c r="SKP1" s="920" t="s">
        <v>475</v>
      </c>
      <c r="SKT1" s="922"/>
      <c r="SKX1" s="920" t="s">
        <v>475</v>
      </c>
      <c r="SLB1" s="922"/>
      <c r="SLF1" s="920" t="s">
        <v>475</v>
      </c>
      <c r="SLJ1" s="922"/>
      <c r="SLN1" s="920" t="s">
        <v>475</v>
      </c>
      <c r="SLR1" s="922"/>
      <c r="SLV1" s="920" t="s">
        <v>475</v>
      </c>
      <c r="SLZ1" s="922"/>
      <c r="SMD1" s="920" t="s">
        <v>475</v>
      </c>
      <c r="SMH1" s="922"/>
      <c r="SML1" s="920" t="s">
        <v>475</v>
      </c>
      <c r="SMP1" s="922"/>
      <c r="SMT1" s="920" t="s">
        <v>475</v>
      </c>
      <c r="SMX1" s="922"/>
      <c r="SNB1" s="920" t="s">
        <v>475</v>
      </c>
      <c r="SNF1" s="922"/>
      <c r="SNJ1" s="920" t="s">
        <v>475</v>
      </c>
      <c r="SNN1" s="922"/>
      <c r="SNR1" s="920" t="s">
        <v>475</v>
      </c>
      <c r="SNV1" s="922"/>
      <c r="SNZ1" s="920" t="s">
        <v>475</v>
      </c>
      <c r="SOD1" s="922"/>
      <c r="SOH1" s="920" t="s">
        <v>475</v>
      </c>
      <c r="SOL1" s="922"/>
      <c r="SOP1" s="920" t="s">
        <v>475</v>
      </c>
      <c r="SOT1" s="922"/>
      <c r="SOX1" s="920" t="s">
        <v>475</v>
      </c>
      <c r="SPB1" s="922"/>
      <c r="SPF1" s="920" t="s">
        <v>475</v>
      </c>
      <c r="SPJ1" s="922"/>
      <c r="SPN1" s="920" t="s">
        <v>475</v>
      </c>
      <c r="SPR1" s="922"/>
      <c r="SPV1" s="920" t="s">
        <v>475</v>
      </c>
      <c r="SPZ1" s="922"/>
      <c r="SQD1" s="920" t="s">
        <v>475</v>
      </c>
      <c r="SQH1" s="922"/>
      <c r="SQL1" s="920" t="s">
        <v>475</v>
      </c>
      <c r="SQP1" s="922"/>
      <c r="SQT1" s="920" t="s">
        <v>475</v>
      </c>
      <c r="SQX1" s="922"/>
      <c r="SRB1" s="920" t="s">
        <v>475</v>
      </c>
      <c r="SRF1" s="922"/>
      <c r="SRJ1" s="920" t="s">
        <v>475</v>
      </c>
      <c r="SRN1" s="922"/>
      <c r="SRR1" s="920" t="s">
        <v>475</v>
      </c>
      <c r="SRV1" s="922"/>
      <c r="SRZ1" s="920" t="s">
        <v>475</v>
      </c>
      <c r="SSD1" s="922"/>
      <c r="SSH1" s="920" t="s">
        <v>475</v>
      </c>
      <c r="SSL1" s="922"/>
      <c r="SSP1" s="920" t="s">
        <v>475</v>
      </c>
      <c r="SST1" s="922"/>
      <c r="SSX1" s="920" t="s">
        <v>475</v>
      </c>
      <c r="STB1" s="922"/>
      <c r="STF1" s="920" t="s">
        <v>475</v>
      </c>
      <c r="STJ1" s="922"/>
      <c r="STN1" s="920" t="s">
        <v>475</v>
      </c>
      <c r="STR1" s="922"/>
      <c r="STV1" s="920" t="s">
        <v>475</v>
      </c>
      <c r="STZ1" s="922"/>
      <c r="SUD1" s="920" t="s">
        <v>475</v>
      </c>
      <c r="SUH1" s="922"/>
      <c r="SUL1" s="920" t="s">
        <v>475</v>
      </c>
      <c r="SUP1" s="922"/>
      <c r="SUT1" s="920" t="s">
        <v>475</v>
      </c>
      <c r="SUX1" s="922"/>
      <c r="SVB1" s="920" t="s">
        <v>475</v>
      </c>
      <c r="SVF1" s="922"/>
      <c r="SVJ1" s="920" t="s">
        <v>475</v>
      </c>
      <c r="SVN1" s="922"/>
      <c r="SVR1" s="920" t="s">
        <v>475</v>
      </c>
      <c r="SVV1" s="922"/>
      <c r="SVZ1" s="920" t="s">
        <v>475</v>
      </c>
      <c r="SWD1" s="922"/>
      <c r="SWH1" s="920" t="s">
        <v>475</v>
      </c>
      <c r="SWL1" s="922"/>
      <c r="SWP1" s="920" t="s">
        <v>475</v>
      </c>
      <c r="SWT1" s="922"/>
      <c r="SWX1" s="920" t="s">
        <v>475</v>
      </c>
      <c r="SXB1" s="922"/>
      <c r="SXF1" s="920" t="s">
        <v>475</v>
      </c>
      <c r="SXJ1" s="922"/>
      <c r="SXN1" s="920" t="s">
        <v>475</v>
      </c>
      <c r="SXR1" s="922"/>
      <c r="SXV1" s="920" t="s">
        <v>475</v>
      </c>
      <c r="SXZ1" s="922"/>
      <c r="SYD1" s="920" t="s">
        <v>475</v>
      </c>
      <c r="SYH1" s="922"/>
      <c r="SYL1" s="920" t="s">
        <v>475</v>
      </c>
      <c r="SYP1" s="922"/>
      <c r="SYT1" s="920" t="s">
        <v>475</v>
      </c>
      <c r="SYX1" s="922"/>
      <c r="SZB1" s="920" t="s">
        <v>475</v>
      </c>
      <c r="SZF1" s="922"/>
      <c r="SZJ1" s="920" t="s">
        <v>475</v>
      </c>
      <c r="SZN1" s="922"/>
      <c r="SZR1" s="920" t="s">
        <v>475</v>
      </c>
      <c r="SZV1" s="922"/>
      <c r="SZZ1" s="920" t="s">
        <v>475</v>
      </c>
      <c r="TAD1" s="922"/>
      <c r="TAH1" s="920" t="s">
        <v>475</v>
      </c>
      <c r="TAL1" s="922"/>
      <c r="TAP1" s="920" t="s">
        <v>475</v>
      </c>
      <c r="TAT1" s="922"/>
      <c r="TAX1" s="920" t="s">
        <v>475</v>
      </c>
      <c r="TBB1" s="922"/>
      <c r="TBF1" s="920" t="s">
        <v>475</v>
      </c>
      <c r="TBJ1" s="922"/>
      <c r="TBN1" s="920" t="s">
        <v>475</v>
      </c>
      <c r="TBR1" s="922"/>
      <c r="TBV1" s="920" t="s">
        <v>475</v>
      </c>
      <c r="TBZ1" s="922"/>
      <c r="TCD1" s="920" t="s">
        <v>475</v>
      </c>
      <c r="TCH1" s="922"/>
      <c r="TCL1" s="920" t="s">
        <v>475</v>
      </c>
      <c r="TCP1" s="922"/>
      <c r="TCT1" s="920" t="s">
        <v>475</v>
      </c>
      <c r="TCX1" s="922"/>
      <c r="TDB1" s="920" t="s">
        <v>475</v>
      </c>
      <c r="TDF1" s="922"/>
      <c r="TDJ1" s="920" t="s">
        <v>475</v>
      </c>
      <c r="TDN1" s="922"/>
      <c r="TDR1" s="920" t="s">
        <v>475</v>
      </c>
      <c r="TDV1" s="922"/>
      <c r="TDZ1" s="920" t="s">
        <v>475</v>
      </c>
      <c r="TED1" s="922"/>
      <c r="TEH1" s="920" t="s">
        <v>475</v>
      </c>
      <c r="TEL1" s="922"/>
      <c r="TEP1" s="920" t="s">
        <v>475</v>
      </c>
      <c r="TET1" s="922"/>
      <c r="TEX1" s="920" t="s">
        <v>475</v>
      </c>
      <c r="TFB1" s="922"/>
      <c r="TFF1" s="920" t="s">
        <v>475</v>
      </c>
      <c r="TFJ1" s="922"/>
      <c r="TFN1" s="920" t="s">
        <v>475</v>
      </c>
      <c r="TFR1" s="922"/>
      <c r="TFV1" s="920" t="s">
        <v>475</v>
      </c>
      <c r="TFZ1" s="922"/>
      <c r="TGD1" s="920" t="s">
        <v>475</v>
      </c>
      <c r="TGH1" s="922"/>
      <c r="TGL1" s="920" t="s">
        <v>475</v>
      </c>
      <c r="TGP1" s="922"/>
      <c r="TGT1" s="920" t="s">
        <v>475</v>
      </c>
      <c r="TGX1" s="922"/>
      <c r="THB1" s="920" t="s">
        <v>475</v>
      </c>
      <c r="THF1" s="922"/>
      <c r="THJ1" s="920" t="s">
        <v>475</v>
      </c>
      <c r="THN1" s="922"/>
      <c r="THR1" s="920" t="s">
        <v>475</v>
      </c>
      <c r="THV1" s="922"/>
      <c r="THZ1" s="920" t="s">
        <v>475</v>
      </c>
      <c r="TID1" s="922"/>
      <c r="TIH1" s="920" t="s">
        <v>475</v>
      </c>
      <c r="TIL1" s="922"/>
      <c r="TIP1" s="920" t="s">
        <v>475</v>
      </c>
      <c r="TIT1" s="922"/>
      <c r="TIX1" s="920" t="s">
        <v>475</v>
      </c>
      <c r="TJB1" s="922"/>
      <c r="TJF1" s="920" t="s">
        <v>475</v>
      </c>
      <c r="TJJ1" s="922"/>
      <c r="TJN1" s="920" t="s">
        <v>475</v>
      </c>
      <c r="TJR1" s="922"/>
      <c r="TJV1" s="920" t="s">
        <v>475</v>
      </c>
      <c r="TJZ1" s="922"/>
      <c r="TKD1" s="920" t="s">
        <v>475</v>
      </c>
      <c r="TKH1" s="922"/>
      <c r="TKL1" s="920" t="s">
        <v>475</v>
      </c>
      <c r="TKP1" s="922"/>
      <c r="TKT1" s="920" t="s">
        <v>475</v>
      </c>
      <c r="TKX1" s="922"/>
      <c r="TLB1" s="920" t="s">
        <v>475</v>
      </c>
      <c r="TLF1" s="922"/>
      <c r="TLJ1" s="920" t="s">
        <v>475</v>
      </c>
      <c r="TLN1" s="922"/>
      <c r="TLR1" s="920" t="s">
        <v>475</v>
      </c>
      <c r="TLV1" s="922"/>
      <c r="TLZ1" s="920" t="s">
        <v>475</v>
      </c>
      <c r="TMD1" s="922"/>
      <c r="TMH1" s="920" t="s">
        <v>475</v>
      </c>
      <c r="TML1" s="922"/>
      <c r="TMP1" s="920" t="s">
        <v>475</v>
      </c>
      <c r="TMT1" s="922"/>
      <c r="TMX1" s="920" t="s">
        <v>475</v>
      </c>
      <c r="TNB1" s="922"/>
      <c r="TNF1" s="920" t="s">
        <v>475</v>
      </c>
      <c r="TNJ1" s="922"/>
      <c r="TNN1" s="920" t="s">
        <v>475</v>
      </c>
      <c r="TNR1" s="922"/>
      <c r="TNV1" s="920" t="s">
        <v>475</v>
      </c>
      <c r="TNZ1" s="922"/>
      <c r="TOD1" s="920" t="s">
        <v>475</v>
      </c>
      <c r="TOH1" s="922"/>
      <c r="TOL1" s="920" t="s">
        <v>475</v>
      </c>
      <c r="TOP1" s="922"/>
      <c r="TOT1" s="920" t="s">
        <v>475</v>
      </c>
      <c r="TOX1" s="922"/>
      <c r="TPB1" s="920" t="s">
        <v>475</v>
      </c>
      <c r="TPF1" s="922"/>
      <c r="TPJ1" s="920" t="s">
        <v>475</v>
      </c>
      <c r="TPN1" s="922"/>
      <c r="TPR1" s="920" t="s">
        <v>475</v>
      </c>
      <c r="TPV1" s="922"/>
      <c r="TPZ1" s="920" t="s">
        <v>475</v>
      </c>
      <c r="TQD1" s="922"/>
      <c r="TQH1" s="920" t="s">
        <v>475</v>
      </c>
      <c r="TQL1" s="922"/>
      <c r="TQP1" s="920" t="s">
        <v>475</v>
      </c>
      <c r="TQT1" s="922"/>
      <c r="TQX1" s="920" t="s">
        <v>475</v>
      </c>
      <c r="TRB1" s="922"/>
      <c r="TRF1" s="920" t="s">
        <v>475</v>
      </c>
      <c r="TRJ1" s="922"/>
      <c r="TRN1" s="920" t="s">
        <v>475</v>
      </c>
      <c r="TRR1" s="922"/>
      <c r="TRV1" s="920" t="s">
        <v>475</v>
      </c>
      <c r="TRZ1" s="922"/>
      <c r="TSD1" s="920" t="s">
        <v>475</v>
      </c>
      <c r="TSH1" s="922"/>
      <c r="TSL1" s="920" t="s">
        <v>475</v>
      </c>
      <c r="TSP1" s="922"/>
      <c r="TST1" s="920" t="s">
        <v>475</v>
      </c>
      <c r="TSX1" s="922"/>
      <c r="TTB1" s="920" t="s">
        <v>475</v>
      </c>
      <c r="TTF1" s="922"/>
      <c r="TTJ1" s="920" t="s">
        <v>475</v>
      </c>
      <c r="TTN1" s="922"/>
      <c r="TTR1" s="920" t="s">
        <v>475</v>
      </c>
      <c r="TTV1" s="922"/>
      <c r="TTZ1" s="920" t="s">
        <v>475</v>
      </c>
      <c r="TUD1" s="922"/>
      <c r="TUH1" s="920" t="s">
        <v>475</v>
      </c>
      <c r="TUL1" s="922"/>
      <c r="TUP1" s="920" t="s">
        <v>475</v>
      </c>
      <c r="TUT1" s="922"/>
      <c r="TUX1" s="920" t="s">
        <v>475</v>
      </c>
      <c r="TVB1" s="922"/>
      <c r="TVF1" s="920" t="s">
        <v>475</v>
      </c>
      <c r="TVJ1" s="922"/>
      <c r="TVN1" s="920" t="s">
        <v>475</v>
      </c>
      <c r="TVR1" s="922"/>
      <c r="TVV1" s="920" t="s">
        <v>475</v>
      </c>
      <c r="TVZ1" s="922"/>
      <c r="TWD1" s="920" t="s">
        <v>475</v>
      </c>
      <c r="TWH1" s="922"/>
      <c r="TWL1" s="920" t="s">
        <v>475</v>
      </c>
      <c r="TWP1" s="922"/>
      <c r="TWT1" s="920" t="s">
        <v>475</v>
      </c>
      <c r="TWX1" s="922"/>
      <c r="TXB1" s="920" t="s">
        <v>475</v>
      </c>
      <c r="TXF1" s="922"/>
      <c r="TXJ1" s="920" t="s">
        <v>475</v>
      </c>
      <c r="TXN1" s="922"/>
      <c r="TXR1" s="920" t="s">
        <v>475</v>
      </c>
      <c r="TXV1" s="922"/>
      <c r="TXZ1" s="920" t="s">
        <v>475</v>
      </c>
      <c r="TYD1" s="922"/>
      <c r="TYH1" s="920" t="s">
        <v>475</v>
      </c>
      <c r="TYL1" s="922"/>
      <c r="TYP1" s="920" t="s">
        <v>475</v>
      </c>
      <c r="TYT1" s="922"/>
      <c r="TYX1" s="920" t="s">
        <v>475</v>
      </c>
      <c r="TZB1" s="922"/>
      <c r="TZF1" s="920" t="s">
        <v>475</v>
      </c>
      <c r="TZJ1" s="922"/>
      <c r="TZN1" s="920" t="s">
        <v>475</v>
      </c>
      <c r="TZR1" s="922"/>
      <c r="TZV1" s="920" t="s">
        <v>475</v>
      </c>
      <c r="TZZ1" s="922"/>
      <c r="UAD1" s="920" t="s">
        <v>475</v>
      </c>
      <c r="UAH1" s="922"/>
      <c r="UAL1" s="920" t="s">
        <v>475</v>
      </c>
      <c r="UAP1" s="922"/>
      <c r="UAT1" s="920" t="s">
        <v>475</v>
      </c>
      <c r="UAX1" s="922"/>
      <c r="UBB1" s="920" t="s">
        <v>475</v>
      </c>
      <c r="UBF1" s="922"/>
      <c r="UBJ1" s="920" t="s">
        <v>475</v>
      </c>
      <c r="UBN1" s="922"/>
      <c r="UBR1" s="920" t="s">
        <v>475</v>
      </c>
      <c r="UBV1" s="922"/>
      <c r="UBZ1" s="920" t="s">
        <v>475</v>
      </c>
      <c r="UCD1" s="922"/>
      <c r="UCH1" s="920" t="s">
        <v>475</v>
      </c>
      <c r="UCL1" s="922"/>
      <c r="UCP1" s="920" t="s">
        <v>475</v>
      </c>
      <c r="UCT1" s="922"/>
      <c r="UCX1" s="920" t="s">
        <v>475</v>
      </c>
      <c r="UDB1" s="922"/>
      <c r="UDF1" s="920" t="s">
        <v>475</v>
      </c>
      <c r="UDJ1" s="922"/>
      <c r="UDN1" s="920" t="s">
        <v>475</v>
      </c>
      <c r="UDR1" s="922"/>
      <c r="UDV1" s="920" t="s">
        <v>475</v>
      </c>
      <c r="UDZ1" s="922"/>
      <c r="UED1" s="920" t="s">
        <v>475</v>
      </c>
      <c r="UEH1" s="922"/>
      <c r="UEL1" s="920" t="s">
        <v>475</v>
      </c>
      <c r="UEP1" s="922"/>
      <c r="UET1" s="920" t="s">
        <v>475</v>
      </c>
      <c r="UEX1" s="922"/>
      <c r="UFB1" s="920" t="s">
        <v>475</v>
      </c>
      <c r="UFF1" s="922"/>
      <c r="UFJ1" s="920" t="s">
        <v>475</v>
      </c>
      <c r="UFN1" s="922"/>
      <c r="UFR1" s="920" t="s">
        <v>475</v>
      </c>
      <c r="UFV1" s="922"/>
      <c r="UFZ1" s="920" t="s">
        <v>475</v>
      </c>
      <c r="UGD1" s="922"/>
      <c r="UGH1" s="920" t="s">
        <v>475</v>
      </c>
      <c r="UGL1" s="922"/>
      <c r="UGP1" s="920" t="s">
        <v>475</v>
      </c>
      <c r="UGT1" s="922"/>
      <c r="UGX1" s="920" t="s">
        <v>475</v>
      </c>
      <c r="UHB1" s="922"/>
      <c r="UHF1" s="920" t="s">
        <v>475</v>
      </c>
      <c r="UHJ1" s="922"/>
      <c r="UHN1" s="920" t="s">
        <v>475</v>
      </c>
      <c r="UHR1" s="922"/>
      <c r="UHV1" s="920" t="s">
        <v>475</v>
      </c>
      <c r="UHZ1" s="922"/>
      <c r="UID1" s="920" t="s">
        <v>475</v>
      </c>
      <c r="UIH1" s="922"/>
      <c r="UIL1" s="920" t="s">
        <v>475</v>
      </c>
      <c r="UIP1" s="922"/>
      <c r="UIT1" s="920" t="s">
        <v>475</v>
      </c>
      <c r="UIX1" s="922"/>
      <c r="UJB1" s="920" t="s">
        <v>475</v>
      </c>
      <c r="UJF1" s="922"/>
      <c r="UJJ1" s="920" t="s">
        <v>475</v>
      </c>
      <c r="UJN1" s="922"/>
      <c r="UJR1" s="920" t="s">
        <v>475</v>
      </c>
      <c r="UJV1" s="922"/>
      <c r="UJZ1" s="920" t="s">
        <v>475</v>
      </c>
      <c r="UKD1" s="922"/>
      <c r="UKH1" s="920" t="s">
        <v>475</v>
      </c>
      <c r="UKL1" s="922"/>
      <c r="UKP1" s="920" t="s">
        <v>475</v>
      </c>
      <c r="UKT1" s="922"/>
      <c r="UKX1" s="920" t="s">
        <v>475</v>
      </c>
      <c r="ULB1" s="922"/>
      <c r="ULF1" s="920" t="s">
        <v>475</v>
      </c>
      <c r="ULJ1" s="922"/>
      <c r="ULN1" s="920" t="s">
        <v>475</v>
      </c>
      <c r="ULR1" s="922"/>
      <c r="ULV1" s="920" t="s">
        <v>475</v>
      </c>
      <c r="ULZ1" s="922"/>
      <c r="UMD1" s="920" t="s">
        <v>475</v>
      </c>
      <c r="UMH1" s="922"/>
      <c r="UML1" s="920" t="s">
        <v>475</v>
      </c>
      <c r="UMP1" s="922"/>
      <c r="UMT1" s="920" t="s">
        <v>475</v>
      </c>
      <c r="UMX1" s="922"/>
      <c r="UNB1" s="920" t="s">
        <v>475</v>
      </c>
      <c r="UNF1" s="922"/>
      <c r="UNJ1" s="920" t="s">
        <v>475</v>
      </c>
      <c r="UNN1" s="922"/>
      <c r="UNR1" s="920" t="s">
        <v>475</v>
      </c>
      <c r="UNV1" s="922"/>
      <c r="UNZ1" s="920" t="s">
        <v>475</v>
      </c>
      <c r="UOD1" s="922"/>
      <c r="UOH1" s="920" t="s">
        <v>475</v>
      </c>
      <c r="UOL1" s="922"/>
      <c r="UOP1" s="920" t="s">
        <v>475</v>
      </c>
      <c r="UOT1" s="922"/>
      <c r="UOX1" s="920" t="s">
        <v>475</v>
      </c>
      <c r="UPB1" s="922"/>
      <c r="UPF1" s="920" t="s">
        <v>475</v>
      </c>
      <c r="UPJ1" s="922"/>
      <c r="UPN1" s="920" t="s">
        <v>475</v>
      </c>
      <c r="UPR1" s="922"/>
      <c r="UPV1" s="920" t="s">
        <v>475</v>
      </c>
      <c r="UPZ1" s="922"/>
      <c r="UQD1" s="920" t="s">
        <v>475</v>
      </c>
      <c r="UQH1" s="922"/>
      <c r="UQL1" s="920" t="s">
        <v>475</v>
      </c>
      <c r="UQP1" s="922"/>
      <c r="UQT1" s="920" t="s">
        <v>475</v>
      </c>
      <c r="UQX1" s="922"/>
      <c r="URB1" s="920" t="s">
        <v>475</v>
      </c>
      <c r="URF1" s="922"/>
      <c r="URJ1" s="920" t="s">
        <v>475</v>
      </c>
      <c r="URN1" s="922"/>
      <c r="URR1" s="920" t="s">
        <v>475</v>
      </c>
      <c r="URV1" s="922"/>
      <c r="URZ1" s="920" t="s">
        <v>475</v>
      </c>
      <c r="USD1" s="922"/>
      <c r="USH1" s="920" t="s">
        <v>475</v>
      </c>
      <c r="USL1" s="922"/>
      <c r="USP1" s="920" t="s">
        <v>475</v>
      </c>
      <c r="UST1" s="922"/>
      <c r="USX1" s="920" t="s">
        <v>475</v>
      </c>
      <c r="UTB1" s="922"/>
      <c r="UTF1" s="920" t="s">
        <v>475</v>
      </c>
      <c r="UTJ1" s="922"/>
      <c r="UTN1" s="920" t="s">
        <v>475</v>
      </c>
      <c r="UTR1" s="922"/>
      <c r="UTV1" s="920" t="s">
        <v>475</v>
      </c>
      <c r="UTZ1" s="922"/>
      <c r="UUD1" s="920" t="s">
        <v>475</v>
      </c>
      <c r="UUH1" s="922"/>
      <c r="UUL1" s="920" t="s">
        <v>475</v>
      </c>
      <c r="UUP1" s="922"/>
      <c r="UUT1" s="920" t="s">
        <v>475</v>
      </c>
      <c r="UUX1" s="922"/>
      <c r="UVB1" s="920" t="s">
        <v>475</v>
      </c>
      <c r="UVF1" s="922"/>
      <c r="UVJ1" s="920" t="s">
        <v>475</v>
      </c>
      <c r="UVN1" s="922"/>
      <c r="UVR1" s="920" t="s">
        <v>475</v>
      </c>
      <c r="UVV1" s="922"/>
      <c r="UVZ1" s="920" t="s">
        <v>475</v>
      </c>
      <c r="UWD1" s="922"/>
      <c r="UWH1" s="920" t="s">
        <v>475</v>
      </c>
      <c r="UWL1" s="922"/>
      <c r="UWP1" s="920" t="s">
        <v>475</v>
      </c>
      <c r="UWT1" s="922"/>
      <c r="UWX1" s="920" t="s">
        <v>475</v>
      </c>
      <c r="UXB1" s="922"/>
      <c r="UXF1" s="920" t="s">
        <v>475</v>
      </c>
      <c r="UXJ1" s="922"/>
      <c r="UXN1" s="920" t="s">
        <v>475</v>
      </c>
      <c r="UXR1" s="922"/>
      <c r="UXV1" s="920" t="s">
        <v>475</v>
      </c>
      <c r="UXZ1" s="922"/>
      <c r="UYD1" s="920" t="s">
        <v>475</v>
      </c>
      <c r="UYH1" s="922"/>
      <c r="UYL1" s="920" t="s">
        <v>475</v>
      </c>
      <c r="UYP1" s="922"/>
      <c r="UYT1" s="920" t="s">
        <v>475</v>
      </c>
      <c r="UYX1" s="922"/>
      <c r="UZB1" s="920" t="s">
        <v>475</v>
      </c>
      <c r="UZF1" s="922"/>
      <c r="UZJ1" s="920" t="s">
        <v>475</v>
      </c>
      <c r="UZN1" s="922"/>
      <c r="UZR1" s="920" t="s">
        <v>475</v>
      </c>
      <c r="UZV1" s="922"/>
      <c r="UZZ1" s="920" t="s">
        <v>475</v>
      </c>
      <c r="VAD1" s="922"/>
      <c r="VAH1" s="920" t="s">
        <v>475</v>
      </c>
      <c r="VAL1" s="922"/>
      <c r="VAP1" s="920" t="s">
        <v>475</v>
      </c>
      <c r="VAT1" s="922"/>
      <c r="VAX1" s="920" t="s">
        <v>475</v>
      </c>
      <c r="VBB1" s="922"/>
      <c r="VBF1" s="920" t="s">
        <v>475</v>
      </c>
      <c r="VBJ1" s="922"/>
      <c r="VBN1" s="920" t="s">
        <v>475</v>
      </c>
      <c r="VBR1" s="922"/>
      <c r="VBV1" s="920" t="s">
        <v>475</v>
      </c>
      <c r="VBZ1" s="922"/>
      <c r="VCD1" s="920" t="s">
        <v>475</v>
      </c>
      <c r="VCH1" s="922"/>
      <c r="VCL1" s="920" t="s">
        <v>475</v>
      </c>
      <c r="VCP1" s="922"/>
      <c r="VCT1" s="920" t="s">
        <v>475</v>
      </c>
      <c r="VCX1" s="922"/>
      <c r="VDB1" s="920" t="s">
        <v>475</v>
      </c>
      <c r="VDF1" s="922"/>
      <c r="VDJ1" s="920" t="s">
        <v>475</v>
      </c>
      <c r="VDN1" s="922"/>
      <c r="VDR1" s="920" t="s">
        <v>475</v>
      </c>
      <c r="VDV1" s="922"/>
      <c r="VDZ1" s="920" t="s">
        <v>475</v>
      </c>
      <c r="VED1" s="922"/>
      <c r="VEH1" s="920" t="s">
        <v>475</v>
      </c>
      <c r="VEL1" s="922"/>
      <c r="VEP1" s="920" t="s">
        <v>475</v>
      </c>
      <c r="VET1" s="922"/>
      <c r="VEX1" s="920" t="s">
        <v>475</v>
      </c>
      <c r="VFB1" s="922"/>
      <c r="VFF1" s="920" t="s">
        <v>475</v>
      </c>
      <c r="VFJ1" s="922"/>
      <c r="VFN1" s="920" t="s">
        <v>475</v>
      </c>
      <c r="VFR1" s="922"/>
      <c r="VFV1" s="920" t="s">
        <v>475</v>
      </c>
      <c r="VFZ1" s="922"/>
      <c r="VGD1" s="920" t="s">
        <v>475</v>
      </c>
      <c r="VGH1" s="922"/>
      <c r="VGL1" s="920" t="s">
        <v>475</v>
      </c>
      <c r="VGP1" s="922"/>
      <c r="VGT1" s="920" t="s">
        <v>475</v>
      </c>
      <c r="VGX1" s="922"/>
      <c r="VHB1" s="920" t="s">
        <v>475</v>
      </c>
      <c r="VHF1" s="922"/>
      <c r="VHJ1" s="920" t="s">
        <v>475</v>
      </c>
      <c r="VHN1" s="922"/>
      <c r="VHR1" s="920" t="s">
        <v>475</v>
      </c>
      <c r="VHV1" s="922"/>
      <c r="VHZ1" s="920" t="s">
        <v>475</v>
      </c>
      <c r="VID1" s="922"/>
      <c r="VIH1" s="920" t="s">
        <v>475</v>
      </c>
      <c r="VIL1" s="922"/>
      <c r="VIP1" s="920" t="s">
        <v>475</v>
      </c>
      <c r="VIT1" s="922"/>
      <c r="VIX1" s="920" t="s">
        <v>475</v>
      </c>
      <c r="VJB1" s="922"/>
      <c r="VJF1" s="920" t="s">
        <v>475</v>
      </c>
      <c r="VJJ1" s="922"/>
      <c r="VJN1" s="920" t="s">
        <v>475</v>
      </c>
      <c r="VJR1" s="922"/>
      <c r="VJV1" s="920" t="s">
        <v>475</v>
      </c>
      <c r="VJZ1" s="922"/>
      <c r="VKD1" s="920" t="s">
        <v>475</v>
      </c>
      <c r="VKH1" s="922"/>
      <c r="VKL1" s="920" t="s">
        <v>475</v>
      </c>
      <c r="VKP1" s="922"/>
      <c r="VKT1" s="920" t="s">
        <v>475</v>
      </c>
      <c r="VKX1" s="922"/>
      <c r="VLB1" s="920" t="s">
        <v>475</v>
      </c>
      <c r="VLF1" s="922"/>
      <c r="VLJ1" s="920" t="s">
        <v>475</v>
      </c>
      <c r="VLN1" s="922"/>
      <c r="VLR1" s="920" t="s">
        <v>475</v>
      </c>
      <c r="VLV1" s="922"/>
      <c r="VLZ1" s="920" t="s">
        <v>475</v>
      </c>
      <c r="VMD1" s="922"/>
      <c r="VMH1" s="920" t="s">
        <v>475</v>
      </c>
      <c r="VML1" s="922"/>
      <c r="VMP1" s="920" t="s">
        <v>475</v>
      </c>
      <c r="VMT1" s="922"/>
      <c r="VMX1" s="920" t="s">
        <v>475</v>
      </c>
      <c r="VNB1" s="922"/>
      <c r="VNF1" s="920" t="s">
        <v>475</v>
      </c>
      <c r="VNJ1" s="922"/>
      <c r="VNN1" s="920" t="s">
        <v>475</v>
      </c>
      <c r="VNR1" s="922"/>
      <c r="VNV1" s="920" t="s">
        <v>475</v>
      </c>
      <c r="VNZ1" s="922"/>
      <c r="VOD1" s="920" t="s">
        <v>475</v>
      </c>
      <c r="VOH1" s="922"/>
      <c r="VOL1" s="920" t="s">
        <v>475</v>
      </c>
      <c r="VOP1" s="922"/>
      <c r="VOT1" s="920" t="s">
        <v>475</v>
      </c>
      <c r="VOX1" s="922"/>
      <c r="VPB1" s="920" t="s">
        <v>475</v>
      </c>
      <c r="VPF1" s="922"/>
      <c r="VPJ1" s="920" t="s">
        <v>475</v>
      </c>
      <c r="VPN1" s="922"/>
      <c r="VPR1" s="920" t="s">
        <v>475</v>
      </c>
      <c r="VPV1" s="922"/>
      <c r="VPZ1" s="920" t="s">
        <v>475</v>
      </c>
      <c r="VQD1" s="922"/>
      <c r="VQH1" s="920" t="s">
        <v>475</v>
      </c>
      <c r="VQL1" s="922"/>
      <c r="VQP1" s="920" t="s">
        <v>475</v>
      </c>
      <c r="VQT1" s="922"/>
      <c r="VQX1" s="920" t="s">
        <v>475</v>
      </c>
      <c r="VRB1" s="922"/>
      <c r="VRF1" s="920" t="s">
        <v>475</v>
      </c>
      <c r="VRJ1" s="922"/>
      <c r="VRN1" s="920" t="s">
        <v>475</v>
      </c>
      <c r="VRR1" s="922"/>
      <c r="VRV1" s="920" t="s">
        <v>475</v>
      </c>
      <c r="VRZ1" s="922"/>
      <c r="VSD1" s="920" t="s">
        <v>475</v>
      </c>
      <c r="VSH1" s="922"/>
      <c r="VSL1" s="920" t="s">
        <v>475</v>
      </c>
      <c r="VSP1" s="922"/>
      <c r="VST1" s="920" t="s">
        <v>475</v>
      </c>
      <c r="VSX1" s="922"/>
      <c r="VTB1" s="920" t="s">
        <v>475</v>
      </c>
      <c r="VTF1" s="922"/>
      <c r="VTJ1" s="920" t="s">
        <v>475</v>
      </c>
      <c r="VTN1" s="922"/>
      <c r="VTR1" s="920" t="s">
        <v>475</v>
      </c>
      <c r="VTV1" s="922"/>
      <c r="VTZ1" s="920" t="s">
        <v>475</v>
      </c>
      <c r="VUD1" s="922"/>
      <c r="VUH1" s="920" t="s">
        <v>475</v>
      </c>
      <c r="VUL1" s="922"/>
      <c r="VUP1" s="920" t="s">
        <v>475</v>
      </c>
      <c r="VUT1" s="922"/>
      <c r="VUX1" s="920" t="s">
        <v>475</v>
      </c>
      <c r="VVB1" s="922"/>
      <c r="VVF1" s="920" t="s">
        <v>475</v>
      </c>
      <c r="VVJ1" s="922"/>
      <c r="VVN1" s="920" t="s">
        <v>475</v>
      </c>
      <c r="VVR1" s="922"/>
      <c r="VVV1" s="920" t="s">
        <v>475</v>
      </c>
      <c r="VVZ1" s="922"/>
      <c r="VWD1" s="920" t="s">
        <v>475</v>
      </c>
      <c r="VWH1" s="922"/>
      <c r="VWL1" s="920" t="s">
        <v>475</v>
      </c>
      <c r="VWP1" s="922"/>
      <c r="VWT1" s="920" t="s">
        <v>475</v>
      </c>
      <c r="VWX1" s="922"/>
      <c r="VXB1" s="920" t="s">
        <v>475</v>
      </c>
      <c r="VXF1" s="922"/>
      <c r="VXJ1" s="920" t="s">
        <v>475</v>
      </c>
      <c r="VXN1" s="922"/>
      <c r="VXR1" s="920" t="s">
        <v>475</v>
      </c>
      <c r="VXV1" s="922"/>
      <c r="VXZ1" s="920" t="s">
        <v>475</v>
      </c>
      <c r="VYD1" s="922"/>
      <c r="VYH1" s="920" t="s">
        <v>475</v>
      </c>
      <c r="VYL1" s="922"/>
      <c r="VYP1" s="920" t="s">
        <v>475</v>
      </c>
      <c r="VYT1" s="922"/>
      <c r="VYX1" s="920" t="s">
        <v>475</v>
      </c>
      <c r="VZB1" s="922"/>
      <c r="VZF1" s="920" t="s">
        <v>475</v>
      </c>
      <c r="VZJ1" s="922"/>
      <c r="VZN1" s="920" t="s">
        <v>475</v>
      </c>
      <c r="VZR1" s="922"/>
      <c r="VZV1" s="920" t="s">
        <v>475</v>
      </c>
      <c r="VZZ1" s="922"/>
      <c r="WAD1" s="920" t="s">
        <v>475</v>
      </c>
      <c r="WAH1" s="922"/>
      <c r="WAL1" s="920" t="s">
        <v>475</v>
      </c>
      <c r="WAP1" s="922"/>
      <c r="WAT1" s="920" t="s">
        <v>475</v>
      </c>
      <c r="WAX1" s="922"/>
      <c r="WBB1" s="920" t="s">
        <v>475</v>
      </c>
      <c r="WBF1" s="922"/>
      <c r="WBJ1" s="920" t="s">
        <v>475</v>
      </c>
      <c r="WBN1" s="922"/>
      <c r="WBR1" s="920" t="s">
        <v>475</v>
      </c>
      <c r="WBV1" s="922"/>
      <c r="WBZ1" s="920" t="s">
        <v>475</v>
      </c>
      <c r="WCD1" s="922"/>
      <c r="WCH1" s="920" t="s">
        <v>475</v>
      </c>
      <c r="WCL1" s="922"/>
      <c r="WCP1" s="920" t="s">
        <v>475</v>
      </c>
      <c r="WCT1" s="922"/>
      <c r="WCX1" s="920" t="s">
        <v>475</v>
      </c>
      <c r="WDB1" s="922"/>
      <c r="WDF1" s="920" t="s">
        <v>475</v>
      </c>
      <c r="WDJ1" s="922"/>
      <c r="WDN1" s="920" t="s">
        <v>475</v>
      </c>
      <c r="WDR1" s="922"/>
      <c r="WDV1" s="920" t="s">
        <v>475</v>
      </c>
      <c r="WDZ1" s="922"/>
      <c r="WED1" s="920" t="s">
        <v>475</v>
      </c>
      <c r="WEH1" s="922"/>
      <c r="WEL1" s="920" t="s">
        <v>475</v>
      </c>
      <c r="WEP1" s="922"/>
      <c r="WET1" s="920" t="s">
        <v>475</v>
      </c>
      <c r="WEX1" s="922"/>
      <c r="WFB1" s="920" t="s">
        <v>475</v>
      </c>
      <c r="WFF1" s="922"/>
      <c r="WFJ1" s="920" t="s">
        <v>475</v>
      </c>
      <c r="WFN1" s="922"/>
      <c r="WFR1" s="920" t="s">
        <v>475</v>
      </c>
      <c r="WFV1" s="922"/>
      <c r="WFZ1" s="920" t="s">
        <v>475</v>
      </c>
      <c r="WGD1" s="922"/>
      <c r="WGH1" s="920" t="s">
        <v>475</v>
      </c>
      <c r="WGL1" s="922"/>
      <c r="WGP1" s="920" t="s">
        <v>475</v>
      </c>
      <c r="WGT1" s="922"/>
      <c r="WGX1" s="920" t="s">
        <v>475</v>
      </c>
      <c r="WHB1" s="922"/>
      <c r="WHF1" s="920" t="s">
        <v>475</v>
      </c>
      <c r="WHJ1" s="922"/>
      <c r="WHN1" s="920" t="s">
        <v>475</v>
      </c>
      <c r="WHR1" s="922"/>
      <c r="WHV1" s="920" t="s">
        <v>475</v>
      </c>
      <c r="WHZ1" s="922"/>
      <c r="WID1" s="920" t="s">
        <v>475</v>
      </c>
      <c r="WIH1" s="922"/>
      <c r="WIL1" s="920" t="s">
        <v>475</v>
      </c>
      <c r="WIP1" s="922"/>
      <c r="WIT1" s="920" t="s">
        <v>475</v>
      </c>
      <c r="WIX1" s="922"/>
      <c r="WJB1" s="920" t="s">
        <v>475</v>
      </c>
      <c r="WJF1" s="922"/>
      <c r="WJJ1" s="920" t="s">
        <v>475</v>
      </c>
      <c r="WJN1" s="922"/>
      <c r="WJR1" s="920" t="s">
        <v>475</v>
      </c>
      <c r="WJV1" s="922"/>
      <c r="WJZ1" s="920" t="s">
        <v>475</v>
      </c>
      <c r="WKD1" s="922"/>
      <c r="WKH1" s="920" t="s">
        <v>475</v>
      </c>
      <c r="WKL1" s="922"/>
      <c r="WKP1" s="920" t="s">
        <v>475</v>
      </c>
      <c r="WKT1" s="922"/>
      <c r="WKX1" s="920" t="s">
        <v>475</v>
      </c>
      <c r="WLB1" s="922"/>
      <c r="WLF1" s="920" t="s">
        <v>475</v>
      </c>
      <c r="WLJ1" s="922"/>
      <c r="WLN1" s="920" t="s">
        <v>475</v>
      </c>
      <c r="WLR1" s="922"/>
      <c r="WLV1" s="920" t="s">
        <v>475</v>
      </c>
      <c r="WLZ1" s="922"/>
      <c r="WMD1" s="920" t="s">
        <v>475</v>
      </c>
      <c r="WMH1" s="922"/>
      <c r="WML1" s="920" t="s">
        <v>475</v>
      </c>
      <c r="WMP1" s="922"/>
      <c r="WMT1" s="920" t="s">
        <v>475</v>
      </c>
      <c r="WMX1" s="922"/>
      <c r="WNB1" s="920" t="s">
        <v>475</v>
      </c>
      <c r="WNF1" s="922"/>
      <c r="WNJ1" s="920" t="s">
        <v>475</v>
      </c>
      <c r="WNN1" s="922"/>
      <c r="WNR1" s="920" t="s">
        <v>475</v>
      </c>
      <c r="WNV1" s="922"/>
      <c r="WNZ1" s="920" t="s">
        <v>475</v>
      </c>
      <c r="WOD1" s="922"/>
      <c r="WOH1" s="920" t="s">
        <v>475</v>
      </c>
      <c r="WOL1" s="922"/>
      <c r="WOP1" s="920" t="s">
        <v>475</v>
      </c>
      <c r="WOT1" s="922"/>
      <c r="WOX1" s="920" t="s">
        <v>475</v>
      </c>
      <c r="WPB1" s="922"/>
      <c r="WPF1" s="920" t="s">
        <v>475</v>
      </c>
      <c r="WPJ1" s="922"/>
      <c r="WPN1" s="920" t="s">
        <v>475</v>
      </c>
      <c r="WPR1" s="922"/>
      <c r="WPV1" s="920" t="s">
        <v>475</v>
      </c>
      <c r="WPZ1" s="922"/>
      <c r="WQD1" s="920" t="s">
        <v>475</v>
      </c>
      <c r="WQH1" s="922"/>
      <c r="WQL1" s="920" t="s">
        <v>475</v>
      </c>
      <c r="WQP1" s="922"/>
      <c r="WQT1" s="920" t="s">
        <v>475</v>
      </c>
      <c r="WQX1" s="922"/>
      <c r="WRB1" s="920" t="s">
        <v>475</v>
      </c>
      <c r="WRF1" s="922"/>
      <c r="WRJ1" s="920" t="s">
        <v>475</v>
      </c>
      <c r="WRN1" s="922"/>
      <c r="WRR1" s="920" t="s">
        <v>475</v>
      </c>
      <c r="WRV1" s="922"/>
      <c r="WRZ1" s="920" t="s">
        <v>475</v>
      </c>
      <c r="WSD1" s="922"/>
      <c r="WSH1" s="920" t="s">
        <v>475</v>
      </c>
      <c r="WSL1" s="922"/>
      <c r="WSP1" s="920" t="s">
        <v>475</v>
      </c>
      <c r="WST1" s="922"/>
      <c r="WSX1" s="920" t="s">
        <v>475</v>
      </c>
      <c r="WTB1" s="922"/>
      <c r="WTF1" s="920" t="s">
        <v>475</v>
      </c>
      <c r="WTJ1" s="922"/>
      <c r="WTN1" s="920" t="s">
        <v>475</v>
      </c>
      <c r="WTR1" s="922"/>
      <c r="WTV1" s="920" t="s">
        <v>475</v>
      </c>
      <c r="WTZ1" s="922"/>
      <c r="WUD1" s="920" t="s">
        <v>475</v>
      </c>
      <c r="WUH1" s="922"/>
      <c r="WUL1" s="920" t="s">
        <v>475</v>
      </c>
      <c r="WUP1" s="922"/>
      <c r="WUT1" s="920" t="s">
        <v>475</v>
      </c>
      <c r="WUX1" s="922"/>
      <c r="WVB1" s="920" t="s">
        <v>475</v>
      </c>
      <c r="WVF1" s="922"/>
      <c r="WVJ1" s="920" t="s">
        <v>475</v>
      </c>
      <c r="WVN1" s="922"/>
      <c r="WVR1" s="920" t="s">
        <v>475</v>
      </c>
      <c r="WVV1" s="922"/>
      <c r="WVZ1" s="920" t="s">
        <v>475</v>
      </c>
      <c r="WWD1" s="922"/>
      <c r="WWH1" s="920" t="s">
        <v>475</v>
      </c>
      <c r="WWL1" s="922"/>
      <c r="WWP1" s="920" t="s">
        <v>475</v>
      </c>
      <c r="WWT1" s="922"/>
      <c r="WWX1" s="920" t="s">
        <v>475</v>
      </c>
      <c r="WXB1" s="922"/>
      <c r="WXF1" s="920" t="s">
        <v>475</v>
      </c>
      <c r="WXJ1" s="922"/>
      <c r="WXN1" s="920" t="s">
        <v>475</v>
      </c>
      <c r="WXR1" s="922"/>
      <c r="WXV1" s="920" t="s">
        <v>475</v>
      </c>
      <c r="WXZ1" s="922"/>
      <c r="WYD1" s="920" t="s">
        <v>475</v>
      </c>
      <c r="WYH1" s="922"/>
      <c r="WYL1" s="920" t="s">
        <v>475</v>
      </c>
      <c r="WYP1" s="922"/>
      <c r="WYT1" s="920" t="s">
        <v>475</v>
      </c>
      <c r="WYX1" s="922"/>
      <c r="WZB1" s="920" t="s">
        <v>475</v>
      </c>
      <c r="WZF1" s="922"/>
      <c r="WZJ1" s="920" t="s">
        <v>475</v>
      </c>
      <c r="WZN1" s="922"/>
      <c r="WZR1" s="920" t="s">
        <v>475</v>
      </c>
      <c r="WZV1" s="922"/>
      <c r="WZZ1" s="920" t="s">
        <v>475</v>
      </c>
      <c r="XAD1" s="922"/>
      <c r="XAH1" s="920" t="s">
        <v>475</v>
      </c>
      <c r="XAL1" s="922"/>
      <c r="XAP1" s="920" t="s">
        <v>475</v>
      </c>
      <c r="XAT1" s="922"/>
      <c r="XAX1" s="920" t="s">
        <v>475</v>
      </c>
      <c r="XBB1" s="922"/>
      <c r="XBF1" s="920" t="s">
        <v>475</v>
      </c>
      <c r="XBJ1" s="922"/>
      <c r="XBN1" s="920" t="s">
        <v>475</v>
      </c>
      <c r="XBR1" s="922"/>
      <c r="XBV1" s="920" t="s">
        <v>475</v>
      </c>
      <c r="XBZ1" s="922"/>
      <c r="XCD1" s="920" t="s">
        <v>475</v>
      </c>
      <c r="XCH1" s="922"/>
      <c r="XCL1" s="920" t="s">
        <v>475</v>
      </c>
      <c r="XCP1" s="922"/>
      <c r="XCT1" s="920" t="s">
        <v>475</v>
      </c>
      <c r="XCX1" s="922"/>
      <c r="XDB1" s="920" t="s">
        <v>475</v>
      </c>
      <c r="XDF1" s="922"/>
      <c r="XDJ1" s="920" t="s">
        <v>475</v>
      </c>
      <c r="XDN1" s="922"/>
      <c r="XDR1" s="920" t="s">
        <v>475</v>
      </c>
      <c r="XDV1" s="922"/>
      <c r="XDZ1" s="920" t="s">
        <v>475</v>
      </c>
      <c r="XED1" s="922"/>
      <c r="XEH1" s="920" t="s">
        <v>475</v>
      </c>
      <c r="XEL1" s="922"/>
      <c r="XEP1" s="920" t="s">
        <v>475</v>
      </c>
      <c r="XET1" s="922"/>
      <c r="XEX1" s="920" t="s">
        <v>475</v>
      </c>
      <c r="XFB1" s="922"/>
    </row>
    <row r="2" spans="1:1022 1026:2046 2050:3070 3074:4094 4098:5118 5122:6142 6146:7166 7170:8190 8194:9214 9218:10238 10242:11262 11266:12286 12290:13310 13314:14334 14338:15358 15362:16382" ht="20.25" customHeight="1" x14ac:dyDescent="0.2">
      <c r="A2" s="1370" t="s">
        <v>447</v>
      </c>
      <c r="B2" s="1370"/>
      <c r="C2" s="1370"/>
      <c r="D2" s="1370"/>
      <c r="E2" s="1370"/>
      <c r="F2" s="1370"/>
      <c r="G2" s="1370"/>
      <c r="H2" s="1370"/>
      <c r="I2" s="1370"/>
      <c r="J2" s="1370"/>
      <c r="K2" s="1370"/>
      <c r="L2" s="1370"/>
      <c r="M2" s="1370"/>
      <c r="N2" s="1370"/>
      <c r="O2" s="1370"/>
      <c r="P2" s="1370"/>
      <c r="Q2" s="1370"/>
      <c r="R2" s="1370"/>
      <c r="S2" s="1370"/>
      <c r="T2" s="1370"/>
      <c r="U2" s="1370"/>
      <c r="V2" s="1370"/>
      <c r="W2" s="1370"/>
      <c r="X2" s="1370"/>
      <c r="Y2" s="1370"/>
      <c r="Z2" s="1370"/>
      <c r="AA2" s="1370"/>
      <c r="AB2" s="1370"/>
      <c r="AC2" s="1370"/>
      <c r="AD2" s="1370"/>
      <c r="AE2" s="1370"/>
    </row>
    <row r="3" spans="1:1022 1026:2046 2050:3070 3074:4094 4098:5118 5122:6142 6146:7166 7170:8190 8194:9214 9218:10238 10242:11262 11266:12286 12290:13310 13314:14334 14338:15358 15362:16382" ht="22.8" x14ac:dyDescent="0.2">
      <c r="A3" s="1370" t="s">
        <v>221</v>
      </c>
      <c r="B3" s="1370"/>
      <c r="C3" s="1370"/>
      <c r="D3" s="1370"/>
      <c r="E3" s="1370"/>
      <c r="F3" s="1370"/>
      <c r="G3" s="1370"/>
      <c r="H3" s="1370"/>
      <c r="I3" s="1370"/>
      <c r="J3" s="1370"/>
      <c r="K3" s="1370"/>
      <c r="L3" s="1370"/>
      <c r="M3" s="1370"/>
      <c r="N3" s="1370"/>
      <c r="O3" s="1370"/>
      <c r="P3" s="1370"/>
      <c r="Q3" s="1370"/>
      <c r="R3" s="1370"/>
      <c r="S3" s="1370"/>
      <c r="T3" s="1370"/>
      <c r="U3" s="1370"/>
      <c r="V3" s="1370"/>
      <c r="W3" s="1370"/>
      <c r="X3" s="1370"/>
      <c r="Y3" s="1370"/>
      <c r="Z3" s="1370"/>
      <c r="AA3" s="1370"/>
      <c r="AB3" s="1370"/>
      <c r="AC3" s="1370"/>
      <c r="AD3" s="1370"/>
      <c r="AE3" s="1370"/>
    </row>
    <row r="4" spans="1:1022 1026:2046 2050:3070 3074:4094 4098:5118 5122:6142 6146:7166 7170:8190 8194:9214 9218:10238 10242:11262 11266:12286 12290:13310 13314:14334 14338:15358 15362:16382" ht="22.8" x14ac:dyDescent="0.4">
      <c r="A4" s="866"/>
      <c r="B4" s="1366" t="str">
        <f>+ADMON!A5</f>
        <v>QUINCENA DEL 16  AL 30  DE ABRIL - 2026</v>
      </c>
      <c r="C4" s="1366"/>
      <c r="D4" s="1366"/>
      <c r="E4" s="1366"/>
      <c r="F4" s="1366"/>
      <c r="G4" s="1366"/>
      <c r="H4" s="1366"/>
      <c r="I4" s="1366"/>
      <c r="J4" s="1366"/>
      <c r="K4" s="1366"/>
      <c r="L4" s="1366"/>
      <c r="M4" s="1366"/>
      <c r="N4" s="1366"/>
      <c r="O4" s="1366"/>
      <c r="P4" s="1366"/>
      <c r="Q4" s="1366"/>
      <c r="R4" s="1366"/>
      <c r="S4" s="1366"/>
      <c r="T4" s="1366"/>
      <c r="U4" s="1366"/>
      <c r="V4" s="1366"/>
      <c r="W4" s="1366"/>
      <c r="X4" s="1366"/>
      <c r="Y4" s="1366"/>
      <c r="Z4" s="1366"/>
      <c r="AA4" s="1366"/>
      <c r="AB4" s="1366"/>
      <c r="AC4" s="1366"/>
      <c r="AD4" s="866"/>
      <c r="AE4" s="866"/>
    </row>
    <row r="5" spans="1:1022 1026:2046 2050:3070 3074:4094 4098:5118 5122:6142 6146:7166 7170:8190 8194:9214 9218:10238 10242:11262 11266:12286 12290:13310 13314:14334 14338:15358 15362:16382" ht="18" thickBot="1" x14ac:dyDescent="0.35">
      <c r="A5" s="74"/>
      <c r="B5" s="75"/>
      <c r="C5" s="74"/>
      <c r="D5" s="74"/>
      <c r="E5" s="74"/>
      <c r="F5" s="74"/>
      <c r="G5" s="74"/>
      <c r="H5" s="74"/>
      <c r="I5" s="74"/>
      <c r="J5" s="74"/>
      <c r="K5" s="74"/>
      <c r="L5" s="74">
        <v>6</v>
      </c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26"/>
      <c r="AD5" s="26"/>
      <c r="AE5" s="26"/>
    </row>
    <row r="6" spans="1:1022 1026:2046 2050:3070 3074:4094 4098:5118 5122:6142 6146:7166 7170:8190 8194:9214 9218:10238 10242:11262 11266:12286 12290:13310 13314:14334 14338:15358 15362:16382" ht="11.4" thickTop="1" thickBot="1" x14ac:dyDescent="0.25">
      <c r="A6" s="1143" t="s">
        <v>2</v>
      </c>
      <c r="B6" s="1143" t="s">
        <v>3</v>
      </c>
      <c r="C6" s="1179" t="s">
        <v>4</v>
      </c>
      <c r="D6" s="1143" t="s">
        <v>6</v>
      </c>
      <c r="E6" s="1179" t="s">
        <v>187</v>
      </c>
      <c r="F6" s="1143" t="s">
        <v>7</v>
      </c>
      <c r="G6" s="1375" t="s">
        <v>125</v>
      </c>
      <c r="H6" s="1376" t="s">
        <v>82</v>
      </c>
      <c r="I6" s="1143" t="s">
        <v>8</v>
      </c>
      <c r="J6" s="1151" t="s">
        <v>9</v>
      </c>
      <c r="K6" s="1151"/>
      <c r="L6" s="1151"/>
      <c r="M6" s="1151"/>
      <c r="N6" s="1151"/>
      <c r="O6" s="1151"/>
      <c r="P6" s="351"/>
      <c r="Q6" s="351"/>
      <c r="R6" s="1143" t="s">
        <v>10</v>
      </c>
      <c r="S6" s="1143"/>
      <c r="T6" s="1143"/>
      <c r="U6" s="1143"/>
      <c r="V6" s="1143"/>
      <c r="W6" s="1143"/>
      <c r="X6" s="1335" t="s">
        <v>29</v>
      </c>
      <c r="Y6" s="1157" t="s">
        <v>114</v>
      </c>
      <c r="Z6" s="943"/>
      <c r="AA6" s="1157" t="s">
        <v>99</v>
      </c>
      <c r="AB6" s="1143" t="s">
        <v>11</v>
      </c>
      <c r="AC6" s="1173" t="s">
        <v>12</v>
      </c>
      <c r="AD6" s="1143" t="str">
        <f>+P7</f>
        <v>VACACIONES</v>
      </c>
      <c r="AE6" s="1143" t="str">
        <f>+Q7</f>
        <v>13VO MES</v>
      </c>
    </row>
    <row r="7" spans="1:1022 1026:2046 2050:3070 3074:4094 4098:5118 5122:6142 6146:7166 7170:8190 8194:9214 9218:10238 10242:11262 11266:12286 12290:13310 13314:14334 14338:15358 15362:16382" ht="21" customHeight="1" thickTop="1" thickBot="1" x14ac:dyDescent="0.25">
      <c r="A7" s="1143"/>
      <c r="B7" s="1143"/>
      <c r="C7" s="1180"/>
      <c r="D7" s="1143"/>
      <c r="E7" s="1180"/>
      <c r="F7" s="1143"/>
      <c r="G7" s="1375"/>
      <c r="H7" s="1376"/>
      <c r="I7" s="1143"/>
      <c r="J7" s="1143" t="s">
        <v>177</v>
      </c>
      <c r="K7" s="1155" t="s">
        <v>16</v>
      </c>
      <c r="L7" s="1168" t="s">
        <v>196</v>
      </c>
      <c r="M7" s="1168" t="s">
        <v>197</v>
      </c>
      <c r="N7" s="1333" t="s">
        <v>195</v>
      </c>
      <c r="O7" s="1143" t="s">
        <v>200</v>
      </c>
      <c r="P7" s="1335" t="s">
        <v>199</v>
      </c>
      <c r="Q7" s="1335" t="s">
        <v>53</v>
      </c>
      <c r="R7" s="1143" t="s">
        <v>29</v>
      </c>
      <c r="S7" s="1170"/>
      <c r="T7" s="1335" t="s">
        <v>3</v>
      </c>
      <c r="U7" s="1143" t="s">
        <v>19</v>
      </c>
      <c r="V7" s="1143" t="s">
        <v>94</v>
      </c>
      <c r="W7" s="1143" t="s">
        <v>20</v>
      </c>
      <c r="X7" s="1337"/>
      <c r="Y7" s="1157"/>
      <c r="Z7" s="947" t="s">
        <v>29</v>
      </c>
      <c r="AA7" s="1157"/>
      <c r="AB7" s="1143"/>
      <c r="AC7" s="1173"/>
      <c r="AD7" s="1143"/>
      <c r="AE7" s="1143"/>
    </row>
    <row r="8" spans="1:1022 1026:2046 2050:3070 3074:4094 4098:5118 5122:6142 6146:7166 7170:8190 8194:9214 9218:10238 10242:11262 11266:12286 12290:13310 13314:14334 14338:15358 15362:16382" ht="26.25" customHeight="1" thickTop="1" thickBot="1" x14ac:dyDescent="0.25">
      <c r="A8" s="1143"/>
      <c r="B8" s="1143"/>
      <c r="C8" s="1181"/>
      <c r="D8" s="1143"/>
      <c r="E8" s="1181"/>
      <c r="F8" s="1143"/>
      <c r="G8" s="1375"/>
      <c r="H8" s="1376"/>
      <c r="I8" s="1143"/>
      <c r="J8" s="1143"/>
      <c r="K8" s="1155"/>
      <c r="L8" s="1169"/>
      <c r="M8" s="1169"/>
      <c r="N8" s="1334"/>
      <c r="O8" s="1143"/>
      <c r="P8" s="1336"/>
      <c r="Q8" s="1336"/>
      <c r="R8" s="1143"/>
      <c r="S8" s="1172"/>
      <c r="T8" s="1336"/>
      <c r="U8" s="1143"/>
      <c r="V8" s="1143"/>
      <c r="W8" s="1143"/>
      <c r="X8" s="1336"/>
      <c r="Y8" s="1157"/>
      <c r="Z8" s="943"/>
      <c r="AA8" s="1157"/>
      <c r="AB8" s="1143"/>
      <c r="AC8" s="1173"/>
      <c r="AD8" s="1143"/>
      <c r="AE8" s="1143"/>
    </row>
    <row r="9" spans="1:1022 1026:2046 2050:3070 3074:4094 4098:5118 5122:6142 6146:7166 7170:8190 8194:9214 9218:10238 10242:11262 11266:12286 12290:13310 13314:14334 14338:15358 15362:16382" ht="105" customHeight="1" thickTop="1" thickBot="1" x14ac:dyDescent="0.25">
      <c r="A9" s="319">
        <v>1</v>
      </c>
      <c r="B9" s="354">
        <v>0</v>
      </c>
      <c r="C9" s="358" t="s">
        <v>457</v>
      </c>
      <c r="D9" s="632" t="s">
        <v>313</v>
      </c>
      <c r="E9" s="211" t="s">
        <v>32</v>
      </c>
      <c r="F9" s="353" t="s">
        <v>444</v>
      </c>
      <c r="G9" s="79" t="e">
        <f>+#REF!</f>
        <v>#REF!</v>
      </c>
      <c r="H9" s="216">
        <v>350</v>
      </c>
      <c r="I9" s="321">
        <f>+H9*30</f>
        <v>10500</v>
      </c>
      <c r="J9" s="631">
        <f t="shared" ref="J9:J11" si="0">(I9/30*K9)</f>
        <v>0</v>
      </c>
      <c r="K9" s="1003">
        <v>0</v>
      </c>
      <c r="L9" s="328">
        <f t="shared" ref="L9:L10" si="1">+M9*N9</f>
        <v>0</v>
      </c>
      <c r="M9" s="584">
        <f t="shared" ref="M9:M10" si="2">H9*60%</f>
        <v>210</v>
      </c>
      <c r="N9" s="328">
        <v>0</v>
      </c>
      <c r="O9" s="585">
        <f t="shared" ref="O9:O11" si="3">+J9-P9-Q9</f>
        <v>0</v>
      </c>
      <c r="P9" s="585">
        <f t="shared" ref="P9:P11" si="4">+J9/12</f>
        <v>0</v>
      </c>
      <c r="Q9" s="585">
        <f t="shared" ref="Q9:Q11" si="5">+P9</f>
        <v>0</v>
      </c>
      <c r="R9" s="583">
        <f t="shared" ref="R9:R11" si="6">+Q9+O9+P9</f>
        <v>0</v>
      </c>
      <c r="S9" s="588">
        <f t="shared" ref="S9:S10" si="7">O9+P9</f>
        <v>0</v>
      </c>
      <c r="T9" s="583"/>
      <c r="U9" s="583"/>
      <c r="V9" s="583"/>
      <c r="W9" s="585">
        <f t="shared" ref="W9:W10" si="8">T9</f>
        <v>0</v>
      </c>
      <c r="X9" s="585">
        <f t="shared" ref="X9:X11" si="9">-W9+O9+P9+Q9</f>
        <v>0</v>
      </c>
      <c r="Y9" s="324">
        <v>0</v>
      </c>
      <c r="Z9" s="324">
        <v>0</v>
      </c>
      <c r="AA9" s="324">
        <v>0</v>
      </c>
      <c r="AB9" s="630">
        <f t="shared" ref="AB9:AB11" si="10">X9-Y9-AA9</f>
        <v>0</v>
      </c>
      <c r="AC9" s="325"/>
      <c r="AD9" s="325">
        <v>0</v>
      </c>
      <c r="AE9" s="325">
        <v>0</v>
      </c>
    </row>
    <row r="10" spans="1:1022 1026:2046 2050:3070 3074:4094 4098:5118 5122:6142 6146:7166 7170:8190 8194:9214 9218:10238 10242:11262 11266:12286 12290:13310 13314:14334 14338:15358 15362:16382" ht="102.75" hidden="1" customHeight="1" thickTop="1" thickBot="1" x14ac:dyDescent="0.25">
      <c r="A10" s="319">
        <v>2</v>
      </c>
      <c r="B10" s="738">
        <v>38675494</v>
      </c>
      <c r="C10" s="358" t="s">
        <v>458</v>
      </c>
      <c r="D10" s="942" t="s">
        <v>325</v>
      </c>
      <c r="E10" s="211" t="s">
        <v>188</v>
      </c>
      <c r="F10" s="353" t="s">
        <v>251</v>
      </c>
      <c r="G10" s="79" t="e">
        <f>+#REF!</f>
        <v>#REF!</v>
      </c>
      <c r="H10" s="216">
        <v>320</v>
      </c>
      <c r="I10" s="321">
        <f>+H10*30</f>
        <v>9600</v>
      </c>
      <c r="J10" s="631">
        <f t="shared" si="0"/>
        <v>0</v>
      </c>
      <c r="K10" s="999">
        <v>0</v>
      </c>
      <c r="L10" s="328">
        <f t="shared" si="1"/>
        <v>0</v>
      </c>
      <c r="M10" s="584">
        <f t="shared" si="2"/>
        <v>192</v>
      </c>
      <c r="N10" s="328">
        <v>0</v>
      </c>
      <c r="O10" s="585">
        <f t="shared" si="3"/>
        <v>0</v>
      </c>
      <c r="P10" s="585">
        <f t="shared" si="4"/>
        <v>0</v>
      </c>
      <c r="Q10" s="585">
        <f t="shared" si="5"/>
        <v>0</v>
      </c>
      <c r="R10" s="583">
        <f t="shared" si="6"/>
        <v>0</v>
      </c>
      <c r="S10" s="588">
        <f t="shared" si="7"/>
        <v>0</v>
      </c>
      <c r="T10" s="583"/>
      <c r="U10" s="583"/>
      <c r="V10" s="583"/>
      <c r="W10" s="585">
        <f t="shared" si="8"/>
        <v>0</v>
      </c>
      <c r="X10" s="585">
        <f t="shared" si="9"/>
        <v>0</v>
      </c>
      <c r="Y10" s="324">
        <v>0</v>
      </c>
      <c r="Z10" s="324">
        <v>0</v>
      </c>
      <c r="AA10" s="324">
        <v>0</v>
      </c>
      <c r="AB10" s="630">
        <f t="shared" si="10"/>
        <v>0</v>
      </c>
      <c r="AC10" s="325"/>
      <c r="AD10" s="325">
        <v>0</v>
      </c>
      <c r="AE10" s="325">
        <v>0</v>
      </c>
    </row>
    <row r="11" spans="1:1022 1026:2046 2050:3070 3074:4094 4098:5118 5122:6142 6146:7166 7170:8190 8194:9214 9218:10238 10242:11262 11266:12286 12290:13310 13314:14334 14338:15358 15362:16382" ht="102.75" hidden="1" customHeight="1" thickTop="1" thickBot="1" x14ac:dyDescent="0.25">
      <c r="A11" s="904"/>
      <c r="B11" s="941"/>
      <c r="C11" s="906"/>
      <c r="D11" s="936" t="s">
        <v>487</v>
      </c>
      <c r="E11" s="935" t="s">
        <v>32</v>
      </c>
      <c r="F11" s="353" t="s">
        <v>264</v>
      </c>
      <c r="G11" s="79"/>
      <c r="H11" s="216">
        <v>320</v>
      </c>
      <c r="I11" s="321">
        <f>+H11*30</f>
        <v>9600</v>
      </c>
      <c r="J11" s="631">
        <f t="shared" si="0"/>
        <v>0</v>
      </c>
      <c r="K11" s="328">
        <v>0</v>
      </c>
      <c r="L11" s="328"/>
      <c r="M11" s="584"/>
      <c r="N11" s="328">
        <v>0</v>
      </c>
      <c r="O11" s="585">
        <f t="shared" si="3"/>
        <v>0</v>
      </c>
      <c r="P11" s="585">
        <f t="shared" si="4"/>
        <v>0</v>
      </c>
      <c r="Q11" s="585">
        <f t="shared" si="5"/>
        <v>0</v>
      </c>
      <c r="R11" s="583">
        <f t="shared" si="6"/>
        <v>0</v>
      </c>
      <c r="S11" s="588"/>
      <c r="T11" s="583"/>
      <c r="U11" s="583"/>
      <c r="V11" s="583"/>
      <c r="W11" s="585"/>
      <c r="X11" s="585">
        <f t="shared" si="9"/>
        <v>0</v>
      </c>
      <c r="Y11" s="324"/>
      <c r="Z11" s="324">
        <v>0</v>
      </c>
      <c r="AA11" s="324"/>
      <c r="AB11" s="630">
        <f t="shared" si="10"/>
        <v>0</v>
      </c>
      <c r="AC11" s="325"/>
      <c r="AD11" s="325"/>
      <c r="AE11" s="325"/>
    </row>
    <row r="12" spans="1:1022 1026:2046 2050:3070 3074:4094 4098:5118 5122:6142 6146:7166 7170:8190 8194:9214 9218:10238 10242:11262 11266:12286 12290:13310 13314:14334 14338:15358 15362:16382" ht="22.2" thickTop="1" thickBot="1" x14ac:dyDescent="0.25">
      <c r="A12" s="1162" t="s">
        <v>95</v>
      </c>
      <c r="B12" s="1389"/>
      <c r="C12" s="1163"/>
      <c r="D12" s="1450"/>
      <c r="E12" s="215"/>
      <c r="F12" s="215"/>
      <c r="G12" s="215" t="e">
        <f>SUM(#REF!)</f>
        <v>#REF!</v>
      </c>
      <c r="H12" s="895">
        <f t="shared" ref="H12:AA12" si="11">SUM(H9:H11)</f>
        <v>990</v>
      </c>
      <c r="I12" s="895">
        <f t="shared" si="11"/>
        <v>29700</v>
      </c>
      <c r="J12" s="895">
        <f t="shared" si="11"/>
        <v>0</v>
      </c>
      <c r="K12" s="895">
        <f t="shared" si="11"/>
        <v>0</v>
      </c>
      <c r="L12" s="895">
        <f t="shared" si="11"/>
        <v>0</v>
      </c>
      <c r="M12" s="895">
        <f t="shared" si="11"/>
        <v>402</v>
      </c>
      <c r="N12" s="895">
        <f t="shared" si="11"/>
        <v>0</v>
      </c>
      <c r="O12" s="895">
        <f t="shared" si="11"/>
        <v>0</v>
      </c>
      <c r="P12" s="895">
        <f t="shared" si="11"/>
        <v>0</v>
      </c>
      <c r="Q12" s="895">
        <f t="shared" si="11"/>
        <v>0</v>
      </c>
      <c r="R12" s="957">
        <f t="shared" si="11"/>
        <v>0</v>
      </c>
      <c r="S12" s="957">
        <f t="shared" si="11"/>
        <v>0</v>
      </c>
      <c r="T12" s="957">
        <f t="shared" si="11"/>
        <v>0</v>
      </c>
      <c r="U12" s="957">
        <f t="shared" si="11"/>
        <v>0</v>
      </c>
      <c r="V12" s="957">
        <f t="shared" si="11"/>
        <v>0</v>
      </c>
      <c r="W12" s="957">
        <f t="shared" si="11"/>
        <v>0</v>
      </c>
      <c r="X12" s="957">
        <f t="shared" si="11"/>
        <v>0</v>
      </c>
      <c r="Y12" s="957">
        <f t="shared" si="11"/>
        <v>0</v>
      </c>
      <c r="Z12" s="957">
        <f t="shared" si="11"/>
        <v>0</v>
      </c>
      <c r="AA12" s="957">
        <f t="shared" si="11"/>
        <v>0</v>
      </c>
      <c r="AB12" s="957">
        <f>SUM(AB9:AB11)</f>
        <v>0</v>
      </c>
      <c r="AC12" s="215"/>
      <c r="AD12" s="215">
        <f t="shared" ref="AD12:AE12" si="12">SUM(AD9:AD10)</f>
        <v>0</v>
      </c>
      <c r="AE12" s="215">
        <f t="shared" si="12"/>
        <v>0</v>
      </c>
    </row>
    <row r="13" spans="1:1022 1026:2046 2050:3070 3074:4094 4098:5118 5122:6142 6146:7166 7170:8190 8194:9214 9218:10238 10242:11262 11266:12286 12290:13310 13314:14334 14338:15358 15362:16382" ht="15" thickTop="1" x14ac:dyDescent="0.2">
      <c r="A13" s="27"/>
      <c r="B13" s="27"/>
      <c r="C13" s="27"/>
      <c r="D13" s="27"/>
      <c r="E13" s="27"/>
      <c r="F13" s="28"/>
      <c r="G13" s="613"/>
      <c r="H13" s="28"/>
      <c r="I13" s="27"/>
      <c r="J13" s="27"/>
      <c r="K13" s="29"/>
      <c r="L13" s="29"/>
      <c r="M13" s="29"/>
      <c r="N13" s="29"/>
      <c r="O13" s="27" t="s">
        <v>5</v>
      </c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1022 1026:2046 2050:3070 3074:4094 4098:5118 5122:6142 6146:7166 7170:8190 8194:9214 9218:10238 10242:11262 11266:12286 12290:13310 13314:14334 14338:15358 15362:16382" ht="14.4" x14ac:dyDescent="0.2">
      <c r="A14" s="27"/>
      <c r="B14" s="27"/>
      <c r="C14" s="27"/>
      <c r="D14" s="27"/>
      <c r="E14" s="27"/>
      <c r="F14" s="28"/>
      <c r="G14" s="613"/>
      <c r="H14" s="28"/>
      <c r="I14" s="27"/>
      <c r="J14" s="27"/>
      <c r="K14" s="29"/>
      <c r="L14" s="29"/>
      <c r="M14" s="29"/>
      <c r="N14" s="29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1022 1026:2046 2050:3070 3074:4094 4098:5118 5122:6142 6146:7166 7170:8190 8194:9214 9218:10238 10242:11262 11266:12286 12290:13310 13314:14334 14338:15358 15362:16382" ht="14.4" x14ac:dyDescent="0.2">
      <c r="A15" s="27"/>
      <c r="B15" s="27"/>
      <c r="C15" s="27"/>
      <c r="D15" s="27"/>
      <c r="E15" s="27"/>
      <c r="F15" s="28"/>
      <c r="G15" s="613"/>
      <c r="H15" s="28"/>
      <c r="I15" s="27"/>
      <c r="J15" s="27"/>
      <c r="K15" s="29"/>
      <c r="L15" s="29"/>
      <c r="M15" s="29"/>
      <c r="N15" s="29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1022 1026:2046 2050:3070 3074:4094 4098:5118 5122:6142 6146:7166 7170:8190 8194:9214 9218:10238 10242:11262 11266:12286 12290:13310 13314:14334 14338:15358 15362:16382" ht="14.4" x14ac:dyDescent="0.2">
      <c r="A16" s="27"/>
      <c r="B16" s="27"/>
      <c r="C16" s="27"/>
      <c r="D16" s="27"/>
      <c r="E16" s="27"/>
      <c r="F16" s="28"/>
      <c r="G16" s="613"/>
      <c r="H16" s="28"/>
      <c r="I16" s="27"/>
      <c r="J16" s="27"/>
      <c r="K16" s="29"/>
      <c r="L16" s="29"/>
      <c r="M16" s="29"/>
      <c r="N16" s="29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spans="1:31" ht="14.4" x14ac:dyDescent="0.2">
      <c r="A17" s="27"/>
      <c r="B17" s="27"/>
      <c r="C17" s="27"/>
      <c r="D17" s="27"/>
      <c r="E17" s="27"/>
      <c r="F17" s="28"/>
      <c r="G17" s="613"/>
      <c r="H17" s="28"/>
      <c r="I17" s="27"/>
      <c r="J17" s="27"/>
      <c r="K17" s="29"/>
      <c r="L17" s="29"/>
      <c r="M17" s="29"/>
      <c r="N17" s="29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 spans="1:31" ht="14.4" x14ac:dyDescent="0.2">
      <c r="A18" s="27"/>
      <c r="B18" s="27"/>
      <c r="C18" s="27"/>
      <c r="D18" s="27"/>
      <c r="E18" s="27"/>
      <c r="F18" s="28"/>
      <c r="G18" s="613"/>
      <c r="H18" s="28"/>
      <c r="I18" s="27"/>
      <c r="J18" s="27"/>
      <c r="K18" s="29"/>
      <c r="L18" s="29"/>
      <c r="M18" s="29"/>
      <c r="N18" s="29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 spans="1:31" ht="22.8" x14ac:dyDescent="0.2">
      <c r="A19" s="27"/>
      <c r="B19" s="27"/>
      <c r="C19" s="912"/>
      <c r="D19" s="27"/>
      <c r="E19" s="27"/>
      <c r="F19" s="28"/>
      <c r="G19" s="613"/>
      <c r="H19" s="28"/>
      <c r="I19" s="27"/>
      <c r="J19" s="27"/>
      <c r="K19" s="29"/>
      <c r="L19" s="29"/>
      <c r="M19" s="29"/>
      <c r="N19" s="29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 spans="1:31" ht="14.4" x14ac:dyDescent="0.2">
      <c r="A20" s="27"/>
      <c r="B20" s="27"/>
      <c r="C20" s="27"/>
      <c r="D20" s="27"/>
      <c r="E20" s="27"/>
      <c r="F20" s="28"/>
      <c r="G20" s="613"/>
      <c r="H20" s="28"/>
      <c r="I20" s="27"/>
      <c r="J20" s="27"/>
      <c r="K20" s="29"/>
      <c r="L20" s="29"/>
      <c r="M20" s="29"/>
      <c r="N20" s="29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 spans="1:31" ht="14.4" x14ac:dyDescent="0.2">
      <c r="A21" s="27"/>
      <c r="B21" s="27"/>
      <c r="C21" s="27"/>
      <c r="D21" s="27"/>
      <c r="E21" s="27"/>
      <c r="F21" s="28"/>
      <c r="G21" s="613"/>
      <c r="H21" s="67"/>
      <c r="I21" s="338"/>
      <c r="J21" s="27"/>
      <c r="K21" s="29"/>
      <c r="L21" s="29"/>
      <c r="M21" s="29"/>
      <c r="N21" s="29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</row>
    <row r="22" spans="1:31" ht="14.4" x14ac:dyDescent="0.2">
      <c r="A22" s="27"/>
      <c r="B22" s="27"/>
      <c r="C22" s="27"/>
      <c r="D22" s="27"/>
      <c r="E22" s="27"/>
      <c r="F22" s="28"/>
      <c r="G22" s="613"/>
      <c r="H22" s="28"/>
      <c r="I22" s="27"/>
      <c r="J22" s="27"/>
      <c r="K22" s="29"/>
      <c r="L22" s="29"/>
      <c r="M22" s="29"/>
      <c r="N22" s="29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</row>
    <row r="23" spans="1:31" ht="14.4" x14ac:dyDescent="0.2">
      <c r="A23" s="30"/>
      <c r="B23" s="27"/>
      <c r="C23" s="30"/>
      <c r="D23" s="27"/>
      <c r="E23" s="27"/>
      <c r="F23" s="28"/>
      <c r="G23" s="613"/>
      <c r="H23" s="28"/>
      <c r="I23" s="27"/>
      <c r="J23" s="27"/>
      <c r="K23" s="29"/>
      <c r="L23" s="29"/>
      <c r="M23" s="29"/>
      <c r="N23" s="29"/>
      <c r="O23" s="30"/>
      <c r="P23" s="30"/>
      <c r="Q23" s="30"/>
      <c r="R23" s="27"/>
      <c r="S23" s="27"/>
      <c r="T23" s="27"/>
      <c r="U23" s="27"/>
      <c r="V23" s="31"/>
      <c r="W23" s="27"/>
      <c r="X23" s="27"/>
      <c r="Y23" s="27"/>
      <c r="Z23" s="27"/>
      <c r="AA23" s="27"/>
      <c r="AB23" s="30"/>
      <c r="AC23" s="27"/>
      <c r="AD23" s="27"/>
      <c r="AE23" s="27"/>
    </row>
    <row r="24" spans="1:31" ht="14.4" x14ac:dyDescent="0.2">
      <c r="A24" s="30"/>
      <c r="B24" s="27"/>
      <c r="C24" s="30"/>
      <c r="D24" s="27"/>
      <c r="E24" s="27"/>
      <c r="F24" s="28"/>
      <c r="G24" s="613"/>
      <c r="H24" s="28"/>
      <c r="I24" s="27"/>
      <c r="J24" s="27"/>
      <c r="K24" s="29"/>
      <c r="L24" s="29"/>
      <c r="M24" s="29"/>
      <c r="N24" s="29"/>
      <c r="O24" s="30"/>
      <c r="P24" s="30"/>
      <c r="Q24" s="30"/>
      <c r="R24" s="27"/>
      <c r="S24" s="27"/>
      <c r="T24" s="27"/>
      <c r="U24" s="27"/>
      <c r="V24" s="32"/>
      <c r="W24" s="27"/>
      <c r="X24" s="27"/>
      <c r="Y24" s="27"/>
      <c r="Z24" s="27"/>
      <c r="AA24" s="27"/>
      <c r="AB24" s="30"/>
      <c r="AC24" s="27"/>
      <c r="AD24" s="27"/>
      <c r="AE24" s="27"/>
    </row>
    <row r="25" spans="1:31" ht="14.4" x14ac:dyDescent="0.2">
      <c r="A25" s="30"/>
      <c r="B25" s="27"/>
      <c r="C25" s="1165"/>
      <c r="D25" s="1165"/>
      <c r="E25" s="1165"/>
      <c r="F25" s="1165"/>
      <c r="G25" s="614"/>
      <c r="H25" s="49"/>
      <c r="I25" s="27"/>
      <c r="J25" s="27"/>
      <c r="K25" s="1166"/>
      <c r="L25" s="1166"/>
      <c r="M25" s="1166"/>
      <c r="N25" s="1166"/>
      <c r="O25" s="1166"/>
      <c r="P25" s="1166"/>
      <c r="Q25" s="1166"/>
      <c r="R25" s="1166"/>
      <c r="S25" s="1166"/>
      <c r="T25" s="1166"/>
      <c r="U25" s="1166"/>
      <c r="V25" s="1166"/>
      <c r="W25" s="1166"/>
      <c r="X25" s="29"/>
      <c r="Y25" s="27"/>
      <c r="Z25" s="27"/>
      <c r="AA25" s="27"/>
      <c r="AB25" s="1165"/>
      <c r="AC25" s="1165"/>
      <c r="AD25" s="1165"/>
      <c r="AE25" s="1165"/>
    </row>
    <row r="26" spans="1:31" ht="14.4" x14ac:dyDescent="0.2">
      <c r="A26" s="27"/>
      <c r="B26" s="27"/>
      <c r="C26" s="1167" t="s">
        <v>23</v>
      </c>
      <c r="D26" s="1167"/>
      <c r="E26" s="1167"/>
      <c r="F26" s="1167"/>
      <c r="G26" s="674"/>
      <c r="H26" s="52"/>
      <c r="I26" s="27"/>
      <c r="J26" s="27"/>
      <c r="K26" s="1167" t="s">
        <v>24</v>
      </c>
      <c r="L26" s="1167"/>
      <c r="M26" s="1167"/>
      <c r="N26" s="1167"/>
      <c r="O26" s="1167"/>
      <c r="P26" s="1167"/>
      <c r="Q26" s="1167"/>
      <c r="R26" s="1167"/>
      <c r="S26" s="1167"/>
      <c r="T26" s="1167"/>
      <c r="U26" s="1167"/>
      <c r="V26" s="1167"/>
      <c r="W26" s="1167"/>
      <c r="X26" s="52"/>
      <c r="Y26" s="27"/>
      <c r="Z26" s="27"/>
      <c r="AA26" s="27"/>
      <c r="AB26" s="1167" t="s">
        <v>25</v>
      </c>
      <c r="AC26" s="1167"/>
      <c r="AD26" s="1167"/>
      <c r="AE26" s="1167"/>
    </row>
    <row r="27" spans="1:31" ht="14.4" x14ac:dyDescent="0.2">
      <c r="A27" s="30"/>
      <c r="B27" s="27"/>
      <c r="C27" s="1159" t="str">
        <f>+ADMON!C30</f>
        <v>Jose Martin Conrrado</v>
      </c>
      <c r="D27" s="1159"/>
      <c r="E27" s="1159"/>
      <c r="F27" s="1159"/>
      <c r="G27" s="675"/>
      <c r="H27" s="48"/>
      <c r="I27" s="27"/>
      <c r="J27" s="30"/>
      <c r="K27" s="1159" t="s">
        <v>296</v>
      </c>
      <c r="L27" s="1159"/>
      <c r="M27" s="1159"/>
      <c r="N27" s="1159"/>
      <c r="O27" s="1159"/>
      <c r="P27" s="1159"/>
      <c r="Q27" s="1159"/>
      <c r="R27" s="1159"/>
      <c r="S27" s="1159"/>
      <c r="T27" s="1159"/>
      <c r="U27" s="1159"/>
      <c r="V27" s="1159"/>
      <c r="W27" s="1159"/>
      <c r="X27" s="48"/>
      <c r="Y27" s="33"/>
      <c r="Z27" s="33"/>
      <c r="AA27" s="33"/>
      <c r="AB27" s="1160" t="s">
        <v>27</v>
      </c>
      <c r="AC27" s="1160"/>
      <c r="AD27" s="1160"/>
      <c r="AE27" s="1160"/>
    </row>
    <row r="28" spans="1:31" ht="14.4" x14ac:dyDescent="0.2">
      <c r="A28" s="8"/>
      <c r="B28" s="8"/>
      <c r="C28" s="1161"/>
      <c r="D28" s="1161"/>
      <c r="E28" s="25"/>
      <c r="F28" s="25"/>
      <c r="G28" s="671"/>
      <c r="H28" s="25"/>
      <c r="I28" s="8"/>
      <c r="J28" s="8"/>
      <c r="K28" s="9"/>
      <c r="L28" s="9"/>
      <c r="M28" s="9"/>
      <c r="N28" s="9"/>
      <c r="O28" s="1161"/>
      <c r="P28" s="1161"/>
      <c r="Q28" s="1161"/>
      <c r="R28" s="1161"/>
      <c r="S28" s="1161"/>
      <c r="T28" s="1161"/>
      <c r="U28" s="1161"/>
      <c r="V28" s="25"/>
      <c r="W28" s="25"/>
      <c r="X28" s="25"/>
      <c r="Y28" s="25"/>
      <c r="Z28" s="25"/>
      <c r="AA28" s="25"/>
      <c r="AB28" s="8"/>
      <c r="AC28" s="8"/>
      <c r="AD28" s="8"/>
      <c r="AE28" s="8"/>
    </row>
  </sheetData>
  <protectedRanges>
    <protectedRange sqref="D9:D11" name="Nomina_2_1_2"/>
  </protectedRanges>
  <mergeCells count="48">
    <mergeCell ref="A1:AC1"/>
    <mergeCell ref="A2:AE2"/>
    <mergeCell ref="A3:AE3"/>
    <mergeCell ref="B4:AC4"/>
    <mergeCell ref="A6:A8"/>
    <mergeCell ref="B6:B8"/>
    <mergeCell ref="C6:C8"/>
    <mergeCell ref="D6:D8"/>
    <mergeCell ref="E6:E8"/>
    <mergeCell ref="F6:F8"/>
    <mergeCell ref="G6:G8"/>
    <mergeCell ref="AE6:AE8"/>
    <mergeCell ref="J7:J8"/>
    <mergeCell ref="L7:L8"/>
    <mergeCell ref="N7:N8"/>
    <mergeCell ref="AB6:AB8"/>
    <mergeCell ref="A12:D12"/>
    <mergeCell ref="O7:O8"/>
    <mergeCell ref="AA6:AA8"/>
    <mergeCell ref="P7:P8"/>
    <mergeCell ref="Q7:Q8"/>
    <mergeCell ref="R7:R8"/>
    <mergeCell ref="AD6:AD8"/>
    <mergeCell ref="H6:H8"/>
    <mergeCell ref="I6:I8"/>
    <mergeCell ref="S7:S8"/>
    <mergeCell ref="T7:T8"/>
    <mergeCell ref="U7:U8"/>
    <mergeCell ref="V7:V8"/>
    <mergeCell ref="W7:W8"/>
    <mergeCell ref="J6:O6"/>
    <mergeCell ref="R6:W6"/>
    <mergeCell ref="X6:X8"/>
    <mergeCell ref="Y6:Y8"/>
    <mergeCell ref="K7:K8"/>
    <mergeCell ref="M7:M8"/>
    <mergeCell ref="AC6:AC8"/>
    <mergeCell ref="C25:F25"/>
    <mergeCell ref="K25:W25"/>
    <mergeCell ref="AB25:AE25"/>
    <mergeCell ref="C26:F26"/>
    <mergeCell ref="K26:W26"/>
    <mergeCell ref="AB26:AE26"/>
    <mergeCell ref="C27:F27"/>
    <mergeCell ref="K27:W27"/>
    <mergeCell ref="AB27:AE27"/>
    <mergeCell ref="C28:D28"/>
    <mergeCell ref="O28:U28"/>
  </mergeCells>
  <printOptions horizontalCentered="1" verticalCentered="1"/>
  <pageMargins left="0" right="0.31496062992125984" top="0.74803149606299213" bottom="0.74803149606299213" header="0.31496062992125984" footer="0.31496062992125984"/>
  <pageSetup paperSize="5" scale="63" orientation="landscape" r:id="rId1"/>
  <colBreaks count="2" manualBreakCount="2">
    <brk id="29" max="1048575" man="1"/>
    <brk id="31" max="1048575" man="1"/>
  </colBreaks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FDB10-0B89-44F0-A6CE-0BE3F32CBB11}">
  <sheetPr>
    <tabColor rgb="FFFFC000"/>
  </sheetPr>
  <dimension ref="A1:AH26"/>
  <sheetViews>
    <sheetView zoomScaleNormal="100" workbookViewId="0">
      <selection sqref="A1:AA1"/>
    </sheetView>
  </sheetViews>
  <sheetFormatPr baseColWidth="10" defaultRowHeight="10.199999999999999" x14ac:dyDescent="0.2"/>
  <cols>
    <col min="1" max="1" width="6.7109375" customWidth="1"/>
    <col min="2" max="2" width="5.28515625" customWidth="1"/>
    <col min="3" max="3" width="9.28515625" customWidth="1"/>
    <col min="4" max="4" width="32.85546875" customWidth="1"/>
    <col min="8" max="8" width="15.42578125" customWidth="1"/>
    <col min="11" max="12" width="0" hidden="1" customWidth="1"/>
    <col min="18" max="18" width="0" hidden="1" customWidth="1"/>
    <col min="21" max="21" width="0" hidden="1" customWidth="1"/>
    <col min="24" max="24" width="13.28515625" bestFit="1" customWidth="1"/>
    <col min="26" max="26" width="16.140625" bestFit="1" customWidth="1"/>
    <col min="27" max="27" width="48.140625" customWidth="1"/>
    <col min="28" max="34" width="0" hidden="1" customWidth="1"/>
  </cols>
  <sheetData>
    <row r="1" spans="1:34" s="919" customFormat="1" ht="42.75" customHeight="1" x14ac:dyDescent="0.4">
      <c r="A1" s="1370" t="s">
        <v>480</v>
      </c>
      <c r="B1" s="1370"/>
      <c r="C1" s="1370"/>
      <c r="D1" s="1370"/>
      <c r="E1" s="1370"/>
      <c r="F1" s="1370"/>
      <c r="G1" s="1370"/>
      <c r="H1" s="1370"/>
      <c r="I1" s="1370"/>
      <c r="J1" s="1370"/>
      <c r="K1" s="1370"/>
      <c r="L1" s="1370"/>
      <c r="M1" s="1370"/>
      <c r="N1" s="1370"/>
      <c r="O1" s="1370"/>
      <c r="P1" s="1370"/>
      <c r="Q1" s="1370"/>
      <c r="R1" s="1370"/>
      <c r="S1" s="1370"/>
      <c r="T1" s="1370"/>
      <c r="U1" s="1370"/>
      <c r="V1" s="1370"/>
      <c r="W1" s="1370"/>
      <c r="X1" s="1370"/>
      <c r="Y1" s="1370"/>
      <c r="Z1" s="1370"/>
      <c r="AA1" s="1370"/>
      <c r="AB1" s="918"/>
      <c r="AC1" s="918"/>
      <c r="AD1" s="918"/>
      <c r="AE1" s="918"/>
      <c r="AF1" s="918"/>
      <c r="AG1" s="918"/>
      <c r="AH1" s="918"/>
    </row>
    <row r="2" spans="1:34" ht="20.399999999999999" x14ac:dyDescent="0.2">
      <c r="A2" s="1331" t="s">
        <v>449</v>
      </c>
      <c r="B2" s="1331"/>
      <c r="C2" s="1331"/>
      <c r="D2" s="1331"/>
      <c r="E2" s="1331"/>
      <c r="F2" s="1331"/>
      <c r="G2" s="1331"/>
      <c r="H2" s="1331"/>
      <c r="I2" s="1331"/>
      <c r="J2" s="1331"/>
      <c r="K2" s="1331"/>
      <c r="L2" s="1331"/>
      <c r="M2" s="1331"/>
      <c r="N2" s="1331"/>
      <c r="O2" s="1331"/>
      <c r="P2" s="1331"/>
      <c r="Q2" s="1331"/>
      <c r="R2" s="1331"/>
      <c r="S2" s="1331"/>
      <c r="T2" s="1331"/>
      <c r="U2" s="1331"/>
      <c r="V2" s="1331"/>
      <c r="W2" s="1331"/>
      <c r="X2" s="1331"/>
      <c r="Y2" s="1331"/>
      <c r="Z2" s="1331"/>
      <c r="AA2" s="1331"/>
      <c r="AB2" s="1331"/>
      <c r="AC2" s="1331"/>
      <c r="AD2" s="15"/>
      <c r="AE2" s="15"/>
      <c r="AF2" s="15"/>
      <c r="AG2" s="15"/>
      <c r="AH2" s="15"/>
    </row>
    <row r="3" spans="1:34" ht="20.399999999999999" x14ac:dyDescent="0.2">
      <c r="A3" s="1331" t="s">
        <v>221</v>
      </c>
      <c r="B3" s="1331"/>
      <c r="C3" s="1331"/>
      <c r="D3" s="1331"/>
      <c r="E3" s="1331"/>
      <c r="F3" s="1331"/>
      <c r="G3" s="1331"/>
      <c r="H3" s="1331"/>
      <c r="I3" s="1331"/>
      <c r="J3" s="1331"/>
      <c r="K3" s="1331"/>
      <c r="L3" s="1331"/>
      <c r="M3" s="1331"/>
      <c r="N3" s="1331"/>
      <c r="O3" s="1331"/>
      <c r="P3" s="1331"/>
      <c r="Q3" s="1331"/>
      <c r="R3" s="1331"/>
      <c r="S3" s="1331"/>
      <c r="T3" s="1331"/>
      <c r="U3" s="1331"/>
      <c r="V3" s="1331"/>
      <c r="W3" s="1331"/>
      <c r="X3" s="1331"/>
      <c r="Y3" s="1331"/>
      <c r="Z3" s="1331"/>
      <c r="AA3" s="1331"/>
      <c r="AB3" s="1331"/>
      <c r="AC3" s="1331"/>
      <c r="AD3" s="15"/>
      <c r="AE3" s="15"/>
      <c r="AF3" s="15"/>
      <c r="AG3" s="15"/>
      <c r="AH3" s="15"/>
    </row>
    <row r="4" spans="1:34" ht="20.399999999999999" x14ac:dyDescent="0.35">
      <c r="A4" s="547"/>
      <c r="B4" s="1332" t="str">
        <f>+ADMON!A5</f>
        <v>QUINCENA DEL 16  AL 30  DE ABRIL - 2026</v>
      </c>
      <c r="C4" s="1332"/>
      <c r="D4" s="1332"/>
      <c r="E4" s="1332"/>
      <c r="F4" s="1332"/>
      <c r="G4" s="1332"/>
      <c r="H4" s="1332"/>
      <c r="I4" s="1332"/>
      <c r="J4" s="1332"/>
      <c r="K4" s="1332"/>
      <c r="L4" s="1332"/>
      <c r="M4" s="1332"/>
      <c r="N4" s="1332"/>
      <c r="O4" s="1332"/>
      <c r="P4" s="1332"/>
      <c r="Q4" s="1332"/>
      <c r="R4" s="1332"/>
      <c r="S4" s="1332"/>
      <c r="T4" s="1332"/>
      <c r="U4" s="1332"/>
      <c r="V4" s="1332"/>
      <c r="W4" s="1332"/>
      <c r="X4" s="1332"/>
      <c r="Y4" s="1332"/>
      <c r="Z4" s="1332"/>
      <c r="AA4" s="1332"/>
      <c r="AB4" s="1332"/>
      <c r="AC4" s="1332"/>
      <c r="AD4" s="1332"/>
      <c r="AE4" s="1332"/>
      <c r="AF4" s="1332"/>
      <c r="AG4" s="1332"/>
      <c r="AH4" s="1332"/>
    </row>
    <row r="5" spans="1:34" ht="21.6" thickBot="1" x14ac:dyDescent="0.45">
      <c r="A5" s="547"/>
      <c r="B5" s="548"/>
      <c r="C5" s="547"/>
      <c r="D5" s="547"/>
      <c r="E5" s="547"/>
      <c r="F5" s="547"/>
      <c r="G5" s="547"/>
      <c r="H5" s="547"/>
      <c r="I5" s="547"/>
      <c r="J5" s="547"/>
      <c r="K5" s="547"/>
      <c r="L5" s="547"/>
      <c r="M5" s="547"/>
      <c r="N5" s="547"/>
      <c r="O5" s="547"/>
      <c r="P5" s="547"/>
      <c r="Q5" s="547"/>
      <c r="R5" s="547"/>
      <c r="S5" s="547"/>
      <c r="T5" s="547"/>
      <c r="U5" s="668"/>
      <c r="V5" s="547"/>
      <c r="W5" s="547"/>
      <c r="X5" s="547"/>
      <c r="Y5" s="547"/>
      <c r="Z5" s="547"/>
      <c r="AA5" s="549"/>
      <c r="AB5" s="549"/>
      <c r="AC5" s="549"/>
      <c r="AD5" s="26"/>
      <c r="AE5" s="26"/>
      <c r="AF5" s="26"/>
      <c r="AG5" s="26"/>
      <c r="AH5" s="26"/>
    </row>
    <row r="6" spans="1:34" ht="11.4" thickTop="1" thickBot="1" x14ac:dyDescent="0.25">
      <c r="A6" s="1143" t="s">
        <v>2</v>
      </c>
      <c r="B6" s="1143" t="s">
        <v>3</v>
      </c>
      <c r="C6" s="1179" t="s">
        <v>4</v>
      </c>
      <c r="D6" s="1143" t="s">
        <v>6</v>
      </c>
      <c r="E6" s="1179" t="s">
        <v>187</v>
      </c>
      <c r="F6" s="1143" t="s">
        <v>7</v>
      </c>
      <c r="G6" s="1143" t="s">
        <v>82</v>
      </c>
      <c r="H6" s="1143" t="s">
        <v>8</v>
      </c>
      <c r="I6" s="1151" t="s">
        <v>9</v>
      </c>
      <c r="J6" s="1151"/>
      <c r="K6" s="1151"/>
      <c r="L6" s="1151"/>
      <c r="M6" s="1151"/>
      <c r="N6" s="1151"/>
      <c r="O6" s="351"/>
      <c r="P6" s="351"/>
      <c r="Q6" s="1143" t="s">
        <v>10</v>
      </c>
      <c r="R6" s="1143"/>
      <c r="S6" s="1143"/>
      <c r="T6" s="1143"/>
      <c r="U6" s="1143"/>
      <c r="V6" s="1143"/>
      <c r="W6" s="1335" t="s">
        <v>29</v>
      </c>
      <c r="X6" s="1157" t="s">
        <v>99</v>
      </c>
      <c r="Y6" s="1157" t="s">
        <v>114</v>
      </c>
      <c r="Z6" s="1143" t="s">
        <v>11</v>
      </c>
      <c r="AA6" s="1173" t="s">
        <v>12</v>
      </c>
      <c r="AB6" s="1143"/>
      <c r="AC6" s="1143"/>
      <c r="AD6" s="1143" t="s">
        <v>13</v>
      </c>
      <c r="AE6" s="1143" t="s">
        <v>282</v>
      </c>
      <c r="AF6" s="1143" t="s">
        <v>53</v>
      </c>
      <c r="AG6" s="1143" t="s">
        <v>14</v>
      </c>
      <c r="AH6" s="1143" t="s">
        <v>15</v>
      </c>
    </row>
    <row r="7" spans="1:34" ht="11.4" thickTop="1" thickBot="1" x14ac:dyDescent="0.25">
      <c r="A7" s="1143"/>
      <c r="B7" s="1143"/>
      <c r="C7" s="1180"/>
      <c r="D7" s="1143"/>
      <c r="E7" s="1180"/>
      <c r="F7" s="1143"/>
      <c r="G7" s="1143"/>
      <c r="H7" s="1143"/>
      <c r="I7" s="1143" t="s">
        <v>177</v>
      </c>
      <c r="J7" s="1445" t="s">
        <v>16</v>
      </c>
      <c r="K7" s="1168" t="s">
        <v>196</v>
      </c>
      <c r="L7" s="1168" t="s">
        <v>197</v>
      </c>
      <c r="M7" s="1333" t="s">
        <v>195</v>
      </c>
      <c r="N7" s="1143" t="s">
        <v>200</v>
      </c>
      <c r="O7" s="1335" t="s">
        <v>199</v>
      </c>
      <c r="P7" s="1335" t="s">
        <v>53</v>
      </c>
      <c r="Q7" s="1143" t="s">
        <v>29</v>
      </c>
      <c r="R7" s="1170"/>
      <c r="S7" s="1335" t="s">
        <v>3</v>
      </c>
      <c r="T7" s="1143" t="s">
        <v>19</v>
      </c>
      <c r="U7" s="1157" t="s">
        <v>94</v>
      </c>
      <c r="V7" s="1143" t="s">
        <v>20</v>
      </c>
      <c r="W7" s="1337"/>
      <c r="X7" s="1157"/>
      <c r="Y7" s="1157"/>
      <c r="Z7" s="1143"/>
      <c r="AA7" s="1173"/>
      <c r="AB7" s="1143"/>
      <c r="AC7" s="1143"/>
      <c r="AD7" s="1143"/>
      <c r="AE7" s="1143"/>
      <c r="AF7" s="1143"/>
      <c r="AG7" s="1143"/>
      <c r="AH7" s="1143"/>
    </row>
    <row r="8" spans="1:34" ht="35.25" customHeight="1" thickTop="1" thickBot="1" x14ac:dyDescent="0.25">
      <c r="A8" s="1143"/>
      <c r="B8" s="1143"/>
      <c r="C8" s="1181"/>
      <c r="D8" s="1143"/>
      <c r="E8" s="1181"/>
      <c r="F8" s="1143"/>
      <c r="G8" s="1143"/>
      <c r="H8" s="1143"/>
      <c r="I8" s="1143"/>
      <c r="J8" s="1445"/>
      <c r="K8" s="1169"/>
      <c r="L8" s="1169"/>
      <c r="M8" s="1334"/>
      <c r="N8" s="1143"/>
      <c r="O8" s="1336"/>
      <c r="P8" s="1336"/>
      <c r="Q8" s="1143"/>
      <c r="R8" s="1172"/>
      <c r="S8" s="1336"/>
      <c r="T8" s="1143"/>
      <c r="U8" s="1157"/>
      <c r="V8" s="1143"/>
      <c r="W8" s="1336"/>
      <c r="X8" s="1157"/>
      <c r="Y8" s="1157"/>
      <c r="Z8" s="1143"/>
      <c r="AA8" s="1173"/>
      <c r="AB8" s="1143"/>
      <c r="AC8" s="1143"/>
      <c r="AD8" s="1143"/>
      <c r="AE8" s="1143"/>
      <c r="AF8" s="1143"/>
      <c r="AG8" s="1143"/>
      <c r="AH8" s="1143"/>
    </row>
    <row r="9" spans="1:34" ht="88.5" customHeight="1" thickTop="1" thickBot="1" x14ac:dyDescent="0.25">
      <c r="A9" s="319">
        <v>1</v>
      </c>
      <c r="B9" s="865">
        <v>7305067</v>
      </c>
      <c r="C9" s="358" t="s">
        <v>462</v>
      </c>
      <c r="D9" s="356" t="s">
        <v>433</v>
      </c>
      <c r="E9" s="211" t="s">
        <v>32</v>
      </c>
      <c r="F9" s="353" t="s">
        <v>444</v>
      </c>
      <c r="G9" s="216">
        <v>350</v>
      </c>
      <c r="H9" s="321">
        <f>+G9*30</f>
        <v>10500</v>
      </c>
      <c r="I9" s="321">
        <f>(H9/30)*J9</f>
        <v>0</v>
      </c>
      <c r="J9" s="677">
        <v>0</v>
      </c>
      <c r="K9" s="322">
        <f>+L9*M9</f>
        <v>0</v>
      </c>
      <c r="L9" s="323">
        <f>G9*60%</f>
        <v>210</v>
      </c>
      <c r="M9" s="322">
        <v>0</v>
      </c>
      <c r="N9" s="324">
        <f>+I9-O9-P9</f>
        <v>0</v>
      </c>
      <c r="O9" s="324">
        <f>I9/12</f>
        <v>0</v>
      </c>
      <c r="P9" s="324">
        <f>+O9</f>
        <v>0</v>
      </c>
      <c r="Q9" s="321">
        <f>+P9+N9+O9</f>
        <v>0</v>
      </c>
      <c r="R9" s="359">
        <f>N9+O9</f>
        <v>0</v>
      </c>
      <c r="S9" s="321">
        <v>0</v>
      </c>
      <c r="T9" s="321"/>
      <c r="U9" s="359"/>
      <c r="V9" s="324">
        <f>S9</f>
        <v>0</v>
      </c>
      <c r="W9" s="324">
        <f>-V9+N9+O9+P9</f>
        <v>0</v>
      </c>
      <c r="X9" s="324">
        <v>0</v>
      </c>
      <c r="Y9" s="324">
        <v>0</v>
      </c>
      <c r="Z9" s="355">
        <f>W9-X9-Y9</f>
        <v>0</v>
      </c>
      <c r="AA9" s="325"/>
      <c r="AB9" s="325">
        <v>0.155</v>
      </c>
      <c r="AC9" s="325">
        <f>+Q9-P9</f>
        <v>0</v>
      </c>
      <c r="AD9" s="321">
        <f>AB9*Q9</f>
        <v>0</v>
      </c>
      <c r="AE9" s="321">
        <f>+I9/12</f>
        <v>0</v>
      </c>
      <c r="AF9" s="321">
        <f>+I9/12</f>
        <v>0</v>
      </c>
      <c r="AG9" s="321">
        <f>0.02*Z9</f>
        <v>0</v>
      </c>
      <c r="AH9" s="321">
        <f>Z9+AD9+AG9+AE9+AF9</f>
        <v>0</v>
      </c>
    </row>
    <row r="10" spans="1:34" ht="27.6" thickTop="1" thickBot="1" x14ac:dyDescent="0.25">
      <c r="A10" s="1162" t="s">
        <v>95</v>
      </c>
      <c r="B10" s="1163"/>
      <c r="C10" s="1163"/>
      <c r="D10" s="1164"/>
      <c r="E10" s="211"/>
      <c r="F10" s="210"/>
      <c r="G10" s="215">
        <v>0</v>
      </c>
      <c r="H10" s="215">
        <f t="shared" ref="H10:Z10" si="0">SUM(H9:H9)</f>
        <v>10500</v>
      </c>
      <c r="I10" s="215">
        <f t="shared" si="0"/>
        <v>0</v>
      </c>
      <c r="J10" s="869">
        <f t="shared" si="0"/>
        <v>0</v>
      </c>
      <c r="K10" s="215">
        <f t="shared" si="0"/>
        <v>0</v>
      </c>
      <c r="L10" s="215">
        <f t="shared" si="0"/>
        <v>210</v>
      </c>
      <c r="M10" s="215">
        <f t="shared" si="0"/>
        <v>0</v>
      </c>
      <c r="N10" s="215">
        <f t="shared" si="0"/>
        <v>0</v>
      </c>
      <c r="O10" s="215">
        <f>SUM(O9:O9)</f>
        <v>0</v>
      </c>
      <c r="P10" s="215">
        <f t="shared" si="0"/>
        <v>0</v>
      </c>
      <c r="Q10" s="215">
        <f t="shared" si="0"/>
        <v>0</v>
      </c>
      <c r="R10" s="215">
        <f t="shared" si="0"/>
        <v>0</v>
      </c>
      <c r="S10" s="215">
        <f t="shared" si="0"/>
        <v>0</v>
      </c>
      <c r="T10" s="215">
        <f t="shared" si="0"/>
        <v>0</v>
      </c>
      <c r="U10" s="663">
        <f t="shared" si="0"/>
        <v>0</v>
      </c>
      <c r="V10" s="215">
        <f t="shared" si="0"/>
        <v>0</v>
      </c>
      <c r="W10" s="215">
        <f t="shared" si="0"/>
        <v>0</v>
      </c>
      <c r="X10" s="215">
        <f t="shared" si="0"/>
        <v>0</v>
      </c>
      <c r="Y10" s="324">
        <f t="shared" si="0"/>
        <v>0</v>
      </c>
      <c r="Z10" s="317">
        <f t="shared" si="0"/>
        <v>0</v>
      </c>
      <c r="AA10" s="87" t="s">
        <v>105</v>
      </c>
      <c r="AB10" s="86" t="e">
        <f>SUM(#REF!)</f>
        <v>#REF!</v>
      </c>
      <c r="AC10" s="86" t="e">
        <f>SUM(#REF!)</f>
        <v>#REF!</v>
      </c>
      <c r="AD10" s="86">
        <f>SUM(AD9:AD9)</f>
        <v>0</v>
      </c>
      <c r="AE10" s="86">
        <f>SUM(AE9:AE9)</f>
        <v>0</v>
      </c>
      <c r="AF10" s="86">
        <f>SUM(AF9:AF9)</f>
        <v>0</v>
      </c>
      <c r="AG10" s="86">
        <f>SUM(AG9:AG9)</f>
        <v>0</v>
      </c>
      <c r="AH10" s="86">
        <f>SUM(AH9:AH9)</f>
        <v>0</v>
      </c>
    </row>
    <row r="11" spans="1:34" ht="15" thickTop="1" x14ac:dyDescent="0.2">
      <c r="A11" s="27"/>
      <c r="B11" s="27"/>
      <c r="C11" s="27"/>
      <c r="D11" s="27"/>
      <c r="E11" s="27"/>
      <c r="F11" s="28"/>
      <c r="G11" s="28"/>
      <c r="H11" s="27"/>
      <c r="I11" s="27"/>
      <c r="J11" s="29"/>
      <c r="K11" s="29"/>
      <c r="L11" s="29"/>
      <c r="M11" s="29"/>
      <c r="N11" s="27" t="s">
        <v>5</v>
      </c>
      <c r="O11" s="27"/>
      <c r="P11" s="27"/>
      <c r="Q11" s="27"/>
      <c r="R11" s="27"/>
      <c r="S11" s="27"/>
      <c r="T11" s="27"/>
      <c r="U11" s="61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 ht="14.4" x14ac:dyDescent="0.2">
      <c r="A12" s="27"/>
      <c r="B12" s="27"/>
      <c r="C12" s="27"/>
      <c r="D12" s="27"/>
      <c r="E12" s="27"/>
      <c r="F12" s="28"/>
      <c r="G12" s="28"/>
      <c r="H12" s="27"/>
      <c r="I12" s="27"/>
      <c r="J12" s="29"/>
      <c r="K12" s="29"/>
      <c r="L12" s="29"/>
      <c r="M12" s="29"/>
      <c r="N12" s="27"/>
      <c r="O12" s="27"/>
      <c r="P12" s="27"/>
      <c r="Q12" s="27"/>
      <c r="R12" s="27"/>
      <c r="S12" s="27"/>
      <c r="T12" s="27"/>
      <c r="U12" s="61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4" ht="14.4" x14ac:dyDescent="0.2">
      <c r="A13" s="27"/>
      <c r="B13" s="27"/>
      <c r="C13" s="27"/>
      <c r="D13" s="27"/>
      <c r="E13" s="27"/>
      <c r="F13" s="28"/>
      <c r="G13" s="28"/>
      <c r="H13" s="27"/>
      <c r="I13" s="27"/>
      <c r="J13" s="29"/>
      <c r="K13" s="29"/>
      <c r="L13" s="29"/>
      <c r="M13" s="29"/>
      <c r="N13" s="27"/>
      <c r="O13" s="27"/>
      <c r="P13" s="27"/>
      <c r="Q13" s="27"/>
      <c r="R13" s="27"/>
      <c r="S13" s="27"/>
      <c r="T13" s="27"/>
      <c r="U13" s="61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14.4" x14ac:dyDescent="0.2">
      <c r="A14" s="27"/>
      <c r="B14" s="27"/>
      <c r="C14" s="27"/>
      <c r="D14" s="27"/>
      <c r="E14" s="27"/>
      <c r="F14" s="28"/>
      <c r="G14" s="28"/>
      <c r="H14" s="27"/>
      <c r="I14" s="27"/>
      <c r="J14" s="29"/>
      <c r="K14" s="29"/>
      <c r="L14" s="29"/>
      <c r="M14" s="29"/>
      <c r="N14" s="27"/>
      <c r="O14" s="27"/>
      <c r="P14" s="27"/>
      <c r="Q14" s="27"/>
      <c r="R14" s="27"/>
      <c r="S14" s="27"/>
      <c r="T14" s="27"/>
      <c r="U14" s="61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14.4" x14ac:dyDescent="0.2">
      <c r="A15" s="27"/>
      <c r="B15" s="27"/>
      <c r="C15" s="27"/>
      <c r="D15" s="27"/>
      <c r="E15" s="27"/>
      <c r="F15" s="28"/>
      <c r="G15" s="28"/>
      <c r="H15" s="27"/>
      <c r="I15" s="27"/>
      <c r="J15" s="29"/>
      <c r="K15" s="29"/>
      <c r="L15" s="29"/>
      <c r="M15" s="29"/>
      <c r="N15" s="27"/>
      <c r="O15" s="27"/>
      <c r="P15" s="27"/>
      <c r="Q15" s="27"/>
      <c r="R15" s="27"/>
      <c r="S15" s="27"/>
      <c r="T15" s="27"/>
      <c r="U15" s="61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14.4" x14ac:dyDescent="0.2">
      <c r="A16" s="27"/>
      <c r="B16" s="27"/>
      <c r="C16" s="27"/>
      <c r="D16" s="27"/>
      <c r="E16" s="27"/>
      <c r="F16" s="28"/>
      <c r="G16" s="28"/>
      <c r="H16" s="27"/>
      <c r="I16" s="27"/>
      <c r="J16" s="29"/>
      <c r="K16" s="29"/>
      <c r="L16" s="29"/>
      <c r="M16" s="29"/>
      <c r="N16" s="27"/>
      <c r="O16" s="27"/>
      <c r="P16" s="27"/>
      <c r="Q16" s="27"/>
      <c r="R16" s="27"/>
      <c r="S16" s="27"/>
      <c r="T16" s="27"/>
      <c r="U16" s="61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14.4" x14ac:dyDescent="0.2">
      <c r="A17" s="27"/>
      <c r="B17" s="27"/>
      <c r="C17" s="27"/>
      <c r="D17" s="27"/>
      <c r="E17" s="27"/>
      <c r="F17" s="28"/>
      <c r="G17" s="28"/>
      <c r="H17" s="27"/>
      <c r="I17" s="27"/>
      <c r="J17" s="29"/>
      <c r="K17" s="29"/>
      <c r="L17" s="29"/>
      <c r="M17" s="29"/>
      <c r="N17" s="27"/>
      <c r="O17" s="27"/>
      <c r="P17" s="27"/>
      <c r="Q17" s="27"/>
      <c r="R17" s="27"/>
      <c r="S17" s="27"/>
      <c r="T17" s="27"/>
      <c r="U17" s="61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14.4" x14ac:dyDescent="0.2">
      <c r="A18" s="27"/>
      <c r="B18" s="27"/>
      <c r="C18" s="27"/>
      <c r="D18" s="27"/>
      <c r="E18" s="27"/>
      <c r="F18" s="28"/>
      <c r="G18" s="28"/>
      <c r="H18" s="27"/>
      <c r="I18" s="27"/>
      <c r="J18" s="29"/>
      <c r="K18" s="29"/>
      <c r="L18" s="29"/>
      <c r="M18" s="29"/>
      <c r="N18" s="27"/>
      <c r="O18" s="27"/>
      <c r="P18" s="27"/>
      <c r="Q18" s="27"/>
      <c r="R18" s="27"/>
      <c r="S18" s="27"/>
      <c r="T18" s="27"/>
      <c r="U18" s="61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14.4" x14ac:dyDescent="0.2">
      <c r="A19" s="27"/>
      <c r="B19" s="27"/>
      <c r="C19" s="27"/>
      <c r="D19" s="27"/>
      <c r="E19" s="27"/>
      <c r="F19" s="28"/>
      <c r="G19" s="67"/>
      <c r="H19" s="338"/>
      <c r="I19" s="27"/>
      <c r="J19" s="29"/>
      <c r="K19" s="29"/>
      <c r="L19" s="29"/>
      <c r="M19" s="29"/>
      <c r="N19" s="27"/>
      <c r="O19" s="27"/>
      <c r="P19" s="27"/>
      <c r="Q19" s="27"/>
      <c r="R19" s="27"/>
      <c r="S19" s="27"/>
      <c r="T19" s="27"/>
      <c r="U19" s="61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 spans="1:34" ht="14.4" x14ac:dyDescent="0.2">
      <c r="A20" s="27"/>
      <c r="B20" s="27"/>
      <c r="C20" s="27"/>
      <c r="D20" s="27"/>
      <c r="E20" s="27"/>
      <c r="F20" s="28"/>
      <c r="G20" s="28"/>
      <c r="H20" s="27"/>
      <c r="I20" s="27"/>
      <c r="J20" s="29"/>
      <c r="K20" s="29"/>
      <c r="L20" s="29"/>
      <c r="M20" s="29"/>
      <c r="N20" s="27"/>
      <c r="O20" s="27"/>
      <c r="P20" s="27"/>
      <c r="Q20" s="27"/>
      <c r="R20" s="27"/>
      <c r="S20" s="27"/>
      <c r="T20" s="27"/>
      <c r="U20" s="61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ht="14.4" x14ac:dyDescent="0.2">
      <c r="A21" s="30"/>
      <c r="B21" s="27"/>
      <c r="C21" s="30"/>
      <c r="D21" s="27"/>
      <c r="E21" s="27"/>
      <c r="F21" s="28"/>
      <c r="G21" s="28"/>
      <c r="H21" s="27"/>
      <c r="I21" s="27"/>
      <c r="J21" s="29"/>
      <c r="K21" s="29"/>
      <c r="L21" s="29"/>
      <c r="M21" s="29"/>
      <c r="N21" s="30"/>
      <c r="O21" s="30"/>
      <c r="P21" s="30"/>
      <c r="Q21" s="27"/>
      <c r="R21" s="27"/>
      <c r="S21" s="27"/>
      <c r="T21" s="27"/>
      <c r="U21" s="669"/>
      <c r="V21" s="27"/>
      <c r="W21" s="27"/>
      <c r="X21" s="27"/>
      <c r="Y21" s="27"/>
      <c r="Z21" s="30"/>
      <c r="AA21" s="27"/>
      <c r="AB21" s="27"/>
      <c r="AC21" s="27"/>
      <c r="AD21" s="27"/>
      <c r="AE21" s="27"/>
      <c r="AF21" s="27"/>
      <c r="AG21" s="27"/>
      <c r="AH21" s="27"/>
    </row>
    <row r="22" spans="1:34" ht="14.4" x14ac:dyDescent="0.2">
      <c r="A22" s="30"/>
      <c r="B22" s="27"/>
      <c r="C22" s="30"/>
      <c r="D22" s="27"/>
      <c r="E22" s="27"/>
      <c r="F22" s="28"/>
      <c r="G22" s="28"/>
      <c r="H22" s="27"/>
      <c r="I22" s="27"/>
      <c r="J22" s="29"/>
      <c r="K22" s="29"/>
      <c r="L22" s="29"/>
      <c r="M22" s="29"/>
      <c r="N22" s="30"/>
      <c r="O22" s="30"/>
      <c r="P22" s="30"/>
      <c r="Q22" s="27"/>
      <c r="R22" s="27"/>
      <c r="S22" s="27"/>
      <c r="T22" s="27"/>
      <c r="U22" s="670"/>
      <c r="V22" s="27"/>
      <c r="W22" s="27"/>
      <c r="X22" s="27"/>
      <c r="Y22" s="27"/>
      <c r="Z22" s="30"/>
      <c r="AA22" s="27"/>
      <c r="AB22" s="27"/>
      <c r="AC22" s="27"/>
      <c r="AD22" s="27"/>
      <c r="AE22" s="27"/>
      <c r="AF22" s="27"/>
      <c r="AG22" s="27"/>
      <c r="AH22" s="27"/>
    </row>
    <row r="23" spans="1:34" ht="14.4" x14ac:dyDescent="0.2">
      <c r="A23" s="30"/>
      <c r="B23" s="27"/>
      <c r="C23" s="1165"/>
      <c r="D23" s="1165"/>
      <c r="E23" s="1165"/>
      <c r="F23" s="1165"/>
      <c r="G23" s="49"/>
      <c r="H23" s="27"/>
      <c r="I23" s="27"/>
      <c r="J23" s="1166"/>
      <c r="K23" s="1166"/>
      <c r="L23" s="1166"/>
      <c r="M23" s="1166"/>
      <c r="N23" s="1166"/>
      <c r="O23" s="1166"/>
      <c r="P23" s="1166"/>
      <c r="Q23" s="1166"/>
      <c r="R23" s="1166"/>
      <c r="S23" s="1166"/>
      <c r="T23" s="1166"/>
      <c r="U23" s="1166"/>
      <c r="V23" s="1166"/>
      <c r="W23" s="29"/>
      <c r="X23" s="27"/>
      <c r="Y23" s="27"/>
      <c r="Z23" s="1165"/>
      <c r="AA23" s="1165"/>
      <c r="AB23" s="1165"/>
      <c r="AC23" s="1165"/>
      <c r="AD23" s="11"/>
      <c r="AE23" s="11"/>
      <c r="AF23" s="11"/>
      <c r="AG23" s="27"/>
      <c r="AH23" s="27"/>
    </row>
    <row r="24" spans="1:34" ht="14.4" x14ac:dyDescent="0.2">
      <c r="A24" s="27"/>
      <c r="B24" s="27"/>
      <c r="C24" s="1167" t="s">
        <v>23</v>
      </c>
      <c r="D24" s="1167"/>
      <c r="E24" s="1167"/>
      <c r="F24" s="1167"/>
      <c r="G24" s="52"/>
      <c r="H24" s="27"/>
      <c r="I24" s="27"/>
      <c r="J24" s="1167" t="s">
        <v>24</v>
      </c>
      <c r="K24" s="1167"/>
      <c r="L24" s="1167"/>
      <c r="M24" s="1167"/>
      <c r="N24" s="1167"/>
      <c r="O24" s="1167"/>
      <c r="P24" s="1167"/>
      <c r="Q24" s="1167"/>
      <c r="R24" s="1167"/>
      <c r="S24" s="1167"/>
      <c r="T24" s="1167"/>
      <c r="U24" s="1167"/>
      <c r="V24" s="1167"/>
      <c r="W24" s="52"/>
      <c r="X24" s="27"/>
      <c r="Y24" s="27"/>
      <c r="Z24" s="1167" t="s">
        <v>25</v>
      </c>
      <c r="AA24" s="1167"/>
      <c r="AB24" s="1167"/>
      <c r="AC24" s="1167"/>
      <c r="AD24" s="11"/>
      <c r="AE24" s="11"/>
      <c r="AF24" s="11"/>
      <c r="AG24" s="27"/>
      <c r="AH24" s="27"/>
    </row>
    <row r="25" spans="1:34" ht="14.4" x14ac:dyDescent="0.2">
      <c r="A25" s="30"/>
      <c r="B25" s="27"/>
      <c r="C25" s="1159" t="str">
        <f>+ADMON!C30</f>
        <v>Jose Martin Conrrado</v>
      </c>
      <c r="D25" s="1159"/>
      <c r="E25" s="1159"/>
      <c r="F25" s="1159"/>
      <c r="G25" s="48"/>
      <c r="H25" s="27"/>
      <c r="I25" s="30"/>
      <c r="J25" s="1159" t="s">
        <v>448</v>
      </c>
      <c r="K25" s="1159"/>
      <c r="L25" s="1159"/>
      <c r="M25" s="1159"/>
      <c r="N25" s="1159"/>
      <c r="O25" s="1159"/>
      <c r="P25" s="1159"/>
      <c r="Q25" s="1159"/>
      <c r="R25" s="1159"/>
      <c r="S25" s="1159"/>
      <c r="T25" s="1159"/>
      <c r="U25" s="1159"/>
      <c r="V25" s="1159"/>
      <c r="W25" s="48"/>
      <c r="X25" s="33"/>
      <c r="Y25" s="33"/>
      <c r="Z25" s="1160" t="s">
        <v>27</v>
      </c>
      <c r="AA25" s="1160"/>
      <c r="AB25" s="1160"/>
      <c r="AC25" s="1160"/>
      <c r="AD25" s="11"/>
      <c r="AE25" s="11"/>
      <c r="AF25" s="11"/>
      <c r="AG25" s="27"/>
      <c r="AH25" s="27"/>
    </row>
    <row r="26" spans="1:34" ht="14.4" x14ac:dyDescent="0.2">
      <c r="A26" s="8"/>
      <c r="B26" s="8"/>
      <c r="C26" s="1161"/>
      <c r="D26" s="1161"/>
      <c r="E26" s="25"/>
      <c r="F26" s="25"/>
      <c r="G26" s="25"/>
      <c r="H26" s="8"/>
      <c r="I26" s="8"/>
      <c r="J26" s="9"/>
      <c r="K26" s="9"/>
      <c r="L26" s="9"/>
      <c r="M26" s="9"/>
      <c r="N26" s="1161"/>
      <c r="O26" s="1161"/>
      <c r="P26" s="1161"/>
      <c r="Q26" s="1161"/>
      <c r="R26" s="1161"/>
      <c r="S26" s="1161"/>
      <c r="T26" s="1161"/>
      <c r="U26" s="671"/>
      <c r="V26" s="25"/>
      <c r="W26" s="25"/>
      <c r="X26" s="25"/>
      <c r="Y26" s="25"/>
      <c r="Z26" s="8"/>
      <c r="AA26" s="8"/>
      <c r="AB26" s="8"/>
      <c r="AC26" s="8"/>
      <c r="AD26" s="10"/>
      <c r="AE26" s="10"/>
      <c r="AF26" s="10"/>
      <c r="AG26" s="10"/>
      <c r="AH26" s="10"/>
    </row>
  </sheetData>
  <mergeCells count="52">
    <mergeCell ref="A1:AA1"/>
    <mergeCell ref="A2:AC2"/>
    <mergeCell ref="A3:AC3"/>
    <mergeCell ref="A6:A8"/>
    <mergeCell ref="B6:B8"/>
    <mergeCell ref="C6:C8"/>
    <mergeCell ref="D6:D8"/>
    <mergeCell ref="E6:E8"/>
    <mergeCell ref="F6:F8"/>
    <mergeCell ref="G6:G8"/>
    <mergeCell ref="H6:H8"/>
    <mergeCell ref="Q6:V6"/>
    <mergeCell ref="W6:W8"/>
    <mergeCell ref="X6:X8"/>
    <mergeCell ref="Y6:Y8"/>
    <mergeCell ref="Z6:Z8"/>
    <mergeCell ref="AH6:AH8"/>
    <mergeCell ref="I7:I8"/>
    <mergeCell ref="J7:J8"/>
    <mergeCell ref="K7:K8"/>
    <mergeCell ref="L7:L8"/>
    <mergeCell ref="M7:M8"/>
    <mergeCell ref="N7:N8"/>
    <mergeCell ref="O7:O8"/>
    <mergeCell ref="P7:P8"/>
    <mergeCell ref="AA6:AA8"/>
    <mergeCell ref="AB6:AB8"/>
    <mergeCell ref="AC6:AC8"/>
    <mergeCell ref="AD6:AD8"/>
    <mergeCell ref="I6:N6"/>
    <mergeCell ref="C26:D26"/>
    <mergeCell ref="N26:T26"/>
    <mergeCell ref="R7:R8"/>
    <mergeCell ref="S7:S8"/>
    <mergeCell ref="T7:T8"/>
    <mergeCell ref="Q7:Q8"/>
    <mergeCell ref="B4:AH4"/>
    <mergeCell ref="C24:F24"/>
    <mergeCell ref="J24:V24"/>
    <mergeCell ref="Z24:AC24"/>
    <mergeCell ref="C25:F25"/>
    <mergeCell ref="J25:V25"/>
    <mergeCell ref="Z25:AC25"/>
    <mergeCell ref="U7:U8"/>
    <mergeCell ref="V7:V8"/>
    <mergeCell ref="A10:D10"/>
    <mergeCell ref="C23:F23"/>
    <mergeCell ref="J23:V23"/>
    <mergeCell ref="Z23:AC23"/>
    <mergeCell ref="AG6:AG8"/>
    <mergeCell ref="AE6:AE8"/>
    <mergeCell ref="AF6:AF8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58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D4FD-A984-4C11-8970-A3EC0E1D0B5E}">
  <sheetPr transitionEvaluation="1">
    <tabColor rgb="FF7030A0"/>
  </sheetPr>
  <dimension ref="A1:AI50"/>
  <sheetViews>
    <sheetView showGridLines="0" topLeftCell="A3" zoomScale="130" zoomScaleNormal="130" workbookViewId="0">
      <selection activeCell="A11" sqref="A11"/>
    </sheetView>
  </sheetViews>
  <sheetFormatPr baseColWidth="10" defaultColWidth="9.85546875" defaultRowHeight="14.4" x14ac:dyDescent="0.2"/>
  <cols>
    <col min="1" max="1" width="5.140625" style="1" customWidth="1"/>
    <col min="2" max="3" width="5.85546875" style="1" customWidth="1"/>
    <col min="4" max="4" width="28.28515625" style="1" customWidth="1"/>
    <col min="5" max="5" width="5.28515625" style="1" customWidth="1"/>
    <col min="6" max="6" width="7.42578125" style="5" bestFit="1" customWidth="1"/>
    <col min="7" max="7" width="13.28515625" style="575" customWidth="1"/>
    <col min="8" max="9" width="14.42578125" style="1" bestFit="1" customWidth="1"/>
    <col min="10" max="10" width="8.85546875" style="6" customWidth="1"/>
    <col min="11" max="12" width="10.7109375" style="6" hidden="1" customWidth="1"/>
    <col min="13" max="13" width="8.85546875" style="6" hidden="1" customWidth="1"/>
    <col min="14" max="14" width="14.42578125" style="1" bestFit="1" customWidth="1"/>
    <col min="15" max="15" width="12" style="1" bestFit="1" customWidth="1"/>
    <col min="16" max="16" width="11.28515625" style="1" bestFit="1" customWidth="1"/>
    <col min="17" max="17" width="14.42578125" style="1" customWidth="1"/>
    <col min="18" max="18" width="14.42578125" style="1" hidden="1" customWidth="1"/>
    <col min="19" max="19" width="11.28515625" style="1" customWidth="1"/>
    <col min="20" max="20" width="7.7109375" style="1" hidden="1" customWidth="1"/>
    <col min="21" max="21" width="11.7109375" style="619" hidden="1" customWidth="1"/>
    <col min="22" max="22" width="14.85546875" style="1" customWidth="1"/>
    <col min="23" max="23" width="16.85546875" style="1" bestFit="1" customWidth="1"/>
    <col min="24" max="24" width="13.42578125" style="1" hidden="1" customWidth="1"/>
    <col min="25" max="25" width="13.5703125" style="1" customWidth="1"/>
    <col min="26" max="26" width="19.28515625" style="1" customWidth="1"/>
    <col min="27" max="27" width="38.28515625" style="1" customWidth="1"/>
    <col min="28" max="28" width="8.85546875" style="1" hidden="1" customWidth="1"/>
    <col min="29" max="29" width="15.42578125" style="1" hidden="1" customWidth="1"/>
    <col min="30" max="30" width="14.42578125" style="1" customWidth="1"/>
    <col min="31" max="32" width="12" style="1" hidden="1" customWidth="1"/>
    <col min="33" max="33" width="12" style="1" bestFit="1" customWidth="1"/>
    <col min="34" max="34" width="17.140625" style="1" bestFit="1" customWidth="1"/>
    <col min="35" max="36" width="1.85546875" style="1" customWidth="1"/>
    <col min="37" max="37" width="13.85546875" style="1" customWidth="1"/>
    <col min="38" max="38" width="6.85546875" style="1" customWidth="1"/>
    <col min="39" max="39" width="5.85546875" style="1" customWidth="1"/>
    <col min="40" max="40" width="7.85546875" style="1" customWidth="1"/>
    <col min="41" max="41" width="1.85546875" style="1" customWidth="1"/>
    <col min="42" max="42" width="38.85546875" style="1" customWidth="1"/>
    <col min="43" max="43" width="3.85546875" style="1" customWidth="1"/>
    <col min="44" max="44" width="8.85546875" style="1" customWidth="1"/>
    <col min="45" max="45" width="1.85546875" style="1" customWidth="1"/>
    <col min="46" max="16384" width="9.85546875" style="1"/>
  </cols>
  <sheetData>
    <row r="1" spans="1:35" s="915" customFormat="1" ht="36" hidden="1" customHeight="1" x14ac:dyDescent="0.2">
      <c r="G1" s="910"/>
      <c r="J1" s="917"/>
      <c r="K1" s="917"/>
      <c r="L1" s="917"/>
      <c r="M1" s="917" t="s">
        <v>278</v>
      </c>
      <c r="U1" s="916"/>
    </row>
    <row r="2" spans="1:35" s="15" customFormat="1" ht="17.25" customHeight="1" x14ac:dyDescent="0.2">
      <c r="A2" s="1444" t="s">
        <v>278</v>
      </c>
      <c r="B2" s="1444"/>
      <c r="C2" s="1444"/>
      <c r="D2" s="1444"/>
      <c r="E2" s="1444"/>
      <c r="F2" s="1444"/>
      <c r="G2" s="1444"/>
      <c r="H2" s="1444"/>
      <c r="I2" s="1444"/>
      <c r="J2" s="1444"/>
      <c r="K2" s="1444"/>
      <c r="L2" s="1444"/>
      <c r="M2" s="1444"/>
      <c r="N2" s="1444"/>
      <c r="O2" s="1444"/>
      <c r="P2" s="1444"/>
      <c r="Q2" s="1444"/>
      <c r="R2" s="1444"/>
      <c r="S2" s="1444"/>
      <c r="T2" s="1444"/>
      <c r="U2" s="1444"/>
      <c r="V2" s="1444"/>
      <c r="W2" s="1444"/>
      <c r="X2" s="1444"/>
      <c r="Y2" s="1444"/>
      <c r="Z2" s="1444"/>
      <c r="AA2" s="1444"/>
      <c r="AB2" s="934"/>
      <c r="AC2" s="934"/>
      <c r="AD2" s="934"/>
      <c r="AE2" s="934"/>
      <c r="AF2" s="934"/>
      <c r="AG2" s="934"/>
      <c r="AH2" s="934"/>
    </row>
    <row r="3" spans="1:35" s="15" customFormat="1" ht="17.25" customHeight="1" x14ac:dyDescent="0.2">
      <c r="A3" s="1331" t="s">
        <v>97</v>
      </c>
      <c r="B3" s="1331"/>
      <c r="C3" s="1331"/>
      <c r="D3" s="1331"/>
      <c r="E3" s="1331"/>
      <c r="F3" s="1331"/>
      <c r="G3" s="1331"/>
      <c r="H3" s="1331"/>
      <c r="I3" s="1331"/>
      <c r="J3" s="1331"/>
      <c r="K3" s="1331"/>
      <c r="L3" s="1331"/>
      <c r="M3" s="1331"/>
      <c r="N3" s="1331"/>
      <c r="O3" s="1331"/>
      <c r="P3" s="1331"/>
      <c r="Q3" s="1331"/>
      <c r="R3" s="1331"/>
      <c r="S3" s="1331"/>
      <c r="T3" s="1331"/>
      <c r="U3" s="1331"/>
      <c r="V3" s="1331"/>
      <c r="W3" s="1331"/>
      <c r="X3" s="1331"/>
      <c r="Y3" s="1331"/>
      <c r="Z3" s="1331"/>
      <c r="AA3" s="1331"/>
      <c r="AB3" s="1331"/>
      <c r="AC3" s="1331"/>
    </row>
    <row r="4" spans="1:35" s="15" customFormat="1" ht="17.25" customHeight="1" x14ac:dyDescent="0.2">
      <c r="A4" s="1331" t="s">
        <v>542</v>
      </c>
      <c r="B4" s="1331"/>
      <c r="C4" s="1331"/>
      <c r="D4" s="1331"/>
      <c r="E4" s="1331"/>
      <c r="F4" s="1331"/>
      <c r="G4" s="1331"/>
      <c r="H4" s="1331"/>
      <c r="I4" s="1331"/>
      <c r="J4" s="1331"/>
      <c r="K4" s="1331"/>
      <c r="L4" s="1331"/>
      <c r="M4" s="1331"/>
      <c r="N4" s="1331"/>
      <c r="O4" s="1331"/>
      <c r="P4" s="1331"/>
      <c r="Q4" s="1331"/>
      <c r="R4" s="1331"/>
      <c r="S4" s="1331"/>
      <c r="T4" s="1331"/>
      <c r="U4" s="1331"/>
      <c r="V4" s="1331"/>
      <c r="W4" s="1331"/>
      <c r="X4" s="1331"/>
      <c r="Y4" s="1331"/>
      <c r="Z4" s="1331"/>
      <c r="AA4" s="1331"/>
      <c r="AB4" s="1331"/>
      <c r="AC4" s="1331"/>
    </row>
    <row r="5" spans="1:35" s="15" customFormat="1" ht="17.25" customHeight="1" x14ac:dyDescent="0.35">
      <c r="A5" s="1332" t="str">
        <f>+ADMON!A5</f>
        <v>QUINCENA DEL 16  AL 30  DE ABRIL - 2026</v>
      </c>
      <c r="B5" s="1332"/>
      <c r="C5" s="1332"/>
      <c r="D5" s="1332"/>
      <c r="E5" s="1332"/>
      <c r="F5" s="1332"/>
      <c r="G5" s="1332"/>
      <c r="H5" s="1332"/>
      <c r="I5" s="1332"/>
      <c r="J5" s="1332"/>
      <c r="K5" s="1332"/>
      <c r="L5" s="1332"/>
      <c r="M5" s="1332"/>
      <c r="N5" s="1332"/>
      <c r="O5" s="1332"/>
      <c r="P5" s="1332"/>
      <c r="Q5" s="1332"/>
      <c r="R5" s="1332"/>
      <c r="S5" s="1332"/>
      <c r="T5" s="1332"/>
      <c r="U5" s="1332"/>
      <c r="V5" s="1332"/>
      <c r="W5" s="1332"/>
      <c r="X5" s="1332"/>
      <c r="Y5" s="1332"/>
      <c r="Z5" s="1332"/>
      <c r="AA5" s="1332"/>
      <c r="AB5" s="547"/>
      <c r="AC5" s="547"/>
    </row>
    <row r="6" spans="1:35" s="15" customFormat="1" ht="18" customHeight="1" thickBot="1" x14ac:dyDescent="0.45">
      <c r="A6" s="547"/>
      <c r="B6" s="548"/>
      <c r="C6" s="547"/>
      <c r="D6" s="547"/>
      <c r="E6" s="547"/>
      <c r="F6" s="547"/>
      <c r="G6" s="547"/>
      <c r="H6" s="547"/>
      <c r="I6" s="547"/>
      <c r="J6" s="547"/>
      <c r="K6" s="547"/>
      <c r="L6" s="547"/>
      <c r="M6" s="547"/>
      <c r="N6" s="547"/>
      <c r="O6" s="547"/>
      <c r="P6" s="547"/>
      <c r="Q6" s="547"/>
      <c r="R6" s="547"/>
      <c r="S6" s="547"/>
      <c r="T6" s="547"/>
      <c r="U6" s="668"/>
      <c r="V6" s="547"/>
      <c r="W6" s="547"/>
      <c r="X6" s="547"/>
      <c r="Y6" s="547"/>
      <c r="Z6" s="547"/>
      <c r="AA6" s="549"/>
      <c r="AB6" s="549"/>
      <c r="AC6" s="549"/>
      <c r="AD6" s="26"/>
      <c r="AE6" s="26"/>
      <c r="AF6" s="26"/>
      <c r="AG6" s="26"/>
      <c r="AH6" s="26"/>
    </row>
    <row r="7" spans="1:35" s="11" customFormat="1" ht="15" customHeight="1" thickTop="1" thickBot="1" x14ac:dyDescent="0.25">
      <c r="A7" s="1143" t="s">
        <v>2</v>
      </c>
      <c r="B7" s="1143" t="s">
        <v>3</v>
      </c>
      <c r="C7" s="1179" t="s">
        <v>4</v>
      </c>
      <c r="D7" s="1143" t="s">
        <v>6</v>
      </c>
      <c r="E7" s="1179" t="s">
        <v>187</v>
      </c>
      <c r="F7" s="1143" t="s">
        <v>7</v>
      </c>
      <c r="G7" s="1143" t="s">
        <v>82</v>
      </c>
      <c r="H7" s="1143" t="s">
        <v>8</v>
      </c>
      <c r="I7" s="1151" t="s">
        <v>9</v>
      </c>
      <c r="J7" s="1151"/>
      <c r="K7" s="1151"/>
      <c r="L7" s="1151"/>
      <c r="M7" s="1151"/>
      <c r="N7" s="1151"/>
      <c r="O7" s="351"/>
      <c r="P7" s="351"/>
      <c r="Q7" s="1143" t="s">
        <v>10</v>
      </c>
      <c r="R7" s="1143"/>
      <c r="S7" s="1143"/>
      <c r="T7" s="1143"/>
      <c r="U7" s="1143"/>
      <c r="V7" s="1143"/>
      <c r="W7" s="1335" t="s">
        <v>29</v>
      </c>
      <c r="X7" s="1157" t="s">
        <v>99</v>
      </c>
      <c r="Y7" s="1157" t="s">
        <v>114</v>
      </c>
      <c r="Z7" s="1143" t="s">
        <v>11</v>
      </c>
      <c r="AA7" s="1173" t="s">
        <v>12</v>
      </c>
      <c r="AB7" s="1143"/>
      <c r="AC7" s="1143"/>
      <c r="AD7" s="1143" t="s">
        <v>13</v>
      </c>
      <c r="AE7" s="1143" t="s">
        <v>282</v>
      </c>
      <c r="AF7" s="1143" t="s">
        <v>53</v>
      </c>
      <c r="AG7" s="1143" t="s">
        <v>14</v>
      </c>
      <c r="AH7" s="1143" t="s">
        <v>15</v>
      </c>
    </row>
    <row r="8" spans="1:35" s="13" customFormat="1" ht="21.75" customHeight="1" thickTop="1" thickBot="1" x14ac:dyDescent="0.25">
      <c r="A8" s="1143"/>
      <c r="B8" s="1143"/>
      <c r="C8" s="1180"/>
      <c r="D8" s="1143"/>
      <c r="E8" s="1180"/>
      <c r="F8" s="1143"/>
      <c r="G8" s="1143"/>
      <c r="H8" s="1143"/>
      <c r="I8" s="1143" t="s">
        <v>177</v>
      </c>
      <c r="J8" s="1155" t="s">
        <v>16</v>
      </c>
      <c r="K8" s="1168" t="s">
        <v>196</v>
      </c>
      <c r="L8" s="1168" t="s">
        <v>197</v>
      </c>
      <c r="M8" s="1333" t="s">
        <v>195</v>
      </c>
      <c r="N8" s="1143" t="s">
        <v>200</v>
      </c>
      <c r="O8" s="1335" t="s">
        <v>199</v>
      </c>
      <c r="P8" s="1335" t="s">
        <v>53</v>
      </c>
      <c r="Q8" s="1143" t="s">
        <v>29</v>
      </c>
      <c r="R8" s="1170"/>
      <c r="S8" s="1335" t="s">
        <v>3</v>
      </c>
      <c r="T8" s="1143" t="s">
        <v>19</v>
      </c>
      <c r="U8" s="1157" t="s">
        <v>94</v>
      </c>
      <c r="V8" s="1143" t="s">
        <v>20</v>
      </c>
      <c r="W8" s="1337"/>
      <c r="X8" s="1157"/>
      <c r="Y8" s="1157"/>
      <c r="Z8" s="1143"/>
      <c r="AA8" s="1173"/>
      <c r="AB8" s="1143"/>
      <c r="AC8" s="1143"/>
      <c r="AD8" s="1143"/>
      <c r="AE8" s="1143"/>
      <c r="AF8" s="1143"/>
      <c r="AG8" s="1143"/>
      <c r="AH8" s="1143"/>
      <c r="AI8" s="12"/>
    </row>
    <row r="9" spans="1:35" s="13" customFormat="1" ht="11.4" thickTop="1" thickBot="1" x14ac:dyDescent="0.25">
      <c r="A9" s="1143"/>
      <c r="B9" s="1143"/>
      <c r="C9" s="1181"/>
      <c r="D9" s="1143"/>
      <c r="E9" s="1181"/>
      <c r="F9" s="1143"/>
      <c r="G9" s="1143"/>
      <c r="H9" s="1143"/>
      <c r="I9" s="1143"/>
      <c r="J9" s="1155"/>
      <c r="K9" s="1169"/>
      <c r="L9" s="1169"/>
      <c r="M9" s="1334"/>
      <c r="N9" s="1143"/>
      <c r="O9" s="1336"/>
      <c r="P9" s="1336"/>
      <c r="Q9" s="1143"/>
      <c r="R9" s="1172"/>
      <c r="S9" s="1336"/>
      <c r="T9" s="1143"/>
      <c r="U9" s="1157"/>
      <c r="V9" s="1143"/>
      <c r="W9" s="1336"/>
      <c r="X9" s="1157"/>
      <c r="Y9" s="1157"/>
      <c r="Z9" s="1143"/>
      <c r="AA9" s="1173"/>
      <c r="AB9" s="1143"/>
      <c r="AC9" s="1143"/>
      <c r="AD9" s="1143"/>
      <c r="AE9" s="1143"/>
      <c r="AF9" s="1143"/>
      <c r="AG9" s="1143"/>
      <c r="AH9" s="1143"/>
    </row>
    <row r="10" spans="1:35" s="326" customFormat="1" ht="89.4" hidden="1" customHeight="1" thickTop="1" thickBot="1" x14ac:dyDescent="0.25">
      <c r="A10" s="319">
        <v>1</v>
      </c>
      <c r="B10" s="354">
        <v>7305067</v>
      </c>
      <c r="C10" s="358"/>
      <c r="D10" s="356" t="s">
        <v>186</v>
      </c>
      <c r="E10" s="211" t="s">
        <v>188</v>
      </c>
      <c r="F10" s="353" t="s">
        <v>404</v>
      </c>
      <c r="G10" s="216">
        <v>240</v>
      </c>
      <c r="H10" s="321">
        <v>0</v>
      </c>
      <c r="I10" s="321">
        <f>(H10/30)*J10</f>
        <v>0</v>
      </c>
      <c r="J10" s="682">
        <v>15</v>
      </c>
      <c r="K10" s="322">
        <f>+L10*M10</f>
        <v>0</v>
      </c>
      <c r="L10" s="323">
        <f>G10*60%</f>
        <v>144</v>
      </c>
      <c r="M10" s="322">
        <v>0</v>
      </c>
      <c r="N10" s="324">
        <f>+I10-O10-P10</f>
        <v>0</v>
      </c>
      <c r="O10" s="324">
        <v>0</v>
      </c>
      <c r="P10" s="324">
        <f>+O10</f>
        <v>0</v>
      </c>
      <c r="Q10" s="321">
        <f>+P10+N10+O10</f>
        <v>0</v>
      </c>
      <c r="R10" s="359">
        <f>N10+O10</f>
        <v>0</v>
      </c>
      <c r="S10" s="321">
        <f>+R10*5%</f>
        <v>0</v>
      </c>
      <c r="T10" s="321"/>
      <c r="U10" s="359"/>
      <c r="V10" s="324">
        <f>S10</f>
        <v>0</v>
      </c>
      <c r="W10" s="324">
        <f>-V10+N10+O10+P10</f>
        <v>0</v>
      </c>
      <c r="X10" s="324">
        <v>0</v>
      </c>
      <c r="Y10" s="324">
        <v>0</v>
      </c>
      <c r="Z10" s="355">
        <f>W10-X10-Y10</f>
        <v>0</v>
      </c>
      <c r="AA10" s="325"/>
      <c r="AB10" s="325">
        <v>0.155</v>
      </c>
      <c r="AC10" s="325">
        <f>+Q10-P10</f>
        <v>0</v>
      </c>
      <c r="AD10" s="321">
        <f>AB10*Q10</f>
        <v>0</v>
      </c>
      <c r="AE10" s="321">
        <f>+I10/12</f>
        <v>0</v>
      </c>
      <c r="AF10" s="321">
        <f>+I10/12</f>
        <v>0</v>
      </c>
      <c r="AG10" s="321">
        <f>0.02*Z10</f>
        <v>0</v>
      </c>
      <c r="AH10" s="321">
        <f>Z10+AD10+AG10+AE10+AF10</f>
        <v>0</v>
      </c>
    </row>
    <row r="11" spans="1:35" s="326" customFormat="1" ht="81.599999999999994" customHeight="1" thickTop="1" thickBot="1" x14ac:dyDescent="0.25">
      <c r="A11" s="319">
        <v>1</v>
      </c>
      <c r="B11" s="358" t="s">
        <v>459</v>
      </c>
      <c r="C11" s="358" t="s">
        <v>465</v>
      </c>
      <c r="D11" s="356" t="s">
        <v>436</v>
      </c>
      <c r="E11" s="211" t="s">
        <v>32</v>
      </c>
      <c r="F11" s="353" t="s">
        <v>405</v>
      </c>
      <c r="G11" s="216">
        <v>300</v>
      </c>
      <c r="H11" s="321">
        <v>6171.6</v>
      </c>
      <c r="I11" s="321">
        <f>(H11/30)*J11</f>
        <v>3085.8</v>
      </c>
      <c r="J11" s="1063">
        <v>15</v>
      </c>
      <c r="K11" s="322">
        <f>+L11*M11</f>
        <v>0</v>
      </c>
      <c r="L11" s="323">
        <f>G11*60%</f>
        <v>180</v>
      </c>
      <c r="M11" s="322">
        <v>0</v>
      </c>
      <c r="N11" s="324">
        <f>G11*J11</f>
        <v>4500</v>
      </c>
      <c r="O11" s="324">
        <v>0</v>
      </c>
      <c r="P11" s="324">
        <v>0</v>
      </c>
      <c r="Q11" s="321">
        <f>+P11+N11+O11</f>
        <v>4500</v>
      </c>
      <c r="R11" s="359">
        <f>N11+O11</f>
        <v>4500</v>
      </c>
      <c r="S11" s="321">
        <f>+R11*5%</f>
        <v>225</v>
      </c>
      <c r="T11" s="321"/>
      <c r="U11" s="359"/>
      <c r="V11" s="324">
        <f>S11</f>
        <v>225</v>
      </c>
      <c r="W11" s="324">
        <f>-V11+N11+O11+P11</f>
        <v>4275</v>
      </c>
      <c r="X11" s="324">
        <v>0</v>
      </c>
      <c r="Y11" s="324">
        <v>2000</v>
      </c>
      <c r="Z11" s="355">
        <f>W11-X11-Y11</f>
        <v>2275</v>
      </c>
      <c r="AA11" s="325"/>
      <c r="AB11" s="325">
        <v>0.155</v>
      </c>
      <c r="AC11" s="325">
        <f>+Q11-P11</f>
        <v>4500</v>
      </c>
      <c r="AD11" s="321">
        <f>AB11*Q11</f>
        <v>697.5</v>
      </c>
      <c r="AE11" s="321">
        <v>0</v>
      </c>
      <c r="AF11" s="321">
        <v>0</v>
      </c>
      <c r="AG11" s="321">
        <f>0.02*Z11</f>
        <v>45.5</v>
      </c>
      <c r="AH11" s="321">
        <f>Z11+AD11+AG11</f>
        <v>3018</v>
      </c>
    </row>
    <row r="12" spans="1:35" s="7" customFormat="1" ht="75" customHeight="1" thickTop="1" thickBot="1" x14ac:dyDescent="0.25">
      <c r="A12" s="1162" t="s">
        <v>95</v>
      </c>
      <c r="B12" s="1163"/>
      <c r="C12" s="1163"/>
      <c r="D12" s="1164"/>
      <c r="E12" s="211"/>
      <c r="F12" s="210"/>
      <c r="G12" s="215">
        <v>0</v>
      </c>
      <c r="H12" s="215">
        <f>SUM(H10:H11)</f>
        <v>6171.6</v>
      </c>
      <c r="I12" s="215">
        <f t="shared" ref="I12:X12" si="0">SUM(I10:I11)</f>
        <v>3085.8</v>
      </c>
      <c r="J12" s="215">
        <f t="shared" si="0"/>
        <v>30</v>
      </c>
      <c r="K12" s="215">
        <f t="shared" si="0"/>
        <v>0</v>
      </c>
      <c r="L12" s="215">
        <f t="shared" si="0"/>
        <v>324</v>
      </c>
      <c r="M12" s="215">
        <f t="shared" si="0"/>
        <v>0</v>
      </c>
      <c r="N12" s="215">
        <f t="shared" si="0"/>
        <v>4500</v>
      </c>
      <c r="O12" s="215">
        <f t="shared" si="0"/>
        <v>0</v>
      </c>
      <c r="P12" s="732"/>
      <c r="Q12" s="714">
        <f>SUM(Q10:Q11)</f>
        <v>4500</v>
      </c>
      <c r="R12" s="215">
        <f t="shared" si="0"/>
        <v>4500</v>
      </c>
      <c r="S12" s="215">
        <f>SUM(S10:S11)</f>
        <v>225</v>
      </c>
      <c r="T12" s="215"/>
      <c r="U12" s="663">
        <f t="shared" si="0"/>
        <v>0</v>
      </c>
      <c r="V12" s="215">
        <f t="shared" si="0"/>
        <v>225</v>
      </c>
      <c r="W12" s="317">
        <f>SUM(W10:W11)</f>
        <v>4275</v>
      </c>
      <c r="X12" s="215">
        <f t="shared" si="0"/>
        <v>0</v>
      </c>
      <c r="Y12" s="324">
        <f>SUM(Y10:Y11)</f>
        <v>2000</v>
      </c>
      <c r="Z12" s="317">
        <f>SUM(Z10:Z11)</f>
        <v>2275</v>
      </c>
      <c r="AA12" s="87" t="s">
        <v>105</v>
      </c>
      <c r="AB12" s="86" t="e">
        <f>SUM(#REF!)</f>
        <v>#REF!</v>
      </c>
      <c r="AC12" s="86" t="e">
        <f>SUM(#REF!)</f>
        <v>#REF!</v>
      </c>
      <c r="AD12" s="86">
        <f>SUM(AD10:AD11)</f>
        <v>697.5</v>
      </c>
      <c r="AE12" s="86">
        <f>SUM(AE10:AE11)</f>
        <v>0</v>
      </c>
      <c r="AF12" s="86">
        <f>SUM(AF10:AF11)</f>
        <v>0</v>
      </c>
      <c r="AG12" s="86">
        <f>SUM(AG10:AG11)</f>
        <v>45.5</v>
      </c>
      <c r="AH12" s="86">
        <f>SUM(AH10:AH11)</f>
        <v>3018</v>
      </c>
    </row>
    <row r="13" spans="1:35" s="14" customFormat="1" ht="19.5" customHeight="1" thickTop="1" x14ac:dyDescent="0.2">
      <c r="A13" s="27"/>
      <c r="B13" s="27"/>
      <c r="C13" s="27"/>
      <c r="D13" s="27"/>
      <c r="E13" s="27"/>
      <c r="F13" s="28"/>
      <c r="G13" s="28"/>
      <c r="H13" s="27"/>
      <c r="I13" s="27"/>
      <c r="J13" s="29"/>
      <c r="K13" s="29"/>
      <c r="L13" s="29"/>
      <c r="M13" s="29"/>
      <c r="N13" s="27" t="s">
        <v>5</v>
      </c>
      <c r="O13" s="27"/>
      <c r="P13" s="27"/>
      <c r="Q13" s="27"/>
      <c r="R13" s="27"/>
      <c r="S13" s="27"/>
      <c r="T13" s="27"/>
      <c r="U13" s="61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5" s="14" customFormat="1" ht="19.5" hidden="1" customHeight="1" thickTop="1" x14ac:dyDescent="0.2">
      <c r="A14" s="27"/>
      <c r="B14" s="27"/>
      <c r="C14" s="27"/>
      <c r="D14" s="27"/>
      <c r="E14" s="27"/>
      <c r="F14" s="28"/>
      <c r="G14" s="568">
        <v>10</v>
      </c>
      <c r="H14" s="27"/>
      <c r="I14" s="27"/>
      <c r="J14" s="29"/>
      <c r="K14" s="29"/>
      <c r="L14" s="29"/>
      <c r="M14" s="29"/>
      <c r="N14" s="27"/>
      <c r="O14" s="27"/>
      <c r="P14" s="27"/>
      <c r="Q14" s="27"/>
      <c r="R14" s="27"/>
      <c r="S14" s="27"/>
      <c r="T14" s="27"/>
      <c r="U14" s="61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5" s="14" customFormat="1" ht="19.5" hidden="1" customHeight="1" x14ac:dyDescent="0.2">
      <c r="A15" s="27"/>
      <c r="B15" s="27"/>
      <c r="C15" s="27"/>
      <c r="D15" s="27"/>
      <c r="E15" s="27"/>
      <c r="F15" s="28"/>
      <c r="G15" s="568">
        <v>350</v>
      </c>
      <c r="H15" s="27">
        <v>35.694800000000001</v>
      </c>
      <c r="I15" s="27">
        <f>+G15*H15</f>
        <v>12493.18</v>
      </c>
      <c r="J15" s="29"/>
      <c r="K15" s="29"/>
      <c r="L15" s="29"/>
      <c r="M15" s="29"/>
      <c r="N15" s="27"/>
      <c r="O15" s="27"/>
      <c r="P15" s="27"/>
      <c r="Q15" s="27"/>
      <c r="R15" s="27"/>
      <c r="S15" s="27"/>
      <c r="T15" s="27"/>
      <c r="U15" s="61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5" s="14" customFormat="1" ht="19.5" hidden="1" customHeight="1" x14ac:dyDescent="0.2">
      <c r="A16" s="27"/>
      <c r="B16" s="27"/>
      <c r="C16" s="27"/>
      <c r="D16" s="27"/>
      <c r="E16" s="27"/>
      <c r="F16" s="28"/>
      <c r="G16" s="568"/>
      <c r="H16" s="27"/>
      <c r="I16" s="27">
        <f>+G15/H15</f>
        <v>9.8053497988502532</v>
      </c>
      <c r="J16" s="29">
        <f>9.81*30</f>
        <v>294.3</v>
      </c>
      <c r="K16" s="29"/>
      <c r="L16" s="29"/>
      <c r="M16" s="29"/>
      <c r="N16" s="27"/>
      <c r="O16" s="27"/>
      <c r="P16" s="27"/>
      <c r="Q16" s="27"/>
      <c r="R16" s="27"/>
      <c r="S16" s="27"/>
      <c r="T16" s="27"/>
      <c r="U16" s="61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s="14" customFormat="1" ht="19.5" hidden="1" customHeight="1" x14ac:dyDescent="0.2">
      <c r="A17" s="27"/>
      <c r="B17" s="27"/>
      <c r="C17" s="27"/>
      <c r="D17" s="27"/>
      <c r="E17" s="27"/>
      <c r="F17" s="28"/>
      <c r="G17" s="568"/>
      <c r="H17" s="27"/>
      <c r="I17" s="27"/>
      <c r="J17" s="29"/>
      <c r="K17" s="29"/>
      <c r="L17" s="29"/>
      <c r="M17" s="29"/>
      <c r="N17" s="27"/>
      <c r="O17" s="27"/>
      <c r="P17" s="27"/>
      <c r="Q17" s="27"/>
      <c r="R17" s="27"/>
      <c r="S17" s="27"/>
      <c r="T17" s="27"/>
      <c r="U17" s="61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s="14" customFormat="1" ht="19.5" hidden="1" customHeight="1" x14ac:dyDescent="0.2">
      <c r="A18" s="27"/>
      <c r="B18" s="27"/>
      <c r="C18" s="27"/>
      <c r="D18" s="27"/>
      <c r="E18" s="27"/>
      <c r="F18" s="28"/>
      <c r="G18" s="568"/>
      <c r="H18" s="27"/>
      <c r="I18" s="27"/>
      <c r="J18" s="29"/>
      <c r="K18" s="29"/>
      <c r="L18" s="29"/>
      <c r="M18" s="29"/>
      <c r="N18" s="27"/>
      <c r="O18" s="27"/>
      <c r="P18" s="27"/>
      <c r="Q18" s="27"/>
      <c r="R18" s="27"/>
      <c r="S18" s="27"/>
      <c r="T18" s="27"/>
      <c r="U18" s="61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s="14" customFormat="1" ht="19.5" hidden="1" customHeight="1" x14ac:dyDescent="0.2">
      <c r="A19" s="27"/>
      <c r="B19" s="27"/>
      <c r="C19" s="27"/>
      <c r="D19" s="27"/>
      <c r="E19" s="27"/>
      <c r="F19" s="28"/>
      <c r="G19" s="568"/>
      <c r="H19" s="27"/>
      <c r="I19" s="27"/>
      <c r="J19" s="29"/>
      <c r="K19" s="29"/>
      <c r="L19" s="29"/>
      <c r="M19" s="29"/>
      <c r="N19" s="27"/>
      <c r="O19" s="27"/>
      <c r="P19" s="27"/>
      <c r="Q19" s="27"/>
      <c r="R19" s="27"/>
      <c r="S19" s="27"/>
      <c r="T19" s="27"/>
      <c r="U19" s="61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 spans="1:34" s="14" customFormat="1" ht="19.5" customHeight="1" x14ac:dyDescent="0.2">
      <c r="A20" s="27"/>
      <c r="B20" s="27"/>
      <c r="C20" s="27"/>
      <c r="D20" s="27"/>
      <c r="E20" s="27"/>
      <c r="F20" s="28"/>
      <c r="G20" s="28"/>
      <c r="H20" s="27"/>
      <c r="I20" s="27"/>
      <c r="J20" s="29"/>
      <c r="K20" s="29"/>
      <c r="L20" s="29"/>
      <c r="M20" s="29"/>
      <c r="N20" s="27"/>
      <c r="O20" s="27"/>
      <c r="P20" s="27"/>
      <c r="Q20" s="27"/>
      <c r="R20" s="27"/>
      <c r="S20" s="27"/>
      <c r="T20" s="27"/>
      <c r="U20" s="61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 spans="1:34" s="14" customFormat="1" ht="19.5" customHeight="1" x14ac:dyDescent="0.2">
      <c r="A21" s="27"/>
      <c r="B21" s="27"/>
      <c r="C21" s="27"/>
      <c r="D21" s="27"/>
      <c r="E21" s="27"/>
      <c r="F21" s="28"/>
      <c r="G21" s="67"/>
      <c r="H21" s="338"/>
      <c r="I21" s="27"/>
      <c r="J21" s="29"/>
      <c r="K21" s="29"/>
      <c r="L21" s="29"/>
      <c r="M21" s="29"/>
      <c r="N21" s="27"/>
      <c r="O21" s="27"/>
      <c r="P21" s="27"/>
      <c r="Q21" s="27"/>
      <c r="R21" s="27"/>
      <c r="S21" s="27"/>
      <c r="T21" s="27"/>
      <c r="U21" s="61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 spans="1:34" s="11" customFormat="1" ht="23.4" x14ac:dyDescent="0.2">
      <c r="A22" s="27"/>
      <c r="B22" s="27"/>
      <c r="C22" s="27"/>
      <c r="D22" s="914"/>
      <c r="E22" s="27"/>
      <c r="F22" s="28"/>
      <c r="G22" s="28"/>
      <c r="H22" s="27"/>
      <c r="I22" s="27"/>
      <c r="J22" s="29"/>
      <c r="K22" s="29"/>
      <c r="L22" s="29"/>
      <c r="M22" s="29"/>
      <c r="N22" s="27"/>
      <c r="O22" s="27"/>
      <c r="P22" s="27"/>
      <c r="Q22" s="27"/>
      <c r="R22" s="27"/>
      <c r="S22" s="27"/>
      <c r="T22" s="27"/>
      <c r="U22" s="61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</row>
    <row r="23" spans="1:34" s="11" customFormat="1" x14ac:dyDescent="0.2">
      <c r="A23" s="30"/>
      <c r="B23" s="27"/>
      <c r="C23" s="30"/>
      <c r="D23" s="27"/>
      <c r="E23" s="27"/>
      <c r="F23" s="28"/>
      <c r="G23" s="28"/>
      <c r="H23" s="27"/>
      <c r="I23" s="27"/>
      <c r="J23" s="29"/>
      <c r="K23" s="29"/>
      <c r="L23" s="29"/>
      <c r="M23" s="29"/>
      <c r="N23" s="30"/>
      <c r="O23" s="30"/>
      <c r="P23" s="30"/>
      <c r="Q23" s="27"/>
      <c r="R23" s="27"/>
      <c r="S23" s="27"/>
      <c r="T23" s="27"/>
      <c r="U23" s="669"/>
      <c r="V23" s="27"/>
      <c r="W23" s="27"/>
      <c r="X23" s="27"/>
      <c r="Y23" s="27"/>
      <c r="Z23" s="30"/>
      <c r="AA23" s="27"/>
      <c r="AB23" s="27"/>
      <c r="AC23" s="27"/>
      <c r="AD23" s="27"/>
      <c r="AE23" s="27"/>
      <c r="AF23" s="27"/>
      <c r="AG23" s="27"/>
      <c r="AH23" s="27"/>
    </row>
    <row r="24" spans="1:34" s="11" customFormat="1" x14ac:dyDescent="0.2">
      <c r="A24" s="30"/>
      <c r="B24" s="27"/>
      <c r="C24" s="30"/>
      <c r="D24" s="27"/>
      <c r="E24" s="27"/>
      <c r="F24" s="28"/>
      <c r="G24" s="28"/>
      <c r="H24" s="27"/>
      <c r="I24" s="27"/>
      <c r="J24" s="29"/>
      <c r="K24" s="29"/>
      <c r="L24" s="29"/>
      <c r="M24" s="29"/>
      <c r="N24" s="30"/>
      <c r="O24" s="30"/>
      <c r="P24" s="30"/>
      <c r="Q24" s="27"/>
      <c r="R24" s="27"/>
      <c r="S24" s="27"/>
      <c r="T24" s="27"/>
      <c r="U24" s="670"/>
      <c r="V24" s="27"/>
      <c r="W24" s="27"/>
      <c r="X24" s="27"/>
      <c r="Y24" s="27"/>
      <c r="Z24" s="30"/>
      <c r="AA24" s="27"/>
      <c r="AB24" s="27"/>
      <c r="AC24" s="27"/>
      <c r="AD24" s="27"/>
      <c r="AE24" s="27"/>
      <c r="AF24" s="27"/>
      <c r="AG24" s="27"/>
      <c r="AH24" s="27"/>
    </row>
    <row r="25" spans="1:34" s="11" customFormat="1" x14ac:dyDescent="0.2">
      <c r="A25" s="30"/>
      <c r="B25" s="27"/>
      <c r="C25" s="30"/>
      <c r="D25" s="27"/>
      <c r="E25" s="27"/>
      <c r="F25" s="28"/>
      <c r="G25" s="28"/>
      <c r="H25" s="27"/>
      <c r="I25" s="27"/>
      <c r="J25" s="29"/>
      <c r="K25" s="29"/>
      <c r="L25" s="29"/>
      <c r="M25" s="29"/>
      <c r="N25" s="30"/>
      <c r="O25" s="30"/>
      <c r="P25" s="30"/>
      <c r="Q25" s="27"/>
      <c r="R25" s="27"/>
      <c r="S25" s="27"/>
      <c r="T25" s="27"/>
      <c r="U25" s="670"/>
      <c r="V25" s="27"/>
      <c r="W25" s="27"/>
      <c r="X25" s="27"/>
      <c r="Y25" s="27"/>
      <c r="Z25" s="30"/>
      <c r="AA25" s="27"/>
      <c r="AB25" s="27"/>
      <c r="AC25" s="27"/>
      <c r="AD25" s="27"/>
      <c r="AE25" s="27"/>
      <c r="AF25" s="27"/>
      <c r="AG25" s="27"/>
      <c r="AH25" s="27"/>
    </row>
    <row r="26" spans="1:34" s="11" customFormat="1" x14ac:dyDescent="0.2">
      <c r="A26" s="30"/>
      <c r="B26" s="27"/>
      <c r="C26" s="30"/>
      <c r="D26" s="27"/>
      <c r="E26" s="27"/>
      <c r="F26" s="28"/>
      <c r="G26" s="28"/>
      <c r="H26" s="27"/>
      <c r="I26" s="27"/>
      <c r="J26" s="29"/>
      <c r="K26" s="29"/>
      <c r="L26" s="29"/>
      <c r="M26" s="29"/>
      <c r="N26" s="30"/>
      <c r="O26" s="30"/>
      <c r="P26" s="30"/>
      <c r="Q26" s="27"/>
      <c r="R26" s="27"/>
      <c r="S26" s="27"/>
      <c r="T26" s="27"/>
      <c r="U26" s="670"/>
      <c r="V26" s="27"/>
      <c r="W26" s="27"/>
      <c r="X26" s="27"/>
      <c r="Y26" s="27"/>
      <c r="Z26" s="30"/>
      <c r="AA26" s="27"/>
      <c r="AB26" s="27"/>
      <c r="AC26" s="27"/>
      <c r="AD26" s="27"/>
      <c r="AE26" s="27"/>
      <c r="AF26" s="27"/>
      <c r="AG26" s="27"/>
      <c r="AH26" s="27"/>
    </row>
    <row r="27" spans="1:34" s="11" customFormat="1" x14ac:dyDescent="0.2">
      <c r="A27" s="30"/>
      <c r="B27" s="27"/>
      <c r="C27" s="1165"/>
      <c r="D27" s="1165"/>
      <c r="E27" s="1165"/>
      <c r="F27" s="1165"/>
      <c r="G27" s="49"/>
      <c r="H27" s="27"/>
      <c r="I27" s="27"/>
      <c r="J27" s="1166"/>
      <c r="K27" s="1166"/>
      <c r="L27" s="1166"/>
      <c r="M27" s="1166"/>
      <c r="N27" s="1166"/>
      <c r="O27" s="1166"/>
      <c r="P27" s="1166"/>
      <c r="Q27" s="1166"/>
      <c r="R27" s="1166"/>
      <c r="S27" s="1166"/>
      <c r="T27" s="1166"/>
      <c r="U27" s="1166"/>
      <c r="V27" s="1166"/>
      <c r="W27" s="29"/>
      <c r="X27" s="27"/>
      <c r="Y27" s="27"/>
      <c r="Z27" s="1165"/>
      <c r="AA27" s="1165"/>
      <c r="AB27" s="1165"/>
      <c r="AC27" s="1165"/>
      <c r="AG27" s="27"/>
      <c r="AH27" s="27"/>
    </row>
    <row r="28" spans="1:34" s="11" customFormat="1" ht="13.5" customHeight="1" x14ac:dyDescent="0.2">
      <c r="A28" s="27"/>
      <c r="B28" s="27"/>
      <c r="C28" s="1167" t="s">
        <v>23</v>
      </c>
      <c r="D28" s="1167"/>
      <c r="E28" s="1167"/>
      <c r="F28" s="1167"/>
      <c r="G28" s="52"/>
      <c r="H28" s="27"/>
      <c r="I28" s="27"/>
      <c r="J28" s="1167" t="s">
        <v>24</v>
      </c>
      <c r="K28" s="1167"/>
      <c r="L28" s="1167"/>
      <c r="M28" s="1167"/>
      <c r="N28" s="1167"/>
      <c r="O28" s="1167"/>
      <c r="P28" s="1167"/>
      <c r="Q28" s="1167"/>
      <c r="R28" s="1167"/>
      <c r="S28" s="1167"/>
      <c r="T28" s="1167"/>
      <c r="U28" s="1167"/>
      <c r="V28" s="1167"/>
      <c r="W28" s="52"/>
      <c r="X28" s="27"/>
      <c r="Y28" s="27"/>
      <c r="Z28" s="1167" t="s">
        <v>25</v>
      </c>
      <c r="AA28" s="1167"/>
      <c r="AB28" s="1167"/>
      <c r="AC28" s="1167"/>
      <c r="AG28" s="27"/>
      <c r="AH28" s="27"/>
    </row>
    <row r="29" spans="1:34" s="11" customFormat="1" x14ac:dyDescent="0.2">
      <c r="A29" s="30"/>
      <c r="B29" s="27"/>
      <c r="C29" s="1159" t="str">
        <f>+'ADMON COM. '!C50:F50</f>
        <v>Jose Martin Conrrado</v>
      </c>
      <c r="D29" s="1159"/>
      <c r="E29" s="1159"/>
      <c r="F29" s="1159"/>
      <c r="G29" s="48"/>
      <c r="H29" s="27"/>
      <c r="I29" s="30"/>
      <c r="J29" s="1159" t="s">
        <v>350</v>
      </c>
      <c r="K29" s="1159"/>
      <c r="L29" s="1159"/>
      <c r="M29" s="1159"/>
      <c r="N29" s="1159"/>
      <c r="O29" s="1159"/>
      <c r="P29" s="1159"/>
      <c r="Q29" s="1159"/>
      <c r="R29" s="1159"/>
      <c r="S29" s="1159"/>
      <c r="T29" s="1159"/>
      <c r="U29" s="1159"/>
      <c r="V29" s="1159"/>
      <c r="W29" s="48"/>
      <c r="X29" s="33"/>
      <c r="Y29" s="33"/>
      <c r="Z29" s="1160" t="s">
        <v>497</v>
      </c>
      <c r="AA29" s="1160"/>
      <c r="AB29" s="1160"/>
      <c r="AC29" s="1160"/>
      <c r="AG29" s="27"/>
      <c r="AH29" s="27"/>
    </row>
    <row r="30" spans="1:34" s="11" customFormat="1" x14ac:dyDescent="0.2">
      <c r="A30" s="8"/>
      <c r="B30" s="8"/>
      <c r="C30" s="1161"/>
      <c r="D30" s="1161"/>
      <c r="E30" s="25"/>
      <c r="F30" s="25"/>
      <c r="G30" s="25"/>
      <c r="H30" s="8"/>
      <c r="I30" s="8"/>
      <c r="J30" s="9"/>
      <c r="K30" s="9"/>
      <c r="L30" s="9"/>
      <c r="M30" s="9"/>
      <c r="N30" s="1161"/>
      <c r="O30" s="1161"/>
      <c r="P30" s="1161"/>
      <c r="Q30" s="1161"/>
      <c r="R30" s="1161"/>
      <c r="S30" s="1161"/>
      <c r="T30" s="1161"/>
      <c r="U30" s="671"/>
      <c r="V30" s="25"/>
      <c r="W30" s="25"/>
      <c r="X30" s="25"/>
      <c r="Y30" s="25"/>
      <c r="Z30" s="8"/>
      <c r="AA30" s="8"/>
      <c r="AB30" s="8"/>
      <c r="AC30" s="8"/>
      <c r="AD30" s="10"/>
      <c r="AE30" s="10"/>
      <c r="AF30" s="10"/>
      <c r="AG30" s="10"/>
      <c r="AH30" s="10"/>
    </row>
    <row r="31" spans="1:34" x14ac:dyDescent="0.2">
      <c r="A31" s="3"/>
      <c r="B31" s="3"/>
      <c r="C31" s="3"/>
      <c r="D31" s="3"/>
      <c r="E31" s="3"/>
      <c r="F31" s="4"/>
      <c r="G31" s="685"/>
      <c r="H31" s="3"/>
      <c r="I31" s="3"/>
      <c r="J31" s="2"/>
      <c r="K31" s="2"/>
      <c r="L31" s="2"/>
      <c r="M31" s="2"/>
      <c r="N31" s="3"/>
      <c r="O31" s="3"/>
      <c r="P31" s="3"/>
      <c r="Q31" s="3"/>
      <c r="R31" s="3"/>
      <c r="S31" s="3"/>
      <c r="T31" s="3"/>
      <c r="U31" s="618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">
      <c r="A32" s="3"/>
      <c r="B32" s="3"/>
      <c r="C32" s="3"/>
      <c r="D32" s="3"/>
      <c r="E32" s="3"/>
      <c r="F32" s="4"/>
      <c r="G32" s="685"/>
      <c r="H32" s="3"/>
      <c r="I32" s="3"/>
      <c r="J32" s="2"/>
      <c r="K32" s="2"/>
      <c r="L32" s="2"/>
      <c r="M32" s="2"/>
      <c r="N32" s="3"/>
      <c r="O32" s="3"/>
      <c r="P32" s="3"/>
      <c r="Q32" s="3"/>
      <c r="R32" s="3"/>
      <c r="S32" s="3"/>
      <c r="T32" s="3"/>
      <c r="U32" s="618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1:34" x14ac:dyDescent="0.2">
      <c r="A33" s="3"/>
      <c r="B33" s="3"/>
      <c r="C33" s="3"/>
      <c r="D33" s="3"/>
      <c r="E33" s="3"/>
      <c r="F33" s="4"/>
      <c r="G33" s="685"/>
      <c r="H33" s="3"/>
      <c r="I33" s="3"/>
      <c r="J33" s="2"/>
      <c r="K33" s="2"/>
      <c r="L33" s="2"/>
      <c r="M33" s="2"/>
      <c r="N33" s="3"/>
      <c r="O33" s="3"/>
      <c r="P33" s="3"/>
      <c r="Q33" s="3"/>
      <c r="R33" s="3"/>
      <c r="S33" s="3"/>
      <c r="T33" s="3"/>
      <c r="U33" s="618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x14ac:dyDescent="0.2">
      <c r="A34" s="3"/>
      <c r="B34" s="3"/>
      <c r="C34" s="3"/>
      <c r="D34" s="3"/>
      <c r="E34" s="3"/>
      <c r="F34" s="4"/>
      <c r="G34" s="685"/>
      <c r="H34" s="3"/>
      <c r="I34" s="3"/>
      <c r="J34" s="2"/>
      <c r="K34" s="2"/>
      <c r="L34" s="2"/>
      <c r="M34" s="2"/>
      <c r="N34" s="3"/>
      <c r="O34" s="3"/>
      <c r="P34" s="3"/>
      <c r="Q34" s="3"/>
      <c r="R34" s="3"/>
      <c r="S34" s="3"/>
      <c r="T34" s="3"/>
      <c r="U34" s="618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1:34" x14ac:dyDescent="0.2">
      <c r="A35" s="3"/>
      <c r="B35" s="3"/>
      <c r="C35" s="3"/>
      <c r="D35" s="3"/>
      <c r="E35" s="3"/>
      <c r="F35" s="4"/>
      <c r="G35" s="685"/>
      <c r="H35" s="3"/>
      <c r="I35" s="3"/>
      <c r="J35" s="2"/>
      <c r="K35" s="2"/>
      <c r="L35" s="2"/>
      <c r="M35" s="2"/>
      <c r="N35" s="3"/>
      <c r="O35" s="3"/>
      <c r="P35" s="3"/>
      <c r="Q35" s="3"/>
      <c r="R35" s="3"/>
      <c r="S35" s="3"/>
      <c r="T35" s="3"/>
      <c r="U35" s="618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spans="1:34" x14ac:dyDescent="0.2">
      <c r="A36" s="3"/>
      <c r="B36" s="3"/>
      <c r="C36" s="3"/>
      <c r="D36" s="3"/>
      <c r="E36" s="3"/>
      <c r="F36" s="4"/>
      <c r="G36" s="685"/>
      <c r="H36" s="3"/>
      <c r="I36" s="3"/>
      <c r="J36" s="2"/>
      <c r="K36" s="2"/>
      <c r="L36" s="2"/>
      <c r="M36" s="2"/>
      <c r="N36" s="3"/>
      <c r="O36" s="3"/>
      <c r="P36" s="3"/>
      <c r="Q36" s="3"/>
      <c r="R36" s="3"/>
      <c r="S36" s="3"/>
      <c r="T36" s="3"/>
      <c r="U36" s="618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47" spans="1:34" x14ac:dyDescent="0.2">
      <c r="A47" s="3"/>
      <c r="B47" s="3"/>
      <c r="C47" s="3"/>
      <c r="D47" s="3"/>
      <c r="E47" s="3"/>
      <c r="F47" s="4"/>
      <c r="G47" s="574"/>
      <c r="H47" s="3"/>
      <c r="I47" s="3"/>
      <c r="J47" s="2"/>
      <c r="K47" s="2"/>
      <c r="L47" s="2"/>
      <c r="M47" s="2"/>
      <c r="N47" s="3"/>
      <c r="O47" s="3"/>
      <c r="P47" s="3"/>
      <c r="Q47" s="3"/>
      <c r="R47" s="3"/>
      <c r="S47" s="3"/>
      <c r="T47" s="3"/>
      <c r="U47" s="618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spans="1:34" x14ac:dyDescent="0.2">
      <c r="A48" s="3"/>
      <c r="B48" s="3"/>
      <c r="C48" s="3"/>
      <c r="D48" s="3"/>
      <c r="E48" s="3"/>
      <c r="F48" s="4"/>
      <c r="G48" s="574"/>
      <c r="H48" s="3"/>
      <c r="I48" s="3"/>
      <c r="J48" s="2"/>
      <c r="K48" s="2"/>
      <c r="L48" s="2"/>
      <c r="M48" s="2"/>
      <c r="N48" s="3"/>
      <c r="O48" s="3"/>
      <c r="P48" s="3"/>
      <c r="Q48" s="3"/>
      <c r="R48" s="3"/>
      <c r="S48" s="3"/>
      <c r="T48" s="3"/>
      <c r="U48" s="618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spans="1:33" x14ac:dyDescent="0.2">
      <c r="A49" s="3"/>
      <c r="B49" s="3"/>
      <c r="C49" s="3"/>
      <c r="D49" s="3"/>
      <c r="E49" s="3"/>
      <c r="F49" s="4"/>
      <c r="G49" s="574"/>
      <c r="H49" s="3"/>
      <c r="I49" s="3"/>
      <c r="J49" s="2"/>
      <c r="K49" s="2"/>
      <c r="L49" s="2"/>
      <c r="M49" s="2"/>
      <c r="N49" s="3"/>
      <c r="O49" s="3"/>
      <c r="P49" s="3"/>
      <c r="Q49" s="3"/>
      <c r="R49" s="3"/>
      <c r="S49" s="3"/>
      <c r="T49" s="3"/>
      <c r="U49" s="618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spans="1:33" x14ac:dyDescent="0.2">
      <c r="A50" s="3"/>
      <c r="B50" s="3"/>
      <c r="C50" s="3"/>
      <c r="D50" s="3"/>
      <c r="E50" s="3"/>
      <c r="F50" s="4"/>
      <c r="G50" s="574"/>
      <c r="H50" s="3"/>
      <c r="I50" s="3"/>
      <c r="J50" s="2"/>
      <c r="K50" s="2"/>
      <c r="L50" s="2"/>
      <c r="M50" s="2"/>
      <c r="N50" s="3"/>
      <c r="O50" s="3"/>
      <c r="P50" s="3"/>
      <c r="Q50" s="3"/>
      <c r="R50" s="3"/>
      <c r="S50" s="3"/>
      <c r="T50" s="3"/>
      <c r="U50" s="618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</sheetData>
  <mergeCells count="52">
    <mergeCell ref="C30:D30"/>
    <mergeCell ref="N30:T30"/>
    <mergeCell ref="Z27:AC27"/>
    <mergeCell ref="C28:F28"/>
    <mergeCell ref="J28:V28"/>
    <mergeCell ref="Z28:AC28"/>
    <mergeCell ref="C29:F29"/>
    <mergeCell ref="J29:V29"/>
    <mergeCell ref="Z29:AC29"/>
    <mergeCell ref="S8:S9"/>
    <mergeCell ref="T8:T9"/>
    <mergeCell ref="U8:U9"/>
    <mergeCell ref="V8:V9"/>
    <mergeCell ref="A12:D12"/>
    <mergeCell ref="C27:F27"/>
    <mergeCell ref="J27:V27"/>
    <mergeCell ref="AE7:AE9"/>
    <mergeCell ref="AF7:AF9"/>
    <mergeCell ref="AG7:AG9"/>
    <mergeCell ref="AH7:AH9"/>
    <mergeCell ref="I8:I9"/>
    <mergeCell ref="J8:J9"/>
    <mergeCell ref="K8:K9"/>
    <mergeCell ref="L8:L9"/>
    <mergeCell ref="M8:M9"/>
    <mergeCell ref="N8:N9"/>
    <mergeCell ref="Y7:Y9"/>
    <mergeCell ref="Z7:Z9"/>
    <mergeCell ref="AA7:AA9"/>
    <mergeCell ref="AB7:AB9"/>
    <mergeCell ref="AC7:AC9"/>
    <mergeCell ref="AD7:AD9"/>
    <mergeCell ref="G7:G9"/>
    <mergeCell ref="H7:H9"/>
    <mergeCell ref="I7:N7"/>
    <mergeCell ref="Q7:V7"/>
    <mergeCell ref="W7:W9"/>
    <mergeCell ref="X7:X9"/>
    <mergeCell ref="O8:O9"/>
    <mergeCell ref="P8:P9"/>
    <mergeCell ref="Q8:Q9"/>
    <mergeCell ref="R8:R9"/>
    <mergeCell ref="A2:AA2"/>
    <mergeCell ref="A3:AC3"/>
    <mergeCell ref="A4:AC4"/>
    <mergeCell ref="A5:AA5"/>
    <mergeCell ref="A7:A9"/>
    <mergeCell ref="B7:B9"/>
    <mergeCell ref="C7:C9"/>
    <mergeCell ref="D7:D9"/>
    <mergeCell ref="E7:E9"/>
    <mergeCell ref="F7:F9"/>
  </mergeCells>
  <printOptions horizontalCentered="1" verticalCentered="1"/>
  <pageMargins left="0" right="0" top="0" bottom="1.9685039370078741" header="0" footer="0"/>
  <pageSetup paperSize="5" scale="60" fitToWidth="0" fitToHeight="0" orientation="landscape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66F4-CB30-4631-B781-BD213ECE3E83}">
  <sheetPr transitionEvaluation="1">
    <tabColor rgb="FF00B0F0"/>
  </sheetPr>
  <dimension ref="A1:AK65"/>
  <sheetViews>
    <sheetView showGridLines="0" tabSelected="1" zoomScale="87" zoomScaleNormal="87" workbookViewId="0">
      <selection activeCell="A10" sqref="A10"/>
    </sheetView>
  </sheetViews>
  <sheetFormatPr baseColWidth="10" defaultColWidth="9.85546875" defaultRowHeight="14.4" x14ac:dyDescent="0.2"/>
  <cols>
    <col min="1" max="1" width="5.140625" style="1" customWidth="1"/>
    <col min="2" max="2" width="5" style="1" customWidth="1"/>
    <col min="3" max="3" width="21.85546875" style="1" hidden="1" customWidth="1"/>
    <col min="4" max="4" width="28.28515625" style="1" customWidth="1"/>
    <col min="5" max="5" width="5.28515625" style="1" customWidth="1"/>
    <col min="6" max="6" width="7.42578125" style="5" bestFit="1" customWidth="1"/>
    <col min="7" max="7" width="23.28515625" style="5" hidden="1" customWidth="1"/>
    <col min="8" max="8" width="12.42578125" style="5" hidden="1" customWidth="1"/>
    <col min="9" max="9" width="15.140625" style="575" customWidth="1"/>
    <col min="10" max="10" width="18.140625" style="1" customWidth="1"/>
    <col min="11" max="11" width="17.28515625" style="1" bestFit="1" customWidth="1"/>
    <col min="12" max="12" width="11.140625" style="6" customWidth="1"/>
    <col min="13" max="14" width="10.7109375" style="6" hidden="1" customWidth="1"/>
    <col min="15" max="15" width="8.85546875" style="6" hidden="1" customWidth="1"/>
    <col min="16" max="16" width="21.140625" style="1" customWidth="1"/>
    <col min="17" max="17" width="13.7109375" style="1" customWidth="1"/>
    <col min="18" max="18" width="14.85546875" style="1" customWidth="1"/>
    <col min="19" max="19" width="18.7109375" style="1" customWidth="1"/>
    <col min="20" max="20" width="14.42578125" style="1" hidden="1" customWidth="1"/>
    <col min="21" max="21" width="17.42578125" style="1" customWidth="1"/>
    <col min="22" max="22" width="7.7109375" style="1" hidden="1" customWidth="1"/>
    <col min="23" max="23" width="9.42578125" style="619" hidden="1" customWidth="1"/>
    <col min="24" max="24" width="14.85546875" style="1" bestFit="1" customWidth="1"/>
    <col min="25" max="25" width="17.28515625" style="1" hidden="1" customWidth="1"/>
    <col min="26" max="26" width="18" style="1" hidden="1" customWidth="1"/>
    <col min="27" max="27" width="15.140625" style="1" hidden="1" customWidth="1"/>
    <col min="28" max="28" width="37.7109375" style="1" customWidth="1"/>
    <col min="29" max="29" width="43.85546875" style="1" customWidth="1"/>
    <col min="30" max="30" width="10.42578125" style="1" hidden="1" customWidth="1"/>
    <col min="31" max="31" width="11.42578125" style="1" hidden="1" customWidth="1"/>
    <col min="32" max="32" width="17.28515625" style="1" customWidth="1"/>
    <col min="33" max="33" width="17.42578125" style="1" customWidth="1"/>
    <col min="34" max="34" width="18.42578125" style="1" customWidth="1"/>
    <col min="35" max="35" width="15" style="1" customWidth="1"/>
    <col min="36" max="36" width="18" style="1" customWidth="1"/>
    <col min="37" max="38" width="1.85546875" style="1" customWidth="1"/>
    <col min="39" max="39" width="13.85546875" style="1" customWidth="1"/>
    <col min="40" max="40" width="6.85546875" style="1" customWidth="1"/>
    <col min="41" max="41" width="5.85546875" style="1" customWidth="1"/>
    <col min="42" max="42" width="7.85546875" style="1" customWidth="1"/>
    <col min="43" max="43" width="1.85546875" style="1" customWidth="1"/>
    <col min="44" max="44" width="38.85546875" style="1" customWidth="1"/>
    <col min="45" max="45" width="3.85546875" style="1" customWidth="1"/>
    <col min="46" max="46" width="8.85546875" style="1" customWidth="1"/>
    <col min="47" max="47" width="1.85546875" style="1" customWidth="1"/>
    <col min="48" max="16384" width="9.85546875" style="1"/>
  </cols>
  <sheetData>
    <row r="1" spans="1:37" ht="8.25" customHeight="1" x14ac:dyDescent="0.2">
      <c r="I1" s="686"/>
    </row>
    <row r="2" spans="1:37" s="15" customFormat="1" ht="17.25" customHeight="1" x14ac:dyDescent="0.2">
      <c r="A2" s="1331" t="s">
        <v>97</v>
      </c>
      <c r="B2" s="1331"/>
      <c r="C2" s="1331"/>
      <c r="D2" s="1331"/>
      <c r="E2" s="1331"/>
      <c r="F2" s="1331"/>
      <c r="G2" s="1331"/>
      <c r="H2" s="1331"/>
      <c r="I2" s="1331"/>
      <c r="J2" s="1331"/>
      <c r="K2" s="1331"/>
      <c r="L2" s="1331"/>
      <c r="M2" s="1331"/>
      <c r="N2" s="1331"/>
      <c r="O2" s="1331"/>
      <c r="P2" s="1331"/>
      <c r="Q2" s="1331"/>
      <c r="R2" s="1331"/>
      <c r="S2" s="1331"/>
      <c r="T2" s="1331"/>
      <c r="U2" s="1331"/>
      <c r="V2" s="1331"/>
      <c r="W2" s="1331"/>
      <c r="X2" s="1331"/>
      <c r="Y2" s="1331"/>
      <c r="Z2" s="1331"/>
      <c r="AA2" s="1331"/>
      <c r="AB2" s="1331"/>
      <c r="AC2" s="1331"/>
      <c r="AD2" s="1331"/>
      <c r="AE2" s="1331"/>
    </row>
    <row r="3" spans="1:37" s="15" customFormat="1" ht="17.25" customHeight="1" x14ac:dyDescent="0.2">
      <c r="A3" s="1331" t="s">
        <v>485</v>
      </c>
      <c r="B3" s="1331"/>
      <c r="C3" s="1331"/>
      <c r="D3" s="1331"/>
      <c r="E3" s="1331"/>
      <c r="F3" s="1331"/>
      <c r="G3" s="1331"/>
      <c r="H3" s="1331"/>
      <c r="I3" s="1331"/>
      <c r="J3" s="1331"/>
      <c r="K3" s="1331"/>
      <c r="L3" s="1331"/>
      <c r="M3" s="1331"/>
      <c r="N3" s="1331"/>
      <c r="O3" s="1331"/>
      <c r="P3" s="1331"/>
      <c r="Q3" s="1331"/>
      <c r="R3" s="1331"/>
      <c r="S3" s="1331"/>
      <c r="T3" s="1331"/>
      <c r="U3" s="1331"/>
      <c r="V3" s="1331"/>
      <c r="W3" s="1331"/>
      <c r="X3" s="1331"/>
      <c r="Y3" s="1331"/>
      <c r="Z3" s="1331"/>
      <c r="AA3" s="1331"/>
      <c r="AB3" s="1331"/>
      <c r="AC3" s="1331"/>
      <c r="AD3" s="1331"/>
      <c r="AE3" s="1331"/>
    </row>
    <row r="4" spans="1:37" s="929" customFormat="1" ht="17.25" customHeight="1" x14ac:dyDescent="0.35">
      <c r="A4" s="928" t="str">
        <f>+ADMON!A5</f>
        <v>QUINCENA DEL 16  AL 30  DE ABRIL - 2026</v>
      </c>
      <c r="B4" s="928"/>
      <c r="C4" s="928"/>
      <c r="D4" s="928"/>
      <c r="E4" s="928"/>
      <c r="F4" s="928"/>
      <c r="G4" s="928"/>
      <c r="H4" s="928"/>
      <c r="I4" s="928"/>
      <c r="J4" s="928"/>
      <c r="K4" s="1137" t="s">
        <v>532</v>
      </c>
      <c r="L4" s="547"/>
      <c r="M4" s="547"/>
      <c r="N4" s="547"/>
      <c r="O4" s="547"/>
      <c r="P4" s="547"/>
      <c r="Q4" s="547"/>
      <c r="R4" s="1138"/>
      <c r="S4" s="547"/>
      <c r="T4" s="547"/>
      <c r="U4" s="547"/>
      <c r="V4" s="547"/>
      <c r="W4" s="547"/>
      <c r="X4" s="547"/>
      <c r="Y4" s="547"/>
      <c r="Z4" s="928"/>
      <c r="AA4" s="928"/>
      <c r="AB4" s="928"/>
      <c r="AC4" s="928"/>
      <c r="AD4" s="928"/>
      <c r="AE4" s="928"/>
      <c r="AF4" s="928"/>
      <c r="AG4" s="928"/>
      <c r="AH4" s="928"/>
      <c r="AI4" s="928"/>
      <c r="AJ4" s="928"/>
    </row>
    <row r="5" spans="1:37" s="15" customFormat="1" ht="18" customHeight="1" thickBot="1" x14ac:dyDescent="0.45">
      <c r="A5" s="547"/>
      <c r="B5" s="548"/>
      <c r="C5" s="547"/>
      <c r="D5" s="547"/>
      <c r="E5" s="547"/>
      <c r="F5" s="547"/>
      <c r="G5" s="547"/>
      <c r="H5" s="547"/>
      <c r="I5" s="547"/>
      <c r="J5" s="547"/>
      <c r="K5" s="547"/>
      <c r="L5" s="938"/>
      <c r="M5" s="938"/>
      <c r="N5" s="938"/>
      <c r="O5" s="938"/>
      <c r="P5" s="938" t="s">
        <v>540</v>
      </c>
      <c r="Q5" s="938"/>
      <c r="R5" s="938"/>
      <c r="S5" s="938"/>
      <c r="T5" s="938"/>
      <c r="U5" s="938"/>
      <c r="V5" s="547"/>
      <c r="W5" s="668"/>
      <c r="X5" s="547"/>
      <c r="Y5" s="547"/>
      <c r="Z5" s="547"/>
      <c r="AA5" s="547"/>
      <c r="AB5" s="547"/>
      <c r="AC5" s="549"/>
      <c r="AD5" s="549"/>
      <c r="AE5" s="549"/>
      <c r="AF5" s="26"/>
      <c r="AG5" s="26"/>
      <c r="AH5" s="26"/>
      <c r="AI5" s="26"/>
      <c r="AJ5" s="26"/>
    </row>
    <row r="6" spans="1:37" s="11" customFormat="1" ht="15" customHeight="1" thickTop="1" thickBot="1" x14ac:dyDescent="0.25">
      <c r="A6" s="1143" t="s">
        <v>2</v>
      </c>
      <c r="B6" s="1330" t="s">
        <v>3</v>
      </c>
      <c r="C6" s="1179" t="s">
        <v>4</v>
      </c>
      <c r="D6" s="1143" t="s">
        <v>6</v>
      </c>
      <c r="E6" s="1179" t="s">
        <v>187</v>
      </c>
      <c r="F6" s="1330" t="s">
        <v>7</v>
      </c>
      <c r="G6" s="1452" t="s">
        <v>126</v>
      </c>
      <c r="H6" s="1148" t="s">
        <v>125</v>
      </c>
      <c r="I6" s="1143" t="s">
        <v>82</v>
      </c>
      <c r="J6" s="1143" t="s">
        <v>8</v>
      </c>
      <c r="K6" s="1151" t="s">
        <v>9</v>
      </c>
      <c r="L6" s="1151"/>
      <c r="M6" s="1151"/>
      <c r="N6" s="1151"/>
      <c r="O6" s="1151"/>
      <c r="P6" s="1151"/>
      <c r="Q6" s="351"/>
      <c r="R6" s="351"/>
      <c r="S6" s="1143" t="s">
        <v>10</v>
      </c>
      <c r="T6" s="1143"/>
      <c r="U6" s="1143"/>
      <c r="V6" s="1143"/>
      <c r="W6" s="1143"/>
      <c r="X6" s="1143"/>
      <c r="Y6" s="1335" t="s">
        <v>29</v>
      </c>
      <c r="Z6" s="1157" t="s">
        <v>31</v>
      </c>
      <c r="AA6" s="1157" t="s">
        <v>114</v>
      </c>
      <c r="AB6" s="1143" t="s">
        <v>11</v>
      </c>
      <c r="AC6" s="1173" t="s">
        <v>12</v>
      </c>
      <c r="AD6" s="1143"/>
      <c r="AE6" s="1143"/>
      <c r="AF6" s="1143" t="s">
        <v>13</v>
      </c>
      <c r="AG6" s="1143" t="s">
        <v>199</v>
      </c>
      <c r="AH6" s="1143" t="s">
        <v>53</v>
      </c>
      <c r="AI6" s="1143" t="s">
        <v>14</v>
      </c>
      <c r="AJ6" s="1143" t="s">
        <v>15</v>
      </c>
    </row>
    <row r="7" spans="1:37" s="13" customFormat="1" ht="21.75" customHeight="1" thickTop="1" thickBot="1" x14ac:dyDescent="0.25">
      <c r="A7" s="1143"/>
      <c r="B7" s="1330"/>
      <c r="C7" s="1180"/>
      <c r="D7" s="1143"/>
      <c r="E7" s="1180"/>
      <c r="F7" s="1330"/>
      <c r="G7" s="1453"/>
      <c r="H7" s="1149"/>
      <c r="I7" s="1143"/>
      <c r="J7" s="1143"/>
      <c r="K7" s="1143" t="s">
        <v>177</v>
      </c>
      <c r="L7" s="1155" t="s">
        <v>16</v>
      </c>
      <c r="M7" s="1168" t="s">
        <v>196</v>
      </c>
      <c r="N7" s="1168" t="s">
        <v>197</v>
      </c>
      <c r="O7" s="1333" t="s">
        <v>195</v>
      </c>
      <c r="P7" s="1143" t="s">
        <v>200</v>
      </c>
      <c r="Q7" s="1335" t="s">
        <v>199</v>
      </c>
      <c r="R7" s="1335" t="s">
        <v>53</v>
      </c>
      <c r="S7" s="1143" t="s">
        <v>29</v>
      </c>
      <c r="T7" s="1170"/>
      <c r="U7" s="1335" t="s">
        <v>3</v>
      </c>
      <c r="V7" s="1143" t="s">
        <v>19</v>
      </c>
      <c r="W7" s="1157" t="s">
        <v>94</v>
      </c>
      <c r="X7" s="1143" t="s">
        <v>20</v>
      </c>
      <c r="Y7" s="1337"/>
      <c r="Z7" s="1157"/>
      <c r="AA7" s="1157"/>
      <c r="AB7" s="1143"/>
      <c r="AC7" s="1173"/>
      <c r="AD7" s="1143"/>
      <c r="AE7" s="1143"/>
      <c r="AF7" s="1143"/>
      <c r="AG7" s="1143"/>
      <c r="AH7" s="1143"/>
      <c r="AI7" s="1143"/>
      <c r="AJ7" s="1143"/>
      <c r="AK7" s="12"/>
    </row>
    <row r="8" spans="1:37" s="13" customFormat="1" ht="11.4" thickTop="1" thickBot="1" x14ac:dyDescent="0.25">
      <c r="A8" s="1143"/>
      <c r="B8" s="1330"/>
      <c r="C8" s="1181"/>
      <c r="D8" s="1143"/>
      <c r="E8" s="1181"/>
      <c r="F8" s="1330"/>
      <c r="G8" s="1454"/>
      <c r="H8" s="1150"/>
      <c r="I8" s="1143"/>
      <c r="J8" s="1143"/>
      <c r="K8" s="1143"/>
      <c r="L8" s="1155"/>
      <c r="M8" s="1169"/>
      <c r="N8" s="1169"/>
      <c r="O8" s="1334"/>
      <c r="P8" s="1143"/>
      <c r="Q8" s="1336"/>
      <c r="R8" s="1336"/>
      <c r="S8" s="1143"/>
      <c r="T8" s="1172"/>
      <c r="U8" s="1336"/>
      <c r="V8" s="1143"/>
      <c r="W8" s="1157"/>
      <c r="X8" s="1143"/>
      <c r="Y8" s="1336"/>
      <c r="Z8" s="1157"/>
      <c r="AA8" s="1157"/>
      <c r="AB8" s="1143"/>
      <c r="AC8" s="1173"/>
      <c r="AD8" s="1143"/>
      <c r="AE8" s="1143"/>
      <c r="AF8" s="1143"/>
      <c r="AG8" s="1143"/>
      <c r="AH8" s="1143"/>
      <c r="AI8" s="1143"/>
      <c r="AJ8" s="1143"/>
    </row>
    <row r="9" spans="1:37" s="326" customFormat="1" ht="89.4" customHeight="1" thickTop="1" thickBot="1" x14ac:dyDescent="0.25">
      <c r="A9" s="319">
        <v>1</v>
      </c>
      <c r="B9" s="354">
        <v>15384256</v>
      </c>
      <c r="C9" s="358"/>
      <c r="D9" s="356" t="s">
        <v>297</v>
      </c>
      <c r="E9" s="211" t="s">
        <v>188</v>
      </c>
      <c r="F9" s="353" t="s">
        <v>299</v>
      </c>
      <c r="G9" s="78"/>
      <c r="H9" s="79"/>
      <c r="I9" s="1051">
        <v>315</v>
      </c>
      <c r="J9" s="631">
        <v>9450</v>
      </c>
      <c r="K9" s="631">
        <f>(J9)/30*L9</f>
        <v>5040</v>
      </c>
      <c r="L9" s="1080">
        <v>16</v>
      </c>
      <c r="M9" s="1052">
        <f>+N9*O9</f>
        <v>0</v>
      </c>
      <c r="N9" s="1053">
        <f>I9*60%</f>
        <v>189</v>
      </c>
      <c r="O9" s="1052">
        <v>0</v>
      </c>
      <c r="P9" s="1056">
        <f>+K9-Q9-R9</f>
        <v>5040</v>
      </c>
      <c r="Q9" s="1054">
        <v>0</v>
      </c>
      <c r="R9" s="1054">
        <f>+Q9</f>
        <v>0</v>
      </c>
      <c r="S9" s="631">
        <f>+R9+P9+Q9</f>
        <v>5040</v>
      </c>
      <c r="T9" s="1055">
        <f>P9+Q9</f>
        <v>5040</v>
      </c>
      <c r="U9" s="631">
        <f>+T9*7%</f>
        <v>352.8</v>
      </c>
      <c r="V9" s="631"/>
      <c r="W9" s="1055"/>
      <c r="X9" s="1054">
        <f>U9</f>
        <v>352.8</v>
      </c>
      <c r="Y9" s="1054">
        <f>-X9+P9+Q9+R9</f>
        <v>4687.2</v>
      </c>
      <c r="Z9" s="1054">
        <v>0</v>
      </c>
      <c r="AA9" s="1054">
        <v>0</v>
      </c>
      <c r="AB9" s="1074">
        <f>Y9+Z9-AA9</f>
        <v>4687.2</v>
      </c>
      <c r="AC9" s="325"/>
      <c r="AD9" s="325">
        <v>0.155</v>
      </c>
      <c r="AE9" s="325">
        <f>+S9-R9</f>
        <v>5040</v>
      </c>
      <c r="AF9" s="631">
        <f>AD9*S9</f>
        <v>781.2</v>
      </c>
      <c r="AG9" s="631">
        <f>+K9/12</f>
        <v>420</v>
      </c>
      <c r="AH9" s="631">
        <f>+K9/12</f>
        <v>420</v>
      </c>
      <c r="AI9" s="631">
        <f>0.02*AB9</f>
        <v>93.744</v>
      </c>
      <c r="AJ9" s="631">
        <f>AB9+AF9+AI9</f>
        <v>5562.1439999999993</v>
      </c>
    </row>
    <row r="10" spans="1:37" s="326" customFormat="1" ht="89.4" customHeight="1" thickTop="1" thickBot="1" x14ac:dyDescent="0.25">
      <c r="A10" s="319">
        <v>2</v>
      </c>
      <c r="B10" s="354">
        <v>23724864</v>
      </c>
      <c r="C10" s="358"/>
      <c r="D10" s="356" t="s">
        <v>298</v>
      </c>
      <c r="E10" s="211" t="s">
        <v>32</v>
      </c>
      <c r="F10" s="353" t="s">
        <v>54</v>
      </c>
      <c r="G10" s="78"/>
      <c r="H10" s="79"/>
      <c r="I10" s="1051">
        <v>300</v>
      </c>
      <c r="J10" s="631">
        <f>+I10*30</f>
        <v>9000</v>
      </c>
      <c r="K10" s="631">
        <f>(J10)/30*L10</f>
        <v>3300</v>
      </c>
      <c r="L10" s="1080">
        <v>11</v>
      </c>
      <c r="M10" s="1052">
        <f>+N10*O10</f>
        <v>0</v>
      </c>
      <c r="N10" s="1053">
        <f>I10*60%</f>
        <v>180</v>
      </c>
      <c r="O10" s="1052">
        <v>0</v>
      </c>
      <c r="P10" s="1056">
        <f>+K10-Q10-R10</f>
        <v>2750</v>
      </c>
      <c r="Q10" s="1054">
        <f>+K10/12</f>
        <v>275</v>
      </c>
      <c r="R10" s="1054">
        <f>+Q10</f>
        <v>275</v>
      </c>
      <c r="S10" s="631">
        <f>+R10+P10+Q10</f>
        <v>3300</v>
      </c>
      <c r="T10" s="1055">
        <f>P10+Q10</f>
        <v>3025</v>
      </c>
      <c r="U10" s="631">
        <f>+T10*5%</f>
        <v>151.25</v>
      </c>
      <c r="V10" s="631"/>
      <c r="W10" s="1055"/>
      <c r="X10" s="1054">
        <f>U10</f>
        <v>151.25</v>
      </c>
      <c r="Y10" s="1054">
        <f>-X10+P10+Q10+R10</f>
        <v>3148.75</v>
      </c>
      <c r="Z10" s="1054">
        <v>0</v>
      </c>
      <c r="AA10" s="1054">
        <v>0</v>
      </c>
      <c r="AB10" s="1074">
        <f>Y10+Z10-AA10</f>
        <v>3148.75</v>
      </c>
      <c r="AC10" s="325"/>
      <c r="AD10" s="325">
        <v>0.155</v>
      </c>
      <c r="AE10" s="325">
        <f>+S10-R10</f>
        <v>3025</v>
      </c>
      <c r="AF10" s="631">
        <f>AD10*S10</f>
        <v>511.5</v>
      </c>
      <c r="AG10" s="631">
        <f>+K10/12</f>
        <v>275</v>
      </c>
      <c r="AH10" s="631">
        <f>+K10/12</f>
        <v>275</v>
      </c>
      <c r="AI10" s="631">
        <f>0.02*AB10</f>
        <v>62.975000000000001</v>
      </c>
      <c r="AJ10" s="631">
        <f>AB10+AF10+AI10</f>
        <v>3723.2249999999999</v>
      </c>
    </row>
    <row r="11" spans="1:37" s="326" customFormat="1" ht="89.4" customHeight="1" thickTop="1" thickBot="1" x14ac:dyDescent="0.25">
      <c r="A11" s="319">
        <v>3</v>
      </c>
      <c r="B11" s="354">
        <v>23724864</v>
      </c>
      <c r="C11" s="358"/>
      <c r="D11" s="356" t="s">
        <v>330</v>
      </c>
      <c r="E11" s="211" t="s">
        <v>32</v>
      </c>
      <c r="F11" s="353" t="s">
        <v>435</v>
      </c>
      <c r="G11" s="78"/>
      <c r="H11" s="79"/>
      <c r="I11" s="1051">
        <v>330</v>
      </c>
      <c r="J11" s="631">
        <v>9900</v>
      </c>
      <c r="K11" s="631">
        <f>(J11)/30*L11</f>
        <v>4950</v>
      </c>
      <c r="L11" s="1080">
        <v>15</v>
      </c>
      <c r="M11" s="1052">
        <f>+N11*O11</f>
        <v>0</v>
      </c>
      <c r="N11" s="1053">
        <f>I11*60%</f>
        <v>198</v>
      </c>
      <c r="O11" s="1052">
        <v>0</v>
      </c>
      <c r="P11" s="1056">
        <f>+K11-Q11-R11</f>
        <v>4125</v>
      </c>
      <c r="Q11" s="1054">
        <f>+K11/12</f>
        <v>412.5</v>
      </c>
      <c r="R11" s="1054">
        <f>+Q11</f>
        <v>412.5</v>
      </c>
      <c r="S11" s="631">
        <f>+R11+P11+Q11</f>
        <v>4950</v>
      </c>
      <c r="T11" s="1055">
        <f>P11+Q11</f>
        <v>4537.5</v>
      </c>
      <c r="U11" s="631">
        <f>+T11*5%</f>
        <v>226.875</v>
      </c>
      <c r="V11" s="631"/>
      <c r="W11" s="1055"/>
      <c r="X11" s="1054">
        <f>U11</f>
        <v>226.875</v>
      </c>
      <c r="Y11" s="1054">
        <f>-X11+P11+Q11+R11</f>
        <v>4723.125</v>
      </c>
      <c r="Z11" s="1054">
        <v>0</v>
      </c>
      <c r="AA11" s="1054">
        <v>0</v>
      </c>
      <c r="AB11" s="1074">
        <f>Y11+Z11-AA11</f>
        <v>4723.125</v>
      </c>
      <c r="AC11" s="325"/>
      <c r="AD11" s="325">
        <v>0.155</v>
      </c>
      <c r="AE11" s="325">
        <f>+S11-R11</f>
        <v>4537.5</v>
      </c>
      <c r="AF11" s="631">
        <f>AD11*S11</f>
        <v>767.25</v>
      </c>
      <c r="AG11" s="631">
        <f>+K11/12</f>
        <v>412.5</v>
      </c>
      <c r="AH11" s="631">
        <f>+K11/12</f>
        <v>412.5</v>
      </c>
      <c r="AI11" s="631">
        <f>0.02*AB11</f>
        <v>94.462500000000006</v>
      </c>
      <c r="AJ11" s="631">
        <f>AB11+AF11+AI11</f>
        <v>5584.8374999999996</v>
      </c>
    </row>
    <row r="12" spans="1:37" s="326" customFormat="1" ht="55.5" hidden="1" customHeight="1" thickTop="1" thickBot="1" x14ac:dyDescent="0.25">
      <c r="A12" s="319">
        <v>4</v>
      </c>
      <c r="B12" s="354">
        <v>23724864</v>
      </c>
      <c r="C12" s="358"/>
      <c r="D12" s="356" t="s">
        <v>379</v>
      </c>
      <c r="E12" s="211" t="s">
        <v>32</v>
      </c>
      <c r="F12" s="353" t="s">
        <v>54</v>
      </c>
      <c r="G12" s="78"/>
      <c r="H12" s="79"/>
      <c r="I12" s="216">
        <v>0</v>
      </c>
      <c r="J12" s="321">
        <v>0</v>
      </c>
      <c r="K12" s="321">
        <f>(J12/30)*L12</f>
        <v>0</v>
      </c>
      <c r="L12" s="677">
        <v>0</v>
      </c>
      <c r="M12" s="322">
        <f>+N12*O12</f>
        <v>0</v>
      </c>
      <c r="N12" s="323">
        <f>I12*60%</f>
        <v>0</v>
      </c>
      <c r="O12" s="322">
        <v>0</v>
      </c>
      <c r="P12" s="324">
        <f>+K12-Q12-R12</f>
        <v>0</v>
      </c>
      <c r="Q12" s="324">
        <f>+K12/12</f>
        <v>0</v>
      </c>
      <c r="R12" s="324">
        <f>+Q12</f>
        <v>0</v>
      </c>
      <c r="S12" s="321">
        <f>+R12+P12+Q12</f>
        <v>0</v>
      </c>
      <c r="T12" s="359">
        <f>P12+Q12</f>
        <v>0</v>
      </c>
      <c r="U12" s="321">
        <f>+T12*5%</f>
        <v>0</v>
      </c>
      <c r="V12" s="321"/>
      <c r="W12" s="359"/>
      <c r="X12" s="324">
        <f>U12</f>
        <v>0</v>
      </c>
      <c r="Y12" s="324">
        <f>-X12+P12+Q12+R12</f>
        <v>0</v>
      </c>
      <c r="Z12" s="324">
        <v>0</v>
      </c>
      <c r="AA12" s="324">
        <v>0</v>
      </c>
      <c r="AB12" s="355">
        <f t="shared" ref="AB12" si="0">Y12+Z12-AA12</f>
        <v>0</v>
      </c>
      <c r="AC12" s="325"/>
      <c r="AD12" s="325">
        <v>0.155</v>
      </c>
      <c r="AE12" s="325">
        <f>+S12-R12</f>
        <v>0</v>
      </c>
      <c r="AF12" s="321">
        <f>AD12*S12</f>
        <v>0</v>
      </c>
      <c r="AG12" s="321"/>
      <c r="AH12" s="321">
        <v>0</v>
      </c>
      <c r="AI12" s="321">
        <f>0.02*AB12</f>
        <v>0</v>
      </c>
      <c r="AJ12" s="321">
        <f>AB12+AF12+AI12</f>
        <v>0</v>
      </c>
    </row>
    <row r="13" spans="1:37" s="7" customFormat="1" ht="75" customHeight="1" thickTop="1" thickBot="1" x14ac:dyDescent="0.25">
      <c r="A13" s="1162" t="s">
        <v>95</v>
      </c>
      <c r="B13" s="1163"/>
      <c r="C13" s="1163"/>
      <c r="D13" s="1164"/>
      <c r="E13" s="211"/>
      <c r="F13" s="210"/>
      <c r="G13" s="85" t="e">
        <f>SUM(#REF!)</f>
        <v>#REF!</v>
      </c>
      <c r="H13" s="85"/>
      <c r="I13" s="215">
        <v>0</v>
      </c>
      <c r="J13" s="1057">
        <f>SUM(J9:J12)</f>
        <v>28350</v>
      </c>
      <c r="K13" s="1057">
        <f>SUM(K9:K12)</f>
        <v>13290</v>
      </c>
      <c r="L13" s="1057">
        <f>SUM(L9:L12)</f>
        <v>42</v>
      </c>
      <c r="M13" s="1057">
        <f t="shared" ref="M13:AA13" si="1">SUM(M9:M12)</f>
        <v>0</v>
      </c>
      <c r="N13" s="1057">
        <f t="shared" si="1"/>
        <v>567</v>
      </c>
      <c r="O13" s="1057">
        <f t="shared" si="1"/>
        <v>0</v>
      </c>
      <c r="P13" s="1057">
        <f>SUM(P9:P12)</f>
        <v>11915</v>
      </c>
      <c r="Q13" s="1057">
        <f>SUM(Q9:Q12)</f>
        <v>687.5</v>
      </c>
      <c r="R13" s="1057">
        <f t="shared" si="1"/>
        <v>687.5</v>
      </c>
      <c r="S13" s="1057">
        <f t="shared" si="1"/>
        <v>13290</v>
      </c>
      <c r="T13" s="1057">
        <f t="shared" si="1"/>
        <v>12602.5</v>
      </c>
      <c r="U13" s="1057">
        <f t="shared" si="1"/>
        <v>730.92499999999995</v>
      </c>
      <c r="V13" s="1057">
        <f t="shared" si="1"/>
        <v>0</v>
      </c>
      <c r="W13" s="1058">
        <f t="shared" si="1"/>
        <v>0</v>
      </c>
      <c r="X13" s="1057">
        <f>SUM(X9:X12)</f>
        <v>730.92499999999995</v>
      </c>
      <c r="Y13" s="724">
        <f>SUM(Y9:Y12)</f>
        <v>12559.075000000001</v>
      </c>
      <c r="Z13" s="86">
        <f t="shared" si="1"/>
        <v>0</v>
      </c>
      <c r="AA13" s="324">
        <f t="shared" si="1"/>
        <v>0</v>
      </c>
      <c r="AB13" s="1075">
        <f>SUM(AB9:AB12)</f>
        <v>12559.075000000001</v>
      </c>
      <c r="AC13" s="87" t="s">
        <v>105</v>
      </c>
      <c r="AD13" s="86" t="e">
        <f>SUM(#REF!)</f>
        <v>#REF!</v>
      </c>
      <c r="AE13" s="86" t="e">
        <f>SUM(#REF!)</f>
        <v>#REF!</v>
      </c>
      <c r="AF13" s="725">
        <f>SUM(AF9:AF12)</f>
        <v>2059.9499999999998</v>
      </c>
      <c r="AG13" s="725">
        <f>SUM(AG9:AG12)</f>
        <v>1107.5</v>
      </c>
      <c r="AH13" s="725">
        <f>SUM(AH9:AH12)</f>
        <v>1107.5</v>
      </c>
      <c r="AI13" s="725">
        <f>SUM(AI9:AI12)</f>
        <v>251.1815</v>
      </c>
      <c r="AJ13" s="725">
        <f>SUM(AJ9:AJ12)</f>
        <v>14870.206499999998</v>
      </c>
    </row>
    <row r="14" spans="1:37" s="14" customFormat="1" ht="19.5" customHeight="1" thickTop="1" x14ac:dyDescent="0.2">
      <c r="A14" s="27"/>
      <c r="B14" s="27"/>
      <c r="C14" s="27"/>
      <c r="D14" s="27"/>
      <c r="E14" s="27"/>
      <c r="F14" s="28"/>
      <c r="G14" s="28"/>
      <c r="H14" s="28"/>
      <c r="I14" s="28"/>
      <c r="J14" s="27"/>
      <c r="K14" s="27"/>
      <c r="L14" s="29"/>
      <c r="M14" s="29"/>
      <c r="N14" s="29"/>
      <c r="O14" s="29"/>
      <c r="P14" s="27" t="s">
        <v>5</v>
      </c>
      <c r="Q14" s="27"/>
      <c r="R14" s="27"/>
      <c r="S14" s="27"/>
      <c r="T14" s="27"/>
      <c r="U14" s="27"/>
      <c r="V14" s="27"/>
      <c r="W14" s="61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</row>
    <row r="15" spans="1:37" s="14" customFormat="1" ht="19.5" hidden="1" customHeight="1" thickTop="1" x14ac:dyDescent="0.2">
      <c r="A15" s="27"/>
      <c r="B15" s="27"/>
      <c r="C15" s="27"/>
      <c r="D15" s="27"/>
      <c r="E15" s="27"/>
      <c r="F15" s="28"/>
      <c r="G15" s="28"/>
      <c r="H15" s="28"/>
      <c r="I15" s="28">
        <v>10</v>
      </c>
      <c r="J15" s="27"/>
      <c r="K15" s="27"/>
      <c r="L15" s="29"/>
      <c r="M15" s="29"/>
      <c r="N15" s="29"/>
      <c r="O15" s="29"/>
      <c r="P15" s="27"/>
      <c r="Q15" s="27"/>
      <c r="R15" s="27"/>
      <c r="S15" s="27"/>
      <c r="T15" s="27"/>
      <c r="U15" s="27"/>
      <c r="V15" s="27"/>
      <c r="W15" s="61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</row>
    <row r="16" spans="1:37" s="14" customFormat="1" ht="19.5" hidden="1" customHeight="1" x14ac:dyDescent="0.2">
      <c r="A16" s="27"/>
      <c r="B16" s="27"/>
      <c r="C16" s="27"/>
      <c r="D16" s="27"/>
      <c r="E16" s="27"/>
      <c r="F16" s="28"/>
      <c r="G16" s="28"/>
      <c r="H16" s="28"/>
      <c r="I16" s="28">
        <v>350</v>
      </c>
      <c r="J16" s="27">
        <v>35.694800000000001</v>
      </c>
      <c r="K16" s="27">
        <f>+I16*J16</f>
        <v>12493.18</v>
      </c>
      <c r="L16" s="29"/>
      <c r="M16" s="29"/>
      <c r="N16" s="29"/>
      <c r="O16" s="29"/>
      <c r="P16" s="27"/>
      <c r="Q16" s="27"/>
      <c r="R16" s="27"/>
      <c r="S16" s="27"/>
      <c r="T16" s="27"/>
      <c r="U16" s="27"/>
      <c r="V16" s="27"/>
      <c r="W16" s="61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</row>
    <row r="17" spans="1:36" s="14" customFormat="1" ht="19.5" hidden="1" customHeight="1" x14ac:dyDescent="0.2">
      <c r="A17" s="27"/>
      <c r="B17" s="27"/>
      <c r="C17" s="27"/>
      <c r="D17" s="27"/>
      <c r="E17" s="27"/>
      <c r="F17" s="28"/>
      <c r="G17" s="28"/>
      <c r="H17" s="28"/>
      <c r="I17" s="28"/>
      <c r="J17" s="27"/>
      <c r="K17" s="27">
        <f>+I16/J16</f>
        <v>9.8053497988502532</v>
      </c>
      <c r="L17" s="29">
        <f>9.81*30</f>
        <v>294.3</v>
      </c>
      <c r="M17" s="29"/>
      <c r="N17" s="29"/>
      <c r="O17" s="29"/>
      <c r="P17" s="27"/>
      <c r="Q17" s="27"/>
      <c r="R17" s="27"/>
      <c r="S17" s="27"/>
      <c r="T17" s="27"/>
      <c r="U17" s="27"/>
      <c r="V17" s="27"/>
      <c r="W17" s="61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</row>
    <row r="18" spans="1:36" s="14" customFormat="1" ht="19.5" hidden="1" customHeight="1" x14ac:dyDescent="0.2">
      <c r="A18" s="27"/>
      <c r="B18" s="27"/>
      <c r="C18" s="27"/>
      <c r="D18" s="27"/>
      <c r="E18" s="27"/>
      <c r="F18" s="28"/>
      <c r="G18" s="28"/>
      <c r="H18" s="28"/>
      <c r="I18" s="28"/>
      <c r="J18" s="27"/>
      <c r="K18" s="27"/>
      <c r="L18" s="29"/>
      <c r="M18" s="29"/>
      <c r="N18" s="29"/>
      <c r="O18" s="29"/>
      <c r="P18" s="27"/>
      <c r="Q18" s="27"/>
      <c r="R18" s="27"/>
      <c r="S18" s="27"/>
      <c r="T18" s="27"/>
      <c r="U18" s="27"/>
      <c r="V18" s="27"/>
      <c r="W18" s="61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</row>
    <row r="19" spans="1:36" s="14" customFormat="1" ht="19.5" hidden="1" customHeight="1" x14ac:dyDescent="0.2">
      <c r="A19" s="27"/>
      <c r="B19" s="27"/>
      <c r="C19" s="27"/>
      <c r="D19" s="27"/>
      <c r="E19" s="27"/>
      <c r="F19" s="28"/>
      <c r="G19" s="28"/>
      <c r="H19" s="28"/>
      <c r="I19" s="28"/>
      <c r="J19" s="27"/>
      <c r="K19" s="27"/>
      <c r="L19" s="29"/>
      <c r="M19" s="29"/>
      <c r="N19" s="29"/>
      <c r="O19" s="29"/>
      <c r="P19" s="27"/>
      <c r="Q19" s="27"/>
      <c r="R19" s="27"/>
      <c r="S19" s="27"/>
      <c r="T19" s="27"/>
      <c r="U19" s="27"/>
      <c r="V19" s="27"/>
      <c r="W19" s="61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</row>
    <row r="20" spans="1:36" s="14" customFormat="1" ht="19.5" hidden="1" customHeight="1" x14ac:dyDescent="0.2">
      <c r="A20" s="27"/>
      <c r="B20" s="27"/>
      <c r="C20" s="27"/>
      <c r="D20" s="27"/>
      <c r="E20" s="27"/>
      <c r="F20" s="28"/>
      <c r="G20" s="28"/>
      <c r="H20" s="28"/>
      <c r="I20" s="28"/>
      <c r="J20" s="27"/>
      <c r="K20" s="27"/>
      <c r="L20" s="29"/>
      <c r="M20" s="29"/>
      <c r="N20" s="29"/>
      <c r="O20" s="29"/>
      <c r="P20" s="27"/>
      <c r="Q20" s="27"/>
      <c r="R20" s="27"/>
      <c r="S20" s="27"/>
      <c r="T20" s="27"/>
      <c r="U20" s="27"/>
      <c r="V20" s="27"/>
      <c r="W20" s="61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</row>
    <row r="21" spans="1:36" s="14" customFormat="1" ht="19.5" customHeight="1" x14ac:dyDescent="0.2">
      <c r="A21" s="27"/>
      <c r="B21" s="27"/>
      <c r="C21" s="27"/>
      <c r="D21" s="27"/>
      <c r="E21" s="27"/>
      <c r="F21" s="28"/>
      <c r="G21" s="28"/>
      <c r="H21" s="28"/>
      <c r="I21" s="28"/>
      <c r="J21" s="27"/>
      <c r="K21" s="27"/>
      <c r="L21" s="29"/>
      <c r="M21" s="29"/>
      <c r="N21" s="29"/>
      <c r="O21" s="29"/>
      <c r="P21" s="27"/>
      <c r="Q21" s="27"/>
      <c r="R21" s="27"/>
      <c r="S21" s="27"/>
      <c r="T21" s="27"/>
      <c r="U21" s="27"/>
      <c r="V21" s="27"/>
      <c r="W21" s="61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</row>
    <row r="22" spans="1:36" s="14" customFormat="1" ht="19.5" customHeight="1" x14ac:dyDescent="0.2">
      <c r="A22" s="27"/>
      <c r="B22" s="27"/>
      <c r="C22" s="27"/>
      <c r="D22" s="27"/>
      <c r="E22" s="27"/>
      <c r="F22" s="28"/>
      <c r="G22" s="28"/>
      <c r="H22" s="28"/>
      <c r="I22" s="67"/>
      <c r="J22" s="338"/>
      <c r="K22" s="27"/>
      <c r="L22" s="29"/>
      <c r="M22" s="29"/>
      <c r="N22" s="29"/>
      <c r="O22" s="29"/>
      <c r="P22" s="27"/>
      <c r="Q22" s="27"/>
      <c r="R22" s="27"/>
      <c r="S22" s="27"/>
      <c r="T22" s="27"/>
      <c r="U22" s="27"/>
      <c r="V22" s="27"/>
      <c r="W22" s="61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</row>
    <row r="23" spans="1:36" s="11" customFormat="1" x14ac:dyDescent="0.2">
      <c r="A23" s="27"/>
      <c r="B23" s="27"/>
      <c r="C23" s="27"/>
      <c r="D23" s="27"/>
      <c r="E23" s="27"/>
      <c r="F23" s="28"/>
      <c r="G23" s="28"/>
      <c r="H23" s="28"/>
      <c r="I23" s="28"/>
      <c r="J23" s="27"/>
      <c r="K23" s="27"/>
      <c r="L23" s="29"/>
      <c r="M23" s="29"/>
      <c r="N23" s="29"/>
      <c r="O23" s="29"/>
      <c r="P23" s="27"/>
      <c r="Q23" s="27"/>
      <c r="R23" s="27"/>
      <c r="S23" s="27"/>
      <c r="T23" s="27"/>
      <c r="U23" s="27"/>
      <c r="V23" s="27"/>
      <c r="W23" s="61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</row>
    <row r="24" spans="1:36" s="11" customFormat="1" x14ac:dyDescent="0.2">
      <c r="A24" s="30"/>
      <c r="B24" s="27"/>
      <c r="C24" s="30"/>
      <c r="D24" s="27"/>
      <c r="E24" s="27"/>
      <c r="F24" s="28"/>
      <c r="G24" s="28"/>
      <c r="H24" s="28"/>
      <c r="I24" s="28"/>
      <c r="J24" s="27"/>
      <c r="K24" s="27"/>
      <c r="L24" s="29"/>
      <c r="M24" s="29"/>
      <c r="N24" s="29"/>
      <c r="O24" s="29"/>
      <c r="P24" s="30"/>
      <c r="Q24" s="30"/>
      <c r="R24" s="30"/>
      <c r="S24" s="27"/>
      <c r="T24" s="27"/>
      <c r="U24" s="27"/>
      <c r="V24" s="27"/>
      <c r="W24" s="669"/>
      <c r="X24" s="27"/>
      <c r="Y24" s="27"/>
      <c r="Z24" s="27"/>
      <c r="AA24" s="27"/>
      <c r="AB24" s="30"/>
      <c r="AC24" s="27"/>
      <c r="AD24" s="27"/>
      <c r="AE24" s="27"/>
      <c r="AF24" s="27"/>
      <c r="AG24" s="27"/>
      <c r="AH24" s="27"/>
      <c r="AI24" s="27"/>
      <c r="AJ24" s="27"/>
    </row>
    <row r="25" spans="1:36" s="11" customFormat="1" x14ac:dyDescent="0.2">
      <c r="A25" s="30"/>
      <c r="B25" s="27"/>
      <c r="C25" s="30"/>
      <c r="D25" s="27"/>
      <c r="E25" s="27"/>
      <c r="F25" s="28"/>
      <c r="G25" s="28"/>
      <c r="H25" s="28"/>
      <c r="I25" s="28"/>
      <c r="J25" s="27"/>
      <c r="K25" s="27"/>
      <c r="L25" s="29"/>
      <c r="M25" s="29"/>
      <c r="N25" s="29"/>
      <c r="O25" s="29"/>
      <c r="P25" s="30"/>
      <c r="Q25" s="30"/>
      <c r="R25" s="30"/>
      <c r="S25" s="27"/>
      <c r="T25" s="27"/>
      <c r="U25" s="27"/>
      <c r="V25" s="27"/>
      <c r="W25" s="670"/>
      <c r="X25" s="27"/>
      <c r="Y25" s="27"/>
      <c r="Z25" s="27"/>
      <c r="AA25" s="27"/>
      <c r="AB25" s="30"/>
      <c r="AC25" s="27"/>
      <c r="AD25" s="27"/>
      <c r="AE25" s="27"/>
      <c r="AF25" s="27"/>
      <c r="AG25" s="27"/>
      <c r="AH25" s="27"/>
      <c r="AI25" s="27"/>
      <c r="AJ25" s="27"/>
    </row>
    <row r="26" spans="1:36" s="11" customFormat="1" x14ac:dyDescent="0.2">
      <c r="A26" s="30"/>
      <c r="B26" s="27"/>
      <c r="C26" s="30"/>
      <c r="D26" s="27"/>
      <c r="E26" s="27"/>
      <c r="F26" s="28"/>
      <c r="G26" s="28"/>
      <c r="H26" s="28"/>
      <c r="I26" s="28"/>
      <c r="J26" s="27"/>
      <c r="K26" s="27"/>
      <c r="L26" s="29"/>
      <c r="M26" s="29"/>
      <c r="N26" s="29"/>
      <c r="O26" s="29"/>
      <c r="P26" s="30"/>
      <c r="Q26" s="30"/>
      <c r="R26" s="30"/>
      <c r="S26" s="27"/>
      <c r="T26" s="27"/>
      <c r="U26" s="27"/>
      <c r="V26" s="27"/>
      <c r="W26" s="670"/>
      <c r="X26" s="27"/>
      <c r="Y26" s="27"/>
      <c r="Z26" s="27"/>
      <c r="AA26" s="27"/>
      <c r="AB26" s="30"/>
      <c r="AC26" s="27"/>
      <c r="AD26" s="27"/>
      <c r="AE26" s="27"/>
      <c r="AF26" s="27"/>
      <c r="AG26" s="27"/>
      <c r="AH26" s="27"/>
      <c r="AI26" s="27"/>
      <c r="AJ26" s="27"/>
    </row>
    <row r="27" spans="1:36" s="11" customFormat="1" x14ac:dyDescent="0.2">
      <c r="A27" s="30"/>
      <c r="B27" s="27"/>
      <c r="C27" s="1165"/>
      <c r="D27" s="1165"/>
      <c r="E27" s="1165"/>
      <c r="F27" s="1165"/>
      <c r="G27" s="49"/>
      <c r="H27" s="49"/>
      <c r="I27" s="49"/>
      <c r="J27" s="27"/>
      <c r="K27" s="27"/>
      <c r="L27" s="1166"/>
      <c r="M27" s="1166"/>
      <c r="N27" s="1166"/>
      <c r="O27" s="1166"/>
      <c r="P27" s="1166"/>
      <c r="Q27" s="1166"/>
      <c r="R27" s="1166"/>
      <c r="S27" s="1166"/>
      <c r="T27" s="1166"/>
      <c r="U27" s="1166"/>
      <c r="V27" s="1166"/>
      <c r="W27" s="1166"/>
      <c r="X27" s="1166"/>
      <c r="Y27" s="29"/>
      <c r="Z27" s="27"/>
      <c r="AA27" s="27"/>
      <c r="AB27" s="1165"/>
      <c r="AC27" s="1165"/>
      <c r="AD27" s="1165"/>
      <c r="AE27" s="1165"/>
      <c r="AH27" s="27"/>
      <c r="AI27" s="27"/>
      <c r="AJ27" s="27"/>
    </row>
    <row r="28" spans="1:36" s="11" customFormat="1" ht="13.5" customHeight="1" x14ac:dyDescent="0.2">
      <c r="A28" s="27"/>
      <c r="B28" s="27"/>
      <c r="C28" s="1167" t="s">
        <v>23</v>
      </c>
      <c r="D28" s="1167"/>
      <c r="E28" s="1167"/>
      <c r="F28" s="1167"/>
      <c r="G28" s="52"/>
      <c r="H28" s="52"/>
      <c r="I28" s="52"/>
      <c r="J28" s="27"/>
      <c r="K28" s="27"/>
      <c r="L28" s="1167" t="s">
        <v>24</v>
      </c>
      <c r="M28" s="1167"/>
      <c r="N28" s="1167"/>
      <c r="O28" s="1167"/>
      <c r="P28" s="1167"/>
      <c r="Q28" s="1167"/>
      <c r="R28" s="1167"/>
      <c r="S28" s="1167"/>
      <c r="T28" s="1167"/>
      <c r="U28" s="1167"/>
      <c r="V28" s="1167"/>
      <c r="W28" s="1167"/>
      <c r="X28" s="1167"/>
      <c r="Y28" s="52"/>
      <c r="Z28" s="27"/>
      <c r="AA28" s="27"/>
      <c r="AB28" s="1167" t="s">
        <v>25</v>
      </c>
      <c r="AC28" s="1167"/>
      <c r="AD28" s="1167"/>
      <c r="AE28" s="1167"/>
      <c r="AH28" s="27"/>
      <c r="AI28" s="27"/>
      <c r="AJ28" s="27"/>
    </row>
    <row r="29" spans="1:36" s="11" customFormat="1" x14ac:dyDescent="0.2">
      <c r="A29" s="30"/>
      <c r="B29" s="27"/>
      <c r="C29" s="1159" t="str">
        <f>+'ADMON COM. '!C50:F50</f>
        <v>Jose Martin Conrrado</v>
      </c>
      <c r="D29" s="1159"/>
      <c r="E29" s="1159"/>
      <c r="F29" s="1159"/>
      <c r="G29" s="48"/>
      <c r="H29" s="48"/>
      <c r="I29" s="48"/>
      <c r="J29" s="27"/>
      <c r="K29" s="30"/>
      <c r="L29" s="1159" t="s">
        <v>498</v>
      </c>
      <c r="M29" s="1159"/>
      <c r="N29" s="1159"/>
      <c r="O29" s="1159"/>
      <c r="P29" s="1159"/>
      <c r="Q29" s="1159"/>
      <c r="R29" s="1159"/>
      <c r="S29" s="1159"/>
      <c r="T29" s="1159"/>
      <c r="U29" s="1159"/>
      <c r="V29" s="1159"/>
      <c r="W29" s="1159"/>
      <c r="X29" s="1159"/>
      <c r="Y29" s="48"/>
      <c r="Z29" s="33"/>
      <c r="AA29" s="33"/>
      <c r="AB29" s="1160" t="s">
        <v>496</v>
      </c>
      <c r="AC29" s="1160"/>
      <c r="AD29" s="1160"/>
      <c r="AE29" s="1160"/>
      <c r="AH29" s="27"/>
      <c r="AI29" s="27"/>
      <c r="AJ29" s="27"/>
    </row>
    <row r="30" spans="1:36" s="11" customFormat="1" x14ac:dyDescent="0.2">
      <c r="A30" s="8"/>
      <c r="B30" s="8"/>
      <c r="C30" s="1161"/>
      <c r="D30" s="1161"/>
      <c r="E30" s="25"/>
      <c r="F30" s="25"/>
      <c r="G30" s="25"/>
      <c r="H30" s="25"/>
      <c r="I30" s="25"/>
      <c r="J30" s="8"/>
      <c r="K30" s="8"/>
      <c r="L30" s="9"/>
      <c r="M30" s="9"/>
      <c r="N30" s="9"/>
      <c r="O30" s="9"/>
      <c r="P30" s="1161"/>
      <c r="Q30" s="1161"/>
      <c r="R30" s="1161"/>
      <c r="S30" s="1161"/>
      <c r="T30" s="1161"/>
      <c r="U30" s="1161"/>
      <c r="V30" s="1161"/>
      <c r="W30" s="671"/>
      <c r="X30" s="25"/>
      <c r="Y30" s="25"/>
      <c r="Z30" s="25"/>
      <c r="AA30" s="25"/>
      <c r="AB30" s="8"/>
      <c r="AC30" s="8"/>
      <c r="AD30" s="8"/>
      <c r="AE30" s="8"/>
      <c r="AF30" s="10"/>
      <c r="AG30" s="10"/>
      <c r="AH30" s="10"/>
      <c r="AI30" s="10"/>
      <c r="AJ30" s="10"/>
    </row>
    <row r="31" spans="1:36" x14ac:dyDescent="0.2">
      <c r="A31" s="3"/>
      <c r="B31" s="3"/>
      <c r="C31" s="3"/>
      <c r="D31" s="3"/>
      <c r="E31" s="3"/>
      <c r="F31" s="4"/>
      <c r="G31" s="4"/>
      <c r="H31" s="4"/>
      <c r="I31" s="685"/>
      <c r="J31" s="3"/>
      <c r="K31" s="3"/>
      <c r="L31" s="2"/>
      <c r="M31" s="2"/>
      <c r="N31" s="2"/>
      <c r="O31" s="2"/>
      <c r="P31" s="3"/>
      <c r="Q31" s="3"/>
      <c r="R31" s="3"/>
      <c r="S31" s="3"/>
      <c r="T31" s="3"/>
      <c r="U31" s="3"/>
      <c r="V31" s="3"/>
      <c r="W31" s="618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x14ac:dyDescent="0.2">
      <c r="A32" s="3"/>
      <c r="B32" s="3"/>
      <c r="C32" s="3"/>
      <c r="D32" s="3"/>
      <c r="E32" s="3"/>
      <c r="F32" s="4"/>
      <c r="G32" s="4"/>
      <c r="H32" s="4"/>
      <c r="I32" s="685"/>
      <c r="J32" s="3"/>
      <c r="K32" s="3"/>
      <c r="L32" s="2"/>
      <c r="M32" s="2"/>
      <c r="N32" s="2"/>
      <c r="O32" s="2"/>
      <c r="P32" s="3"/>
      <c r="Q32" s="3"/>
      <c r="R32" s="3"/>
      <c r="S32" s="3"/>
      <c r="T32" s="3"/>
      <c r="U32" s="3"/>
      <c r="V32" s="3"/>
      <c r="W32" s="618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x14ac:dyDescent="0.2">
      <c r="A33" s="3"/>
      <c r="B33" s="3"/>
      <c r="C33" s="3"/>
      <c r="D33" s="3"/>
      <c r="E33" s="3"/>
      <c r="F33" s="4"/>
      <c r="G33" s="4"/>
      <c r="H33" s="4"/>
      <c r="I33" s="685"/>
      <c r="J33" s="3"/>
      <c r="K33" s="3"/>
      <c r="L33" s="2"/>
      <c r="M33" s="2"/>
      <c r="N33" s="2"/>
      <c r="O33" s="2"/>
      <c r="P33" s="3"/>
      <c r="Q33" s="3"/>
      <c r="R33" s="3"/>
      <c r="S33" s="3"/>
      <c r="T33" s="3"/>
      <c r="U33" s="3"/>
      <c r="V33" s="3"/>
      <c r="W33" s="618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x14ac:dyDescent="0.2">
      <c r="A34" s="3"/>
      <c r="B34" s="3"/>
      <c r="C34" s="3"/>
      <c r="D34" s="3"/>
      <c r="E34" s="3"/>
      <c r="F34" s="4"/>
      <c r="G34" s="4"/>
      <c r="H34" s="4"/>
      <c r="I34" s="685"/>
      <c r="J34" s="3"/>
      <c r="K34" s="3"/>
      <c r="L34" s="2"/>
      <c r="M34" s="2"/>
      <c r="N34" s="2"/>
      <c r="O34" s="2"/>
      <c r="P34" s="3"/>
      <c r="Q34" s="3"/>
      <c r="R34" s="3"/>
      <c r="S34" s="3"/>
      <c r="T34" s="3"/>
      <c r="U34" s="3"/>
      <c r="V34" s="3"/>
      <c r="W34" s="618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x14ac:dyDescent="0.2">
      <c r="A35" s="3"/>
      <c r="B35" s="3"/>
      <c r="C35" s="3"/>
      <c r="D35" s="3"/>
      <c r="E35" s="3"/>
      <c r="F35" s="4"/>
      <c r="G35" s="4"/>
      <c r="H35" s="4"/>
      <c r="I35" s="685"/>
      <c r="J35" s="3"/>
      <c r="K35" s="3"/>
      <c r="L35" s="2"/>
      <c r="M35" s="2"/>
      <c r="N35" s="2"/>
      <c r="O35" s="2"/>
      <c r="P35" s="3"/>
      <c r="Q35" s="3"/>
      <c r="R35" s="3"/>
      <c r="S35" s="3"/>
      <c r="T35" s="3"/>
      <c r="U35" s="3"/>
      <c r="V35" s="3"/>
      <c r="W35" s="618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spans="1:36" x14ac:dyDescent="0.2">
      <c r="A36" s="3"/>
      <c r="B36" s="3"/>
      <c r="C36" s="3"/>
      <c r="D36" s="3"/>
      <c r="E36" s="3"/>
      <c r="F36" s="4"/>
      <c r="G36" s="4"/>
      <c r="H36" s="4"/>
      <c r="I36" s="685"/>
      <c r="J36" s="3"/>
      <c r="K36" s="3"/>
      <c r="L36" s="2"/>
      <c r="M36" s="2"/>
      <c r="N36" s="2"/>
      <c r="O36" s="2"/>
      <c r="P36" s="3"/>
      <c r="Q36" s="3"/>
      <c r="R36" s="3"/>
      <c r="S36" s="3"/>
      <c r="T36" s="3"/>
      <c r="U36" s="3"/>
      <c r="V36" s="3"/>
      <c r="W36" s="618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spans="1:36" x14ac:dyDescent="0.2">
      <c r="I37" s="686"/>
    </row>
    <row r="38" spans="1:36" x14ac:dyDescent="0.2">
      <c r="I38" s="686"/>
    </row>
    <row r="39" spans="1:36" x14ac:dyDescent="0.2">
      <c r="I39" s="686"/>
    </row>
    <row r="40" spans="1:36" x14ac:dyDescent="0.2">
      <c r="I40" s="686"/>
    </row>
    <row r="41" spans="1:36" x14ac:dyDescent="0.2">
      <c r="I41" s="686"/>
    </row>
    <row r="42" spans="1:36" x14ac:dyDescent="0.2">
      <c r="I42" s="686"/>
    </row>
    <row r="43" spans="1:36" x14ac:dyDescent="0.2">
      <c r="I43" s="686"/>
    </row>
    <row r="44" spans="1:36" x14ac:dyDescent="0.2">
      <c r="I44" s="686"/>
    </row>
    <row r="45" spans="1:36" x14ac:dyDescent="0.2">
      <c r="I45" s="686"/>
    </row>
    <row r="46" spans="1:36" x14ac:dyDescent="0.2">
      <c r="I46" s="686"/>
    </row>
    <row r="47" spans="1:36" x14ac:dyDescent="0.2">
      <c r="A47" s="3"/>
      <c r="B47" s="3"/>
      <c r="C47" s="3"/>
      <c r="D47" s="3"/>
      <c r="E47" s="3"/>
      <c r="F47" s="4"/>
      <c r="G47" s="4"/>
      <c r="H47" s="4"/>
      <c r="I47" s="685"/>
      <c r="J47" s="3"/>
      <c r="K47" s="3"/>
      <c r="L47" s="2"/>
      <c r="M47" s="2"/>
      <c r="N47" s="2"/>
      <c r="O47" s="2"/>
      <c r="P47" s="3"/>
      <c r="Q47" s="3"/>
      <c r="R47" s="3"/>
      <c r="S47" s="3"/>
      <c r="T47" s="3"/>
      <c r="U47" s="3"/>
      <c r="V47" s="3"/>
      <c r="W47" s="618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x14ac:dyDescent="0.2">
      <c r="A48" s="3"/>
      <c r="B48" s="3"/>
      <c r="C48" s="3"/>
      <c r="D48" s="3"/>
      <c r="E48" s="3"/>
      <c r="F48" s="4"/>
      <c r="G48" s="4"/>
      <c r="H48" s="4"/>
      <c r="I48" s="685"/>
      <c r="J48" s="3"/>
      <c r="K48" s="3"/>
      <c r="L48" s="2"/>
      <c r="M48" s="2"/>
      <c r="N48" s="2"/>
      <c r="O48" s="2"/>
      <c r="P48" s="3"/>
      <c r="Q48" s="3"/>
      <c r="R48" s="3"/>
      <c r="S48" s="3"/>
      <c r="T48" s="3"/>
      <c r="U48" s="3"/>
      <c r="V48" s="3"/>
      <c r="W48" s="618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5" x14ac:dyDescent="0.2">
      <c r="A49" s="3"/>
      <c r="B49" s="3"/>
      <c r="C49" s="3"/>
      <c r="D49" s="3"/>
      <c r="E49" s="3"/>
      <c r="F49" s="4"/>
      <c r="G49" s="4"/>
      <c r="H49" s="4"/>
      <c r="I49" s="685"/>
      <c r="J49" s="3"/>
      <c r="K49" s="3"/>
      <c r="L49" s="2"/>
      <c r="M49" s="2"/>
      <c r="N49" s="2"/>
      <c r="O49" s="2"/>
      <c r="P49" s="3"/>
      <c r="Q49" s="3"/>
      <c r="R49" s="3"/>
      <c r="S49" s="3"/>
      <c r="T49" s="3"/>
      <c r="U49" s="3"/>
      <c r="V49" s="3"/>
      <c r="W49" s="618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spans="1:35" x14ac:dyDescent="0.2">
      <c r="A50" s="3"/>
      <c r="B50" s="3"/>
      <c r="C50" s="3"/>
      <c r="D50" s="3"/>
      <c r="E50" s="3"/>
      <c r="F50" s="4"/>
      <c r="G50" s="4"/>
      <c r="H50" s="4"/>
      <c r="I50" s="685"/>
      <c r="J50" s="3"/>
      <c r="K50" s="3"/>
      <c r="L50" s="2"/>
      <c r="M50" s="2"/>
      <c r="N50" s="2"/>
      <c r="O50" s="2"/>
      <c r="P50" s="3"/>
      <c r="Q50" s="3"/>
      <c r="R50" s="3"/>
      <c r="S50" s="3"/>
      <c r="T50" s="3"/>
      <c r="U50" s="3"/>
      <c r="V50" s="3"/>
      <c r="W50" s="618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spans="1:35" x14ac:dyDescent="0.2">
      <c r="I51" s="686"/>
    </row>
    <row r="52" spans="1:35" x14ac:dyDescent="0.2">
      <c r="I52" s="686"/>
    </row>
    <row r="53" spans="1:35" x14ac:dyDescent="0.2">
      <c r="I53" s="686"/>
    </row>
    <row r="54" spans="1:35" x14ac:dyDescent="0.2">
      <c r="I54" s="686"/>
    </row>
    <row r="55" spans="1:35" x14ac:dyDescent="0.2">
      <c r="I55" s="686"/>
    </row>
    <row r="56" spans="1:35" x14ac:dyDescent="0.2">
      <c r="I56" s="686"/>
    </row>
    <row r="57" spans="1:35" x14ac:dyDescent="0.2">
      <c r="I57" s="686"/>
    </row>
    <row r="58" spans="1:35" x14ac:dyDescent="0.2">
      <c r="I58" s="686"/>
    </row>
    <row r="59" spans="1:35" x14ac:dyDescent="0.2">
      <c r="I59" s="686"/>
    </row>
    <row r="60" spans="1:35" x14ac:dyDescent="0.2">
      <c r="I60" s="686"/>
    </row>
    <row r="61" spans="1:35" x14ac:dyDescent="0.2">
      <c r="I61" s="686"/>
    </row>
    <row r="62" spans="1:35" x14ac:dyDescent="0.2">
      <c r="I62" s="686"/>
    </row>
    <row r="63" spans="1:35" x14ac:dyDescent="0.2">
      <c r="I63" s="686"/>
    </row>
    <row r="64" spans="1:35" x14ac:dyDescent="0.2">
      <c r="I64" s="686"/>
    </row>
    <row r="65" spans="9:9" x14ac:dyDescent="0.2">
      <c r="I65" s="686"/>
    </row>
  </sheetData>
  <mergeCells count="52">
    <mergeCell ref="A2:AE2"/>
    <mergeCell ref="A3:AE3"/>
    <mergeCell ref="A6:A8"/>
    <mergeCell ref="B6:B8"/>
    <mergeCell ref="C6:C8"/>
    <mergeCell ref="D6:D8"/>
    <mergeCell ref="E6:E8"/>
    <mergeCell ref="F6:F8"/>
    <mergeCell ref="G6:G8"/>
    <mergeCell ref="Y6:Y8"/>
    <mergeCell ref="R7:R8"/>
    <mergeCell ref="S7:S8"/>
    <mergeCell ref="T7:T8"/>
    <mergeCell ref="V7:V8"/>
    <mergeCell ref="Z6:Z8"/>
    <mergeCell ref="S6:X6"/>
    <mergeCell ref="AF6:AF8"/>
    <mergeCell ref="AI6:AI8"/>
    <mergeCell ref="AJ6:AJ8"/>
    <mergeCell ref="AC6:AC8"/>
    <mergeCell ref="AD6:AD8"/>
    <mergeCell ref="AE6:AE8"/>
    <mergeCell ref="AH6:AH8"/>
    <mergeCell ref="AG6:AG8"/>
    <mergeCell ref="Q7:Q8"/>
    <mergeCell ref="K7:K8"/>
    <mergeCell ref="L7:L8"/>
    <mergeCell ref="M7:M8"/>
    <mergeCell ref="N7:N8"/>
    <mergeCell ref="O7:O8"/>
    <mergeCell ref="A13:D13"/>
    <mergeCell ref="H6:H8"/>
    <mergeCell ref="I6:I8"/>
    <mergeCell ref="J6:J8"/>
    <mergeCell ref="K6:P6"/>
    <mergeCell ref="P7:P8"/>
    <mergeCell ref="AA6:AA8"/>
    <mergeCell ref="AB6:AB8"/>
    <mergeCell ref="W7:W8"/>
    <mergeCell ref="C30:D30"/>
    <mergeCell ref="P30:V30"/>
    <mergeCell ref="AB27:AE27"/>
    <mergeCell ref="C28:F28"/>
    <mergeCell ref="L28:X28"/>
    <mergeCell ref="AB28:AE28"/>
    <mergeCell ref="C29:F29"/>
    <mergeCell ref="L29:X29"/>
    <mergeCell ref="AB29:AE29"/>
    <mergeCell ref="C27:F27"/>
    <mergeCell ref="L27:X27"/>
    <mergeCell ref="X7:X8"/>
    <mergeCell ref="U7:U8"/>
  </mergeCells>
  <printOptions horizontalCentered="1" verticalCentered="1"/>
  <pageMargins left="0" right="0.23622047244094491" top="0" bottom="0.19685039370078741" header="0.31496062992125984" footer="0.31496062992125984"/>
  <pageSetup paperSize="5" scale="49" fitToWidth="0" fitToHeight="0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41">
    <tabColor theme="7"/>
    <pageSetUpPr fitToPage="1"/>
  </sheetPr>
  <dimension ref="A2:BZ26"/>
  <sheetViews>
    <sheetView showGridLines="0" zoomScale="96" zoomScaleNormal="96" workbookViewId="0">
      <selection activeCell="U12" sqref="U12"/>
    </sheetView>
  </sheetViews>
  <sheetFormatPr baseColWidth="10" defaultColWidth="10.7109375" defaultRowHeight="13.2" x14ac:dyDescent="0.25"/>
  <cols>
    <col min="1" max="1" width="7.42578125" style="16" customWidth="1"/>
    <col min="2" max="2" width="3.42578125" style="17" customWidth="1"/>
    <col min="3" max="3" width="7.140625" style="21" bestFit="1" customWidth="1"/>
    <col min="4" max="4" width="24.7109375" style="17" customWidth="1"/>
    <col min="5" max="5" width="4.85546875" style="17" customWidth="1"/>
    <col min="6" max="6" width="7.140625" style="20" customWidth="1"/>
    <col min="7" max="7" width="8.7109375" style="16" bestFit="1" customWidth="1"/>
    <col min="8" max="8" width="8.42578125" style="16" customWidth="1"/>
    <col min="9" max="9" width="8" style="16" customWidth="1"/>
    <col min="10" max="10" width="8.42578125" style="16" customWidth="1"/>
    <col min="11" max="11" width="7.85546875" style="16" customWidth="1"/>
    <col min="12" max="12" width="7.140625" style="16" customWidth="1"/>
    <col min="13" max="13" width="8" style="16" bestFit="1" customWidth="1"/>
    <col min="14" max="14" width="7.7109375" style="16" customWidth="1"/>
    <col min="15" max="15" width="3.140625" style="16" hidden="1" customWidth="1"/>
    <col min="16" max="16" width="3.85546875" style="16" customWidth="1"/>
    <col min="17" max="17" width="8.42578125" style="16" customWidth="1"/>
    <col min="18" max="18" width="8" style="16" customWidth="1"/>
    <col min="19" max="19" width="8.42578125" style="16" customWidth="1"/>
    <col min="20" max="20" width="7.7109375" style="16" customWidth="1"/>
    <col min="21" max="22" width="8" style="16" customWidth="1"/>
    <col min="23" max="23" width="8.140625" style="16" customWidth="1"/>
    <col min="24" max="24" width="6.140625" style="16" customWidth="1"/>
    <col min="25" max="25" width="7.140625" style="16" customWidth="1"/>
    <col min="26" max="26" width="3.42578125" style="16" customWidth="1"/>
    <col min="27" max="27" width="5.85546875" style="19" customWidth="1"/>
    <col min="28" max="28" width="11.28515625" style="16" hidden="1" customWidth="1"/>
    <col min="29" max="29" width="15.42578125" style="16" hidden="1" customWidth="1"/>
    <col min="30" max="30" width="9.140625" style="16" hidden="1" customWidth="1"/>
    <col min="31" max="31" width="4.85546875" style="16" customWidth="1"/>
    <col min="32" max="32" width="4.140625" style="16" customWidth="1"/>
    <col min="33" max="33" width="3.7109375" style="16" customWidth="1"/>
    <col min="34" max="34" width="6.42578125" style="16" hidden="1" customWidth="1"/>
    <col min="35" max="35" width="6.140625" style="16" hidden="1" customWidth="1"/>
    <col min="36" max="36" width="5.85546875" style="16" customWidth="1"/>
    <col min="37" max="37" width="8.28515625" style="16" customWidth="1"/>
    <col min="38" max="39" width="7.140625" style="16" hidden="1" customWidth="1"/>
    <col min="40" max="40" width="9.140625" style="16" customWidth="1"/>
    <col min="41" max="41" width="10.140625" style="16" hidden="1" customWidth="1"/>
    <col min="42" max="42" width="10.42578125" style="16" hidden="1" customWidth="1"/>
    <col min="43" max="43" width="10.85546875" style="19" hidden="1" customWidth="1"/>
    <col min="44" max="44" width="10" style="16" hidden="1" customWidth="1"/>
    <col min="45" max="45" width="6" style="16" hidden="1" customWidth="1"/>
    <col min="46" max="46" width="10" style="18" customWidth="1"/>
    <col min="47" max="47" width="5.7109375" style="18" hidden="1" customWidth="1"/>
    <col min="48" max="48" width="8.140625" style="18" hidden="1" customWidth="1"/>
    <col min="49" max="49" width="8.140625" style="16" hidden="1" customWidth="1"/>
    <col min="50" max="50" width="10.42578125" style="16" hidden="1" customWidth="1"/>
    <col min="51" max="51" width="15.42578125" style="16" hidden="1" customWidth="1"/>
    <col min="52" max="52" width="10.42578125" style="16" hidden="1" customWidth="1"/>
    <col min="53" max="54" width="8.140625" style="16" hidden="1" customWidth="1"/>
    <col min="55" max="55" width="9.85546875" style="16" customWidth="1"/>
    <col min="56" max="56" width="10" style="16" customWidth="1"/>
    <col min="57" max="57" width="9.7109375" style="16" customWidth="1"/>
    <col min="58" max="58" width="8.42578125" style="16" customWidth="1"/>
    <col min="59" max="59" width="8.7109375" style="16" customWidth="1"/>
    <col min="60" max="60" width="9.42578125" style="16" customWidth="1"/>
    <col min="61" max="61" width="10.140625" style="16" hidden="1" customWidth="1"/>
    <col min="62" max="62" width="4.85546875" style="16" hidden="1" customWidth="1"/>
    <col min="63" max="63" width="8.42578125" style="16" customWidth="1"/>
    <col min="64" max="64" width="9.85546875" style="16" customWidth="1"/>
    <col min="65" max="65" width="9.7109375" style="16" customWidth="1"/>
    <col min="66" max="66" width="4.85546875" style="16" customWidth="1"/>
    <col min="67" max="67" width="7" style="16" bestFit="1" customWidth="1"/>
    <col min="68" max="68" width="5.42578125" style="16" customWidth="1"/>
    <col min="69" max="69" width="20" style="16" customWidth="1"/>
    <col min="70" max="70" width="33.42578125" style="16" customWidth="1"/>
    <col min="71" max="71" width="9" style="621" hidden="1" customWidth="1"/>
    <col min="72" max="72" width="27.7109375" style="621" hidden="1" customWidth="1"/>
    <col min="73" max="73" width="12" style="16" customWidth="1"/>
    <col min="74" max="74" width="6.42578125" style="16" hidden="1" customWidth="1"/>
    <col min="75" max="75" width="8.42578125" style="16" customWidth="1"/>
    <col min="76" max="76" width="6.42578125" style="16" customWidth="1"/>
    <col min="77" max="77" width="7.140625" style="16" customWidth="1"/>
    <col min="78" max="78" width="10.42578125" style="16" customWidth="1"/>
    <col min="79" max="16384" width="10.7109375" style="16"/>
  </cols>
  <sheetData>
    <row r="2" spans="1:78" ht="20.25" customHeight="1" x14ac:dyDescent="0.2">
      <c r="A2" s="1466" t="s">
        <v>97</v>
      </c>
      <c r="B2" s="1466"/>
      <c r="C2" s="1466"/>
      <c r="D2" s="1466"/>
      <c r="E2" s="1466"/>
      <c r="F2" s="1466"/>
      <c r="G2" s="1466"/>
      <c r="H2" s="1466"/>
      <c r="I2" s="1466"/>
      <c r="J2" s="1466"/>
      <c r="K2" s="1466"/>
      <c r="L2" s="1466"/>
      <c r="M2" s="1466"/>
      <c r="N2" s="1466"/>
      <c r="O2" s="1466"/>
      <c r="P2" s="1466"/>
      <c r="Q2" s="1466"/>
      <c r="R2" s="1466"/>
      <c r="S2" s="1466"/>
      <c r="T2" s="1466"/>
      <c r="U2" s="1466"/>
      <c r="V2" s="1466"/>
      <c r="W2" s="1466"/>
      <c r="X2" s="1466"/>
      <c r="Y2" s="1466"/>
      <c r="Z2" s="1466"/>
      <c r="AA2" s="1466"/>
      <c r="AB2" s="1466"/>
      <c r="AC2" s="1466"/>
      <c r="AD2" s="1466"/>
      <c r="AE2" s="1466"/>
      <c r="AF2" s="1466"/>
      <c r="AG2" s="1466"/>
      <c r="AH2" s="1466"/>
      <c r="AI2" s="1466"/>
      <c r="AJ2" s="1466"/>
      <c r="AK2" s="1466"/>
      <c r="AL2" s="1466"/>
      <c r="AM2" s="1466"/>
      <c r="AN2" s="1466"/>
      <c r="AO2" s="1466"/>
      <c r="AP2" s="1466"/>
      <c r="AQ2" s="1466"/>
      <c r="AR2" s="1466"/>
      <c r="AS2" s="1466"/>
      <c r="AT2" s="1466"/>
      <c r="AU2" s="1466"/>
      <c r="AV2" s="1466"/>
      <c r="AW2" s="1466"/>
      <c r="AX2" s="1466"/>
      <c r="AY2" s="1466"/>
      <c r="AZ2" s="1466"/>
      <c r="BA2" s="1466"/>
      <c r="BB2" s="1466"/>
      <c r="BC2" s="1466"/>
      <c r="BD2" s="1466"/>
      <c r="BE2" s="1466"/>
      <c r="BF2" s="1466"/>
      <c r="BG2" s="1466"/>
      <c r="BH2" s="1466"/>
      <c r="BI2" s="1466"/>
      <c r="BJ2" s="1466"/>
      <c r="BK2" s="1466"/>
      <c r="BL2" s="1466"/>
      <c r="BM2" s="1466"/>
      <c r="BN2" s="1466"/>
      <c r="BO2" s="1466"/>
      <c r="BP2" s="1466"/>
      <c r="BQ2" s="1466"/>
      <c r="BR2" s="1466"/>
      <c r="BS2" s="620"/>
    </row>
    <row r="3" spans="1:78" s="36" customFormat="1" ht="20.25" customHeight="1" x14ac:dyDescent="0.25">
      <c r="A3" s="1458" t="s">
        <v>292</v>
      </c>
      <c r="B3" s="1458"/>
      <c r="C3" s="1458"/>
      <c r="D3" s="1458"/>
      <c r="E3" s="1458"/>
      <c r="F3" s="1458"/>
      <c r="G3" s="1458"/>
      <c r="H3" s="1458"/>
      <c r="I3" s="1458"/>
      <c r="J3" s="1458"/>
      <c r="K3" s="1458"/>
      <c r="L3" s="1458"/>
      <c r="M3" s="1458"/>
      <c r="N3" s="1458"/>
      <c r="O3" s="1458"/>
      <c r="P3" s="1458"/>
      <c r="Q3" s="1458"/>
      <c r="R3" s="1458"/>
      <c r="S3" s="1458"/>
      <c r="T3" s="1458"/>
      <c r="U3" s="1458"/>
      <c r="V3" s="1458"/>
      <c r="W3" s="1458"/>
      <c r="X3" s="1458"/>
      <c r="Y3" s="1458"/>
      <c r="Z3" s="1458"/>
      <c r="AA3" s="1458"/>
      <c r="AB3" s="1458"/>
      <c r="AC3" s="1458"/>
      <c r="AD3" s="1458"/>
      <c r="AE3" s="1458"/>
      <c r="AF3" s="1458"/>
      <c r="AG3" s="1458"/>
      <c r="AH3" s="1458"/>
      <c r="AI3" s="1458"/>
      <c r="AJ3" s="1458"/>
      <c r="AK3" s="1458"/>
      <c r="AL3" s="1458"/>
      <c r="AM3" s="1458"/>
      <c r="AN3" s="1458"/>
      <c r="AO3" s="1458"/>
      <c r="AP3" s="1458"/>
      <c r="AQ3" s="1458"/>
      <c r="AR3" s="1458"/>
      <c r="AS3" s="1458"/>
      <c r="AT3" s="1458"/>
      <c r="AU3" s="1458"/>
      <c r="AV3" s="1458"/>
      <c r="AW3" s="1458"/>
      <c r="AX3" s="1458"/>
      <c r="AY3" s="1458"/>
      <c r="AZ3" s="1458"/>
      <c r="BA3" s="1458"/>
      <c r="BB3" s="1458"/>
      <c r="BC3" s="1458"/>
      <c r="BD3" s="1458"/>
      <c r="BE3" s="1458"/>
      <c r="BF3" s="1458"/>
      <c r="BG3" s="1458"/>
      <c r="BH3" s="1458"/>
      <c r="BI3" s="1458"/>
      <c r="BJ3" s="1458"/>
      <c r="BK3" s="1458"/>
      <c r="BL3" s="1458"/>
      <c r="BM3" s="1458"/>
      <c r="BN3" s="1458"/>
      <c r="BO3" s="1458"/>
      <c r="BP3" s="1458"/>
      <c r="BQ3" s="1458"/>
      <c r="BR3" s="1458"/>
      <c r="BS3" s="622"/>
      <c r="BT3" s="623"/>
    </row>
    <row r="4" spans="1:78" s="36" customFormat="1" ht="20.25" customHeight="1" x14ac:dyDescent="0.3">
      <c r="A4" s="1459" t="str">
        <f>+'ADMON COM. '!A5:AC5</f>
        <v>QUINCENA DEL 16  AL 30  DE ABRIL - 2026</v>
      </c>
      <c r="B4" s="1459"/>
      <c r="C4" s="1459"/>
      <c r="D4" s="1459"/>
      <c r="E4" s="1459"/>
      <c r="F4" s="1459"/>
      <c r="G4" s="1459"/>
      <c r="H4" s="1459"/>
      <c r="I4" s="1459"/>
      <c r="J4" s="1459"/>
      <c r="K4" s="1459"/>
      <c r="L4" s="1459"/>
      <c r="M4" s="1459"/>
      <c r="N4" s="1459"/>
      <c r="O4" s="1459"/>
      <c r="P4" s="1459"/>
      <c r="Q4" s="1459"/>
      <c r="R4" s="1459"/>
      <c r="S4" s="1459"/>
      <c r="T4" s="1459"/>
      <c r="U4" s="1459"/>
      <c r="V4" s="1459"/>
      <c r="W4" s="1459"/>
      <c r="X4" s="1459"/>
      <c r="Y4" s="1459"/>
      <c r="Z4" s="1459"/>
      <c r="AA4" s="1459"/>
      <c r="AB4" s="1459"/>
      <c r="AC4" s="1459"/>
      <c r="AD4" s="1459"/>
      <c r="AE4" s="1459"/>
      <c r="AF4" s="1459"/>
      <c r="AG4" s="1459"/>
      <c r="AH4" s="1459"/>
      <c r="AI4" s="1459"/>
      <c r="AJ4" s="1459"/>
      <c r="AK4" s="1459"/>
      <c r="AL4" s="1459"/>
      <c r="AM4" s="1459"/>
      <c r="AN4" s="1459"/>
      <c r="AO4" s="1459"/>
      <c r="AP4" s="1459"/>
      <c r="AQ4" s="1459"/>
      <c r="AR4" s="1459"/>
      <c r="AS4" s="1459"/>
      <c r="AT4" s="1459"/>
      <c r="AU4" s="1459"/>
      <c r="AV4" s="1459"/>
      <c r="AW4" s="1459"/>
      <c r="AX4" s="1459"/>
      <c r="AY4" s="1459"/>
      <c r="AZ4" s="1459"/>
      <c r="BA4" s="1459"/>
      <c r="BB4" s="1459"/>
      <c r="BC4" s="1459"/>
      <c r="BD4" s="1459"/>
      <c r="BE4" s="1459"/>
      <c r="BF4" s="1459"/>
      <c r="BG4" s="1459"/>
      <c r="BH4" s="1459"/>
      <c r="BI4" s="1459"/>
      <c r="BJ4" s="1459"/>
      <c r="BK4" s="1459"/>
      <c r="BL4" s="1459"/>
      <c r="BM4" s="1459"/>
      <c r="BN4" s="1459"/>
      <c r="BO4" s="1459"/>
      <c r="BP4" s="1459"/>
      <c r="BQ4" s="1459"/>
      <c r="BR4" s="1459"/>
      <c r="BS4" s="624"/>
      <c r="BT4" s="623"/>
    </row>
    <row r="5" spans="1:78" s="36" customFormat="1" ht="20.25" customHeight="1" x14ac:dyDescent="0.3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624"/>
      <c r="BT5" s="623"/>
    </row>
    <row r="6" spans="1:78" s="36" customFormat="1" ht="20.25" customHeight="1" thickBot="1" x14ac:dyDescent="0.3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624"/>
      <c r="BT6" s="623"/>
    </row>
    <row r="7" spans="1:78" s="36" customFormat="1" ht="20.25" customHeight="1" thickTop="1" thickBot="1" x14ac:dyDescent="0.3">
      <c r="A7" s="1467" t="s">
        <v>47</v>
      </c>
      <c r="B7" s="1467" t="s">
        <v>71</v>
      </c>
      <c r="C7" s="1468" t="s">
        <v>128</v>
      </c>
      <c r="D7" s="1467" t="s">
        <v>6</v>
      </c>
      <c r="E7" s="1484" t="s">
        <v>187</v>
      </c>
      <c r="F7" s="1469" t="s">
        <v>82</v>
      </c>
      <c r="G7" s="1469" t="s">
        <v>45</v>
      </c>
      <c r="H7" s="1470">
        <v>16</v>
      </c>
      <c r="I7" s="1470">
        <v>17</v>
      </c>
      <c r="J7" s="1470">
        <v>18</v>
      </c>
      <c r="K7" s="1470">
        <v>19</v>
      </c>
      <c r="L7" s="1470">
        <v>20</v>
      </c>
      <c r="M7" s="1470">
        <v>21</v>
      </c>
      <c r="N7" s="1470">
        <v>22</v>
      </c>
      <c r="O7" s="1471" t="s">
        <v>129</v>
      </c>
      <c r="P7" s="1472" t="s">
        <v>83</v>
      </c>
      <c r="Q7" s="1460">
        <v>23</v>
      </c>
      <c r="R7" s="1460">
        <v>24</v>
      </c>
      <c r="S7" s="1460">
        <v>25</v>
      </c>
      <c r="T7" s="1460">
        <v>26</v>
      </c>
      <c r="U7" s="1460">
        <v>27</v>
      </c>
      <c r="V7" s="1460">
        <v>28</v>
      </c>
      <c r="W7" s="1460">
        <v>29</v>
      </c>
      <c r="X7" s="1460">
        <v>30</v>
      </c>
      <c r="Y7" s="1460">
        <v>31</v>
      </c>
      <c r="Z7" s="1461" t="s">
        <v>130</v>
      </c>
      <c r="AA7" s="1462" t="s">
        <v>83</v>
      </c>
      <c r="AB7" s="1463" t="s">
        <v>131</v>
      </c>
      <c r="AC7" s="1463" t="s">
        <v>77</v>
      </c>
      <c r="AD7" s="1463" t="s">
        <v>132</v>
      </c>
      <c r="AE7" s="1465" t="s">
        <v>76</v>
      </c>
      <c r="AF7" s="1465" t="s">
        <v>84</v>
      </c>
      <c r="AG7" s="1464" t="s">
        <v>78</v>
      </c>
      <c r="AH7" s="58" t="s">
        <v>70</v>
      </c>
      <c r="AI7" s="58" t="s">
        <v>29</v>
      </c>
      <c r="AJ7" s="1465" t="s">
        <v>117</v>
      </c>
      <c r="AK7" s="1465" t="s">
        <v>80</v>
      </c>
      <c r="AL7" s="1473" t="s">
        <v>133</v>
      </c>
      <c r="AM7" s="1473" t="s">
        <v>133</v>
      </c>
      <c r="AN7" s="1465" t="s">
        <v>81</v>
      </c>
      <c r="AO7" s="58" t="s">
        <v>70</v>
      </c>
      <c r="AP7" s="58" t="s">
        <v>70</v>
      </c>
      <c r="AQ7" s="58" t="s">
        <v>69</v>
      </c>
      <c r="AR7" s="58" t="s">
        <v>68</v>
      </c>
      <c r="AS7" s="58" t="s">
        <v>67</v>
      </c>
      <c r="AT7" s="1465" t="s">
        <v>66</v>
      </c>
      <c r="AU7" s="1474" t="s">
        <v>134</v>
      </c>
      <c r="AV7" s="1474" t="s">
        <v>128</v>
      </c>
      <c r="AW7" s="1474" t="s">
        <v>135</v>
      </c>
      <c r="AX7" s="1474" t="s">
        <v>136</v>
      </c>
      <c r="AY7" s="1474" t="s">
        <v>137</v>
      </c>
      <c r="AZ7" s="1474" t="s">
        <v>138</v>
      </c>
      <c r="BA7" s="1474" t="s">
        <v>139</v>
      </c>
      <c r="BB7" s="1474" t="s">
        <v>139</v>
      </c>
      <c r="BC7" s="1355" t="s">
        <v>29</v>
      </c>
      <c r="BD7" s="1355" t="s">
        <v>156</v>
      </c>
      <c r="BE7" s="1489" t="s">
        <v>89</v>
      </c>
      <c r="BF7" s="1465" t="s">
        <v>52</v>
      </c>
      <c r="BG7" s="1465" t="s">
        <v>53</v>
      </c>
      <c r="BH7" s="1482" t="s">
        <v>17</v>
      </c>
      <c r="BI7" s="1483" t="s">
        <v>39</v>
      </c>
      <c r="BJ7" s="1483"/>
      <c r="BK7" s="1476" t="s">
        <v>92</v>
      </c>
      <c r="BL7" s="1476" t="s">
        <v>65</v>
      </c>
      <c r="BM7" s="1490" t="s">
        <v>266</v>
      </c>
      <c r="BN7" s="1478" t="s">
        <v>31</v>
      </c>
      <c r="BO7" s="1481" t="s">
        <v>114</v>
      </c>
      <c r="BP7" s="1481" t="s">
        <v>99</v>
      </c>
      <c r="BQ7" s="1477" t="s">
        <v>73</v>
      </c>
      <c r="BR7" s="1479" t="s">
        <v>38</v>
      </c>
      <c r="BS7" s="1480" t="s">
        <v>118</v>
      </c>
      <c r="BT7" s="1480" t="s">
        <v>119</v>
      </c>
      <c r="BU7" s="1478" t="s">
        <v>64</v>
      </c>
      <c r="BV7" s="1475" t="s">
        <v>55</v>
      </c>
      <c r="BW7" s="1478" t="str">
        <f>+BF7</f>
        <v>VACASIONES</v>
      </c>
      <c r="BX7" s="1478" t="str">
        <f>+BG7</f>
        <v>13VO MES</v>
      </c>
      <c r="BY7" s="1476" t="s">
        <v>51</v>
      </c>
      <c r="BZ7" s="1477" t="s">
        <v>63</v>
      </c>
    </row>
    <row r="8" spans="1:78" s="36" customFormat="1" ht="21" customHeight="1" thickTop="1" thickBot="1" x14ac:dyDescent="0.3">
      <c r="A8" s="1467"/>
      <c r="B8" s="1467"/>
      <c r="C8" s="1468"/>
      <c r="D8" s="1467"/>
      <c r="E8" s="1485"/>
      <c r="F8" s="1469"/>
      <c r="G8" s="1469"/>
      <c r="H8" s="1460"/>
      <c r="I8" s="1460"/>
      <c r="J8" s="1460"/>
      <c r="K8" s="1460"/>
      <c r="L8" s="1460"/>
      <c r="M8" s="1460"/>
      <c r="N8" s="1460"/>
      <c r="O8" s="1471"/>
      <c r="P8" s="1472"/>
      <c r="Q8" s="1460"/>
      <c r="R8" s="1460"/>
      <c r="S8" s="1460"/>
      <c r="T8" s="1460"/>
      <c r="U8" s="1460"/>
      <c r="V8" s="1460"/>
      <c r="W8" s="1460"/>
      <c r="X8" s="1460"/>
      <c r="Y8" s="1460"/>
      <c r="Z8" s="1461"/>
      <c r="AA8" s="1462"/>
      <c r="AB8" s="1463"/>
      <c r="AC8" s="1463"/>
      <c r="AD8" s="1463"/>
      <c r="AE8" s="1465"/>
      <c r="AF8" s="1465"/>
      <c r="AG8" s="1464"/>
      <c r="AH8" s="58" t="s">
        <v>61</v>
      </c>
      <c r="AI8" s="58" t="s">
        <v>141</v>
      </c>
      <c r="AJ8" s="1465"/>
      <c r="AK8" s="1465"/>
      <c r="AL8" s="1473"/>
      <c r="AM8" s="1473"/>
      <c r="AN8" s="1465"/>
      <c r="AO8" s="58" t="s">
        <v>62</v>
      </c>
      <c r="AP8" s="58" t="s">
        <v>61</v>
      </c>
      <c r="AQ8" s="58" t="s">
        <v>60</v>
      </c>
      <c r="AR8" s="58" t="s">
        <v>59</v>
      </c>
      <c r="AS8" s="58" t="s">
        <v>58</v>
      </c>
      <c r="AT8" s="1465"/>
      <c r="AU8" s="1474"/>
      <c r="AV8" s="1474"/>
      <c r="AW8" s="1474"/>
      <c r="AX8" s="1474"/>
      <c r="AY8" s="1474"/>
      <c r="AZ8" s="1474"/>
      <c r="BA8" s="1474"/>
      <c r="BB8" s="1474"/>
      <c r="BC8" s="1356"/>
      <c r="BD8" s="1356"/>
      <c r="BE8" s="1489"/>
      <c r="BF8" s="1465"/>
      <c r="BG8" s="1465"/>
      <c r="BH8" s="1482"/>
      <c r="BI8" s="1483"/>
      <c r="BJ8" s="1483"/>
      <c r="BK8" s="1476"/>
      <c r="BL8" s="1476"/>
      <c r="BM8" s="1491"/>
      <c r="BN8" s="1478"/>
      <c r="BO8" s="1481"/>
      <c r="BP8" s="1481"/>
      <c r="BQ8" s="1477"/>
      <c r="BR8" s="1479"/>
      <c r="BS8" s="1480"/>
      <c r="BT8" s="1480"/>
      <c r="BU8" s="1478"/>
      <c r="BV8" s="1475"/>
      <c r="BW8" s="1478"/>
      <c r="BX8" s="1478"/>
      <c r="BY8" s="1476"/>
      <c r="BZ8" s="1477"/>
    </row>
    <row r="9" spans="1:78" s="36" customFormat="1" ht="33" customHeight="1" thickTop="1" thickBot="1" x14ac:dyDescent="0.3">
      <c r="A9" s="1467"/>
      <c r="B9" s="1467"/>
      <c r="C9" s="1468"/>
      <c r="D9" s="1467"/>
      <c r="E9" s="1486"/>
      <c r="F9" s="1469"/>
      <c r="G9" s="1469"/>
      <c r="H9" s="153" t="s">
        <v>34</v>
      </c>
      <c r="I9" s="153" t="s">
        <v>37</v>
      </c>
      <c r="J9" s="153" t="s">
        <v>33</v>
      </c>
      <c r="K9" s="153" t="s">
        <v>32</v>
      </c>
      <c r="L9" s="153" t="s">
        <v>32</v>
      </c>
      <c r="M9" s="153" t="s">
        <v>36</v>
      </c>
      <c r="N9" s="153" t="s">
        <v>35</v>
      </c>
      <c r="O9" s="1471"/>
      <c r="P9" s="1472"/>
      <c r="Q9" s="153" t="s">
        <v>34</v>
      </c>
      <c r="R9" s="153" t="s">
        <v>37</v>
      </c>
      <c r="S9" s="153" t="s">
        <v>33</v>
      </c>
      <c r="T9" s="153" t="s">
        <v>32</v>
      </c>
      <c r="U9" s="153" t="s">
        <v>32</v>
      </c>
      <c r="V9" s="153" t="s">
        <v>36</v>
      </c>
      <c r="W9" s="153" t="s">
        <v>35</v>
      </c>
      <c r="X9" s="153" t="s">
        <v>34</v>
      </c>
      <c r="Y9" s="153" t="s">
        <v>37</v>
      </c>
      <c r="Z9" s="1461"/>
      <c r="AA9" s="1462"/>
      <c r="AB9" s="1463"/>
      <c r="AC9" s="1463"/>
      <c r="AD9" s="1463"/>
      <c r="AE9" s="1465"/>
      <c r="AF9" s="1465"/>
      <c r="AG9" s="1464"/>
      <c r="AH9" s="58" t="s">
        <v>56</v>
      </c>
      <c r="AI9" s="58" t="s">
        <v>142</v>
      </c>
      <c r="AJ9" s="1465"/>
      <c r="AK9" s="1465"/>
      <c r="AL9" s="1473"/>
      <c r="AM9" s="1473"/>
      <c r="AN9" s="1465"/>
      <c r="AO9" s="58" t="s">
        <v>57</v>
      </c>
      <c r="AP9" s="58" t="s">
        <v>56</v>
      </c>
      <c r="AQ9" s="58"/>
      <c r="AR9" s="58"/>
      <c r="AS9" s="58"/>
      <c r="AT9" s="1465"/>
      <c r="AU9" s="1474"/>
      <c r="AV9" s="1474"/>
      <c r="AW9" s="1474"/>
      <c r="AX9" s="1474"/>
      <c r="AY9" s="1474"/>
      <c r="AZ9" s="1474"/>
      <c r="BA9" s="1474"/>
      <c r="BB9" s="1474"/>
      <c r="BC9" s="1357"/>
      <c r="BD9" s="1357"/>
      <c r="BE9" s="1489"/>
      <c r="BF9" s="1465"/>
      <c r="BG9" s="1465"/>
      <c r="BH9" s="1482"/>
      <c r="BI9" s="59" t="s">
        <v>120</v>
      </c>
      <c r="BJ9" s="60" t="s">
        <v>118</v>
      </c>
      <c r="BK9" s="1476"/>
      <c r="BL9" s="1476"/>
      <c r="BM9" s="1492"/>
      <c r="BN9" s="1478"/>
      <c r="BO9" s="1481"/>
      <c r="BP9" s="1481"/>
      <c r="BQ9" s="1477"/>
      <c r="BR9" s="1479"/>
      <c r="BS9" s="1480"/>
      <c r="BT9" s="1480"/>
      <c r="BU9" s="1478"/>
      <c r="BV9" s="1475"/>
      <c r="BW9" s="1478"/>
      <c r="BX9" s="1478"/>
      <c r="BY9" s="1476"/>
      <c r="BZ9" s="1477"/>
    </row>
    <row r="10" spans="1:78" s="36" customFormat="1" ht="70.2" customHeight="1" thickTop="1" thickBot="1" x14ac:dyDescent="0.3">
      <c r="A10" s="654">
        <v>23724864</v>
      </c>
      <c r="B10" s="562">
        <v>1</v>
      </c>
      <c r="C10" s="526">
        <v>275</v>
      </c>
      <c r="D10" s="563" t="s">
        <v>284</v>
      </c>
      <c r="E10" s="564" t="s">
        <v>188</v>
      </c>
      <c r="F10" s="214">
        <v>173.21</v>
      </c>
      <c r="G10" s="565" t="s">
        <v>299</v>
      </c>
      <c r="H10" s="597">
        <v>173.21</v>
      </c>
      <c r="I10" s="597">
        <v>0</v>
      </c>
      <c r="J10" s="597">
        <v>173.21</v>
      </c>
      <c r="K10" s="597">
        <v>173.21</v>
      </c>
      <c r="L10" s="597">
        <v>173.21</v>
      </c>
      <c r="M10" s="597">
        <v>173.21</v>
      </c>
      <c r="N10" s="597">
        <v>173.21</v>
      </c>
      <c r="O10" s="592">
        <f>COUNTIF(F10:N10,173.21)</f>
        <v>7</v>
      </c>
      <c r="P10" s="598">
        <f t="shared" ref="P10:P12" si="0">COUNTIF(O10,7)</f>
        <v>1</v>
      </c>
      <c r="Q10" s="597">
        <v>173.21</v>
      </c>
      <c r="R10" s="597">
        <v>1</v>
      </c>
      <c r="S10" s="597">
        <v>173.21</v>
      </c>
      <c r="T10" s="597">
        <v>173.21</v>
      </c>
      <c r="U10" s="597">
        <v>173.21</v>
      </c>
      <c r="V10" s="597">
        <v>173.21</v>
      </c>
      <c r="W10" s="597">
        <v>173.21</v>
      </c>
      <c r="X10" s="597">
        <v>173.21</v>
      </c>
      <c r="Y10" s="597">
        <v>0</v>
      </c>
      <c r="Z10" s="592">
        <f>COUNTIF(Q10:Y10,173.21)</f>
        <v>7</v>
      </c>
      <c r="AA10" s="598">
        <f>COUNTIF(Z10,7)</f>
        <v>1</v>
      </c>
      <c r="AB10" s="54">
        <f>+AA10+P10</f>
        <v>2</v>
      </c>
      <c r="AC10" s="54">
        <f>+AD10+AB10+AJ10+AF10</f>
        <v>15</v>
      </c>
      <c r="AD10" s="54">
        <f>COUNTIF(H10:Z10,173.21)</f>
        <v>13</v>
      </c>
      <c r="AE10" s="629">
        <v>0</v>
      </c>
      <c r="AF10" s="505">
        <v>0</v>
      </c>
      <c r="AG10" s="505">
        <v>0</v>
      </c>
      <c r="AH10" s="506">
        <f>+C10/8</f>
        <v>34.375</v>
      </c>
      <c r="AI10" s="506">
        <f>+AH10*AG10</f>
        <v>0</v>
      </c>
      <c r="AJ10" s="507">
        <v>0</v>
      </c>
      <c r="AK10" s="508">
        <f>+Y10+V10+U10+S10+R10+Q10+N10+M10+L10+J10+I10+H10+W10+X10+K10+T10</f>
        <v>2252.73</v>
      </c>
      <c r="AL10" s="509">
        <f>+F10*P10</f>
        <v>173.21</v>
      </c>
      <c r="AM10" s="509">
        <f>+F10*AA10</f>
        <v>173.21</v>
      </c>
      <c r="AN10" s="508">
        <f>+R10+I10</f>
        <v>1</v>
      </c>
      <c r="AO10" s="509">
        <f>+F10</f>
        <v>173.21</v>
      </c>
      <c r="AP10" s="510">
        <f>+F10/8</f>
        <v>21.651250000000001</v>
      </c>
      <c r="AQ10" s="509">
        <f>+AO10*AJ10</f>
        <v>0</v>
      </c>
      <c r="AR10" s="509">
        <f>+AP10*AG10</f>
        <v>0</v>
      </c>
      <c r="AS10" s="509">
        <f>+AF10*F10</f>
        <v>0</v>
      </c>
      <c r="AT10" s="647">
        <f>+AL10</f>
        <v>173.21</v>
      </c>
      <c r="AU10" s="511">
        <f>+AE10</f>
        <v>0</v>
      </c>
      <c r="AV10" s="511">
        <f>+C10</f>
        <v>275</v>
      </c>
      <c r="AW10" s="511">
        <v>54</v>
      </c>
      <c r="AX10" s="512">
        <v>0.85714199999999996</v>
      </c>
      <c r="AY10" s="511">
        <f>AU10*AV10</f>
        <v>0</v>
      </c>
      <c r="AZ10" s="511">
        <f>+AY10-BH10</f>
        <v>0</v>
      </c>
      <c r="BA10" s="511">
        <f>AU10*AW10*AX10</f>
        <v>0</v>
      </c>
      <c r="BB10" s="511">
        <v>0.85714199999999996</v>
      </c>
      <c r="BC10" s="648">
        <f>+AT10+AN10+AK10</f>
        <v>2426.94</v>
      </c>
      <c r="BD10" s="648">
        <f>+BE10-BC10</f>
        <v>-2426.94</v>
      </c>
      <c r="BE10" s="649">
        <f>+AY10*BB10</f>
        <v>0</v>
      </c>
      <c r="BF10" s="650">
        <f>+BE10/12</f>
        <v>0</v>
      </c>
      <c r="BG10" s="647">
        <f>+BF10</f>
        <v>0</v>
      </c>
      <c r="BH10" s="651">
        <f>+BG10+BF10+BE10</f>
        <v>0</v>
      </c>
      <c r="BI10" s="652">
        <f>+BH10-BG10</f>
        <v>0</v>
      </c>
      <c r="BJ10" s="653">
        <v>0.05</v>
      </c>
      <c r="BK10" s="647">
        <f>BI10*BJ10</f>
        <v>0</v>
      </c>
      <c r="BL10" s="649">
        <f>+BH10-BK10+AI10</f>
        <v>0</v>
      </c>
      <c r="BM10" s="649">
        <f>+BL10</f>
        <v>0</v>
      </c>
      <c r="BN10" s="566">
        <v>0</v>
      </c>
      <c r="BO10" s="566">
        <v>0</v>
      </c>
      <c r="BP10" s="566">
        <v>0</v>
      </c>
      <c r="BQ10" s="596">
        <f>+BL10+BN10-BO10-BP10</f>
        <v>0</v>
      </c>
      <c r="BR10" s="56">
        <f>+B10</f>
        <v>1</v>
      </c>
      <c r="BS10" s="625">
        <v>0.16</v>
      </c>
      <c r="BT10" s="626">
        <f>+BH10-BG10</f>
        <v>0</v>
      </c>
      <c r="BU10" s="198">
        <f>BH10*BS10</f>
        <v>0</v>
      </c>
      <c r="BV10" s="199">
        <v>0.02</v>
      </c>
      <c r="BW10" s="553">
        <v>0</v>
      </c>
      <c r="BX10" s="553">
        <v>0</v>
      </c>
      <c r="BY10" s="200">
        <f>BL10*BV10</f>
        <v>0</v>
      </c>
      <c r="BZ10" s="200">
        <f>+BQ10+BU10+BY10</f>
        <v>0</v>
      </c>
    </row>
    <row r="11" spans="1:78" s="36" customFormat="1" ht="70.2" customHeight="1" thickTop="1" thickBot="1" x14ac:dyDescent="0.3">
      <c r="A11" s="654">
        <v>23724864</v>
      </c>
      <c r="B11" s="562">
        <v>3</v>
      </c>
      <c r="C11" s="526">
        <v>242</v>
      </c>
      <c r="D11" s="563" t="s">
        <v>298</v>
      </c>
      <c r="E11" s="564" t="s">
        <v>32</v>
      </c>
      <c r="F11" s="214">
        <v>173.21</v>
      </c>
      <c r="G11" s="565" t="s">
        <v>54</v>
      </c>
      <c r="H11" s="597">
        <v>173.21</v>
      </c>
      <c r="I11" s="597">
        <v>1</v>
      </c>
      <c r="J11" s="597">
        <v>173.21</v>
      </c>
      <c r="K11" s="597">
        <v>173.21</v>
      </c>
      <c r="L11" s="597">
        <v>173.21</v>
      </c>
      <c r="M11" s="597">
        <v>173.21</v>
      </c>
      <c r="N11" s="597">
        <v>173.21</v>
      </c>
      <c r="O11" s="592">
        <f t="shared" ref="O11:O12" si="1">COUNTIF(F11:N11,173.21)</f>
        <v>7</v>
      </c>
      <c r="P11" s="598">
        <f t="shared" si="0"/>
        <v>1</v>
      </c>
      <c r="Q11" s="597">
        <v>173.21</v>
      </c>
      <c r="R11" s="597">
        <v>1</v>
      </c>
      <c r="S11" s="597">
        <v>173.21</v>
      </c>
      <c r="T11" s="597">
        <v>173.21</v>
      </c>
      <c r="U11" s="597">
        <v>173.21</v>
      </c>
      <c r="V11" s="597">
        <v>173.21</v>
      </c>
      <c r="W11" s="597">
        <v>173.21</v>
      </c>
      <c r="X11" s="597">
        <v>173.21</v>
      </c>
      <c r="Y11" s="597">
        <v>0</v>
      </c>
      <c r="Z11" s="592">
        <f>COUNTIF(Q11:Y11,173.21)</f>
        <v>7</v>
      </c>
      <c r="AA11" s="598">
        <f t="shared" ref="AA11:AA12" si="2">COUNTIF(Z11,7)</f>
        <v>1</v>
      </c>
      <c r="AB11" s="54">
        <f>+AA11+P11</f>
        <v>2</v>
      </c>
      <c r="AC11" s="54">
        <f t="shared" ref="AC11:AC12" si="3">+AD11+AB11+AJ11+AF11</f>
        <v>15</v>
      </c>
      <c r="AD11" s="54">
        <f>COUNTIF(H11:AA11,173.21)</f>
        <v>13</v>
      </c>
      <c r="AE11" s="629">
        <v>0</v>
      </c>
      <c r="AF11" s="505">
        <v>0</v>
      </c>
      <c r="AG11" s="505">
        <v>0</v>
      </c>
      <c r="AH11" s="506">
        <f>+C11/8</f>
        <v>30.25</v>
      </c>
      <c r="AI11" s="506">
        <f>+AH11*AG11</f>
        <v>0</v>
      </c>
      <c r="AJ11" s="507">
        <v>0</v>
      </c>
      <c r="AK11" s="508">
        <f>+Y11+V11+U11+S11+R11+Q11+N11+M11+L11+J11+I11+H11+W11+X11+K11+T11</f>
        <v>2253.73</v>
      </c>
      <c r="AL11" s="509">
        <f>+F11*P11</f>
        <v>173.21</v>
      </c>
      <c r="AM11" s="509">
        <f>+F11*AA11</f>
        <v>173.21</v>
      </c>
      <c r="AN11" s="508">
        <f>+R11+I11</f>
        <v>2</v>
      </c>
      <c r="AO11" s="509">
        <f>+F11</f>
        <v>173.21</v>
      </c>
      <c r="AP11" s="510">
        <f>+F11/8</f>
        <v>21.651250000000001</v>
      </c>
      <c r="AQ11" s="509">
        <f>+AO11*AJ11</f>
        <v>0</v>
      </c>
      <c r="AR11" s="509">
        <f>+AP11*AG11</f>
        <v>0</v>
      </c>
      <c r="AS11" s="509">
        <f>+AF11*F11</f>
        <v>0</v>
      </c>
      <c r="AT11" s="647">
        <f>+AL11</f>
        <v>173.21</v>
      </c>
      <c r="AU11" s="511">
        <f>+AE11</f>
        <v>0</v>
      </c>
      <c r="AV11" s="511">
        <f>+C11</f>
        <v>242</v>
      </c>
      <c r="AW11" s="511">
        <v>54</v>
      </c>
      <c r="AX11" s="512">
        <v>0.85714199999999996</v>
      </c>
      <c r="AY11" s="511">
        <f>AU11*AV11</f>
        <v>0</v>
      </c>
      <c r="AZ11" s="511">
        <f>+AY11-BH11</f>
        <v>0</v>
      </c>
      <c r="BA11" s="511">
        <f>AU11*AW11*AX11</f>
        <v>0</v>
      </c>
      <c r="BB11" s="511">
        <v>0.85714199999999996</v>
      </c>
      <c r="BC11" s="648">
        <f>+AT11+AN11+AK11</f>
        <v>2428.94</v>
      </c>
      <c r="BD11" s="648">
        <f>+BE11-BC11</f>
        <v>-2428.94</v>
      </c>
      <c r="BE11" s="649">
        <f>+AY11*BB11</f>
        <v>0</v>
      </c>
      <c r="BF11" s="650">
        <f>+BE11/12</f>
        <v>0</v>
      </c>
      <c r="BG11" s="647">
        <f>+BF11</f>
        <v>0</v>
      </c>
      <c r="BH11" s="651">
        <f>+BG11+BF11+BE11</f>
        <v>0</v>
      </c>
      <c r="BI11" s="652">
        <f>+BH11-BG11</f>
        <v>0</v>
      </c>
      <c r="BJ11" s="653">
        <v>0.05</v>
      </c>
      <c r="BK11" s="647">
        <f>BI11*BJ11</f>
        <v>0</v>
      </c>
      <c r="BL11" s="649">
        <f>+BH11-BK11+AI11</f>
        <v>0</v>
      </c>
      <c r="BM11" s="649">
        <f>+BL11</f>
        <v>0</v>
      </c>
      <c r="BN11" s="566">
        <v>0</v>
      </c>
      <c r="BO11" s="566">
        <v>0</v>
      </c>
      <c r="BP11" s="566">
        <v>0</v>
      </c>
      <c r="BQ11" s="596">
        <f>+BL11+BN11-BO11-BP11</f>
        <v>0</v>
      </c>
      <c r="BR11" s="56">
        <f>+B11</f>
        <v>3</v>
      </c>
      <c r="BS11" s="625">
        <v>0.16</v>
      </c>
      <c r="BT11" s="626">
        <f>+BH11-BG11</f>
        <v>0</v>
      </c>
      <c r="BU11" s="198">
        <f>BH11*BS11</f>
        <v>0</v>
      </c>
      <c r="BV11" s="199">
        <v>0.02</v>
      </c>
      <c r="BW11" s="553">
        <v>0</v>
      </c>
      <c r="BX11" s="553">
        <v>0</v>
      </c>
      <c r="BY11" s="200">
        <f>BL11*BV11</f>
        <v>0</v>
      </c>
      <c r="BZ11" s="200">
        <f>+BQ11+BU11+BY11</f>
        <v>0</v>
      </c>
    </row>
    <row r="12" spans="1:78" s="36" customFormat="1" ht="70.2" customHeight="1" thickTop="1" thickBot="1" x14ac:dyDescent="0.3">
      <c r="A12" s="550">
        <v>15384256</v>
      </c>
      <c r="B12" s="562">
        <v>4</v>
      </c>
      <c r="C12" s="526">
        <v>242</v>
      </c>
      <c r="D12" s="563" t="s">
        <v>297</v>
      </c>
      <c r="E12" s="564" t="s">
        <v>188</v>
      </c>
      <c r="F12" s="214">
        <v>173.21</v>
      </c>
      <c r="G12" s="565" t="s">
        <v>54</v>
      </c>
      <c r="H12" s="597">
        <v>173.21</v>
      </c>
      <c r="I12" s="597">
        <v>1</v>
      </c>
      <c r="J12" s="597">
        <v>173.21</v>
      </c>
      <c r="K12" s="597">
        <v>173.21</v>
      </c>
      <c r="L12" s="597">
        <v>173.21</v>
      </c>
      <c r="M12" s="597">
        <v>173.21</v>
      </c>
      <c r="N12" s="597">
        <v>173.21</v>
      </c>
      <c r="O12" s="592">
        <f t="shared" si="1"/>
        <v>7</v>
      </c>
      <c r="P12" s="598">
        <f t="shared" si="0"/>
        <v>1</v>
      </c>
      <c r="Q12" s="597">
        <v>173.21</v>
      </c>
      <c r="R12" s="597">
        <v>0</v>
      </c>
      <c r="S12" s="597">
        <v>173.21</v>
      </c>
      <c r="T12" s="597">
        <v>173.21</v>
      </c>
      <c r="U12" s="597">
        <v>173.21</v>
      </c>
      <c r="V12" s="597">
        <v>173.21</v>
      </c>
      <c r="W12" s="597">
        <v>173.21</v>
      </c>
      <c r="X12" s="597">
        <v>173.21</v>
      </c>
      <c r="Y12" s="597">
        <v>1</v>
      </c>
      <c r="Z12" s="592">
        <f>COUNTIF(Q12:Y12,173.21)</f>
        <v>7</v>
      </c>
      <c r="AA12" s="598">
        <f t="shared" si="2"/>
        <v>1</v>
      </c>
      <c r="AB12" s="54">
        <f>+AA12+P12</f>
        <v>2</v>
      </c>
      <c r="AC12" s="54">
        <f t="shared" si="3"/>
        <v>15</v>
      </c>
      <c r="AD12" s="54">
        <f>COUNTIF(H12:AA12,173.21)</f>
        <v>13</v>
      </c>
      <c r="AE12" s="629">
        <v>0</v>
      </c>
      <c r="AF12" s="505">
        <v>0</v>
      </c>
      <c r="AG12" s="505">
        <v>0</v>
      </c>
      <c r="AH12" s="506">
        <f>+C12/8</f>
        <v>30.25</v>
      </c>
      <c r="AI12" s="506">
        <f>+AH12*AG12</f>
        <v>0</v>
      </c>
      <c r="AJ12" s="507">
        <v>0</v>
      </c>
      <c r="AK12" s="508">
        <f>+Y12+V12+U12+S12+R12+Q12+N12+M12+L12+J12+I12+H12+W12+X12+K12+T12</f>
        <v>2253.73</v>
      </c>
      <c r="AL12" s="509">
        <f>+F12*P12</f>
        <v>173.21</v>
      </c>
      <c r="AM12" s="509">
        <f>+F12*AA12</f>
        <v>173.21</v>
      </c>
      <c r="AN12" s="508">
        <f>+R12+I12</f>
        <v>1</v>
      </c>
      <c r="AO12" s="509">
        <f>+F12</f>
        <v>173.21</v>
      </c>
      <c r="AP12" s="509">
        <f>+F12/8</f>
        <v>21.651250000000001</v>
      </c>
      <c r="AQ12" s="509">
        <f>+AO12*AJ12</f>
        <v>0</v>
      </c>
      <c r="AR12" s="509">
        <f>+AP12*AG12</f>
        <v>0</v>
      </c>
      <c r="AS12" s="509">
        <f>+AF12*F12</f>
        <v>0</v>
      </c>
      <c r="AT12" s="647">
        <f>+AL12</f>
        <v>173.21</v>
      </c>
      <c r="AU12" s="511">
        <f>+AE12</f>
        <v>0</v>
      </c>
      <c r="AV12" s="511">
        <f>+C12</f>
        <v>242</v>
      </c>
      <c r="AW12" s="511">
        <v>31</v>
      </c>
      <c r="AX12" s="512">
        <v>0.85714199999999996</v>
      </c>
      <c r="AY12" s="511">
        <f>AU12*AV12</f>
        <v>0</v>
      </c>
      <c r="AZ12" s="511">
        <f>+AY12-BH12</f>
        <v>0</v>
      </c>
      <c r="BA12" s="511">
        <f>AU12*AW12*AX12</f>
        <v>0</v>
      </c>
      <c r="BB12" s="511">
        <v>0.85714199999999996</v>
      </c>
      <c r="BC12" s="648">
        <f>+AT12+AN12+AK12</f>
        <v>2427.94</v>
      </c>
      <c r="BD12" s="648">
        <f>+BE12-BC12</f>
        <v>-2427.94</v>
      </c>
      <c r="BE12" s="649">
        <f>+AY12*BB12</f>
        <v>0</v>
      </c>
      <c r="BF12" s="650">
        <f>+BE12/12</f>
        <v>0</v>
      </c>
      <c r="BG12" s="647">
        <f>+BF12</f>
        <v>0</v>
      </c>
      <c r="BH12" s="651">
        <f>+BG12+BF12+BE12</f>
        <v>0</v>
      </c>
      <c r="BI12" s="652">
        <f>+BH12-BG12</f>
        <v>0</v>
      </c>
      <c r="BJ12" s="653">
        <v>7.0000000000000007E-2</v>
      </c>
      <c r="BK12" s="647">
        <f>BI12*BJ12</f>
        <v>0</v>
      </c>
      <c r="BL12" s="649">
        <f>+BH12-BK12+AI12</f>
        <v>0</v>
      </c>
      <c r="BM12" s="649">
        <f t="shared" ref="BM12" si="4">+BL12</f>
        <v>0</v>
      </c>
      <c r="BN12" s="566">
        <v>0</v>
      </c>
      <c r="BO12" s="566">
        <v>0</v>
      </c>
      <c r="BP12" s="566">
        <v>0</v>
      </c>
      <c r="BQ12" s="596">
        <f>+BL12+BN12-BO12-BP12+BW12+BX12</f>
        <v>0</v>
      </c>
      <c r="BR12" s="56">
        <f>+B12</f>
        <v>4</v>
      </c>
      <c r="BS12" s="625">
        <v>0.16</v>
      </c>
      <c r="BT12" s="626">
        <f>+BH12-BG12</f>
        <v>0</v>
      </c>
      <c r="BU12" s="198">
        <f>BH12*BS12</f>
        <v>0</v>
      </c>
      <c r="BV12" s="199">
        <v>0.02</v>
      </c>
      <c r="BW12" s="553">
        <v>0</v>
      </c>
      <c r="BX12" s="553">
        <v>0</v>
      </c>
      <c r="BY12" s="200">
        <f>BL12*BV12</f>
        <v>0</v>
      </c>
      <c r="BZ12" s="200">
        <f>+BQ12+BU12+BY12</f>
        <v>0</v>
      </c>
    </row>
    <row r="13" spans="1:78" s="595" customFormat="1" ht="70.2" customHeight="1" thickTop="1" thickBot="1" x14ac:dyDescent="0.35">
      <c r="A13" s="593"/>
      <c r="B13" s="594"/>
      <c r="C13" s="593"/>
      <c r="D13" s="593" t="s">
        <v>140</v>
      </c>
      <c r="F13" s="593"/>
      <c r="G13" s="593"/>
      <c r="H13" s="201">
        <f t="shared" ref="H13:AE13" si="5">SUM(H10:H12)</f>
        <v>519.63</v>
      </c>
      <c r="I13" s="201">
        <f t="shared" si="5"/>
        <v>2</v>
      </c>
      <c r="J13" s="201">
        <f t="shared" si="5"/>
        <v>519.63</v>
      </c>
      <c r="K13" s="201">
        <f t="shared" si="5"/>
        <v>519.63</v>
      </c>
      <c r="L13" s="201">
        <f t="shared" si="5"/>
        <v>519.63</v>
      </c>
      <c r="M13" s="201">
        <f t="shared" si="5"/>
        <v>519.63</v>
      </c>
      <c r="N13" s="201">
        <f t="shared" si="5"/>
        <v>519.63</v>
      </c>
      <c r="O13" s="201">
        <f t="shared" si="5"/>
        <v>21</v>
      </c>
      <c r="P13" s="201">
        <f t="shared" si="5"/>
        <v>3</v>
      </c>
      <c r="Q13" s="201">
        <f t="shared" si="5"/>
        <v>519.63</v>
      </c>
      <c r="R13" s="201">
        <f t="shared" si="5"/>
        <v>2</v>
      </c>
      <c r="S13" s="201">
        <f t="shared" si="5"/>
        <v>519.63</v>
      </c>
      <c r="T13" s="201">
        <f>SUM(T10:T12)</f>
        <v>519.63</v>
      </c>
      <c r="U13" s="201">
        <f t="shared" si="5"/>
        <v>519.63</v>
      </c>
      <c r="V13" s="201">
        <f t="shared" si="5"/>
        <v>519.63</v>
      </c>
      <c r="W13" s="201">
        <f t="shared" si="5"/>
        <v>519.63</v>
      </c>
      <c r="X13" s="597">
        <f>SUM(X10:X12)</f>
        <v>519.63</v>
      </c>
      <c r="Y13" s="201">
        <f t="shared" si="5"/>
        <v>1</v>
      </c>
      <c r="Z13" s="201">
        <f t="shared" si="5"/>
        <v>21</v>
      </c>
      <c r="AA13" s="201">
        <f t="shared" si="5"/>
        <v>3</v>
      </c>
      <c r="AB13" s="201">
        <f t="shared" si="5"/>
        <v>6</v>
      </c>
      <c r="AC13" s="201">
        <f t="shared" si="5"/>
        <v>45</v>
      </c>
      <c r="AD13" s="201">
        <f t="shared" si="5"/>
        <v>39</v>
      </c>
      <c r="AE13" s="201">
        <f t="shared" si="5"/>
        <v>0</v>
      </c>
      <c r="AF13" s="201">
        <f>SUM(AF11:AF12)</f>
        <v>0</v>
      </c>
      <c r="AG13" s="201">
        <v>0</v>
      </c>
      <c r="AH13" s="201">
        <f>SUM(AH11:AH12)</f>
        <v>60.5</v>
      </c>
      <c r="AI13" s="201">
        <f>SUM(AI11:AI12)</f>
        <v>0</v>
      </c>
      <c r="AJ13" s="507">
        <f t="shared" ref="AJ13" si="6">SUM(AJ10:AJ12)</f>
        <v>0</v>
      </c>
      <c r="AK13" s="201">
        <f>SUM(AK10:AK12)</f>
        <v>6760.1900000000005</v>
      </c>
      <c r="AL13" s="201">
        <f t="shared" ref="AL13:AO13" si="7">SUM(AL10:AL12)</f>
        <v>519.63</v>
      </c>
      <c r="AM13" s="201">
        <f t="shared" si="7"/>
        <v>519.63</v>
      </c>
      <c r="AN13" s="201">
        <f t="shared" si="7"/>
        <v>4</v>
      </c>
      <c r="AO13" s="201">
        <f t="shared" si="7"/>
        <v>519.63</v>
      </c>
      <c r="AP13" s="201">
        <f t="shared" ref="AP13" si="8">SUM(AP10:AP12)</f>
        <v>64.953749999999999</v>
      </c>
      <c r="AQ13" s="201">
        <f t="shared" ref="AQ13" si="9">SUM(AQ10:AQ12)</f>
        <v>0</v>
      </c>
      <c r="AR13" s="201">
        <f t="shared" ref="AR13:AS13" si="10">SUM(AR10:AR12)</f>
        <v>0</v>
      </c>
      <c r="AS13" s="201">
        <f t="shared" si="10"/>
        <v>0</v>
      </c>
      <c r="AT13" s="201">
        <f t="shared" ref="AT13" si="11">SUM(AT10:AT12)</f>
        <v>519.63</v>
      </c>
      <c r="AU13" s="201">
        <f t="shared" ref="AU13" si="12">SUM(AU10:AU12)</f>
        <v>0</v>
      </c>
      <c r="AV13" s="201">
        <f t="shared" ref="AV13" si="13">SUM(AV10:AV12)</f>
        <v>759</v>
      </c>
      <c r="AW13" s="201">
        <f t="shared" ref="AW13" si="14">SUM(AW10:AW12)</f>
        <v>139</v>
      </c>
      <c r="AX13" s="201">
        <f t="shared" ref="AX13" si="15">SUM(AX10:AX12)</f>
        <v>2.5714259999999998</v>
      </c>
      <c r="AY13" s="201">
        <f t="shared" ref="AY13" si="16">SUM(AY10:AY12)</f>
        <v>0</v>
      </c>
      <c r="AZ13" s="201">
        <f t="shared" ref="AZ13" si="17">SUM(AZ10:AZ12)</f>
        <v>0</v>
      </c>
      <c r="BA13" s="201">
        <f t="shared" ref="BA13" si="18">SUM(BA10:BA12)</f>
        <v>0</v>
      </c>
      <c r="BB13" s="201">
        <f t="shared" ref="BB13" si="19">SUM(BB10:BB12)</f>
        <v>2.5714259999999998</v>
      </c>
      <c r="BC13" s="201">
        <f t="shared" ref="BC13" si="20">SUM(BC10:BC12)</f>
        <v>7283.82</v>
      </c>
      <c r="BD13" s="201">
        <f t="shared" ref="BD13" si="21">SUM(BD10:BD12)</f>
        <v>-7283.82</v>
      </c>
      <c r="BE13" s="201">
        <f t="shared" ref="BE13" si="22">SUM(BE10:BE12)</f>
        <v>0</v>
      </c>
      <c r="BF13" s="201">
        <f t="shared" ref="BF13" si="23">SUM(BF10:BF12)</f>
        <v>0</v>
      </c>
      <c r="BG13" s="201">
        <f t="shared" ref="BG13" si="24">SUM(BG10:BG12)</f>
        <v>0</v>
      </c>
      <c r="BH13" s="201">
        <f t="shared" ref="BH13" si="25">SUM(BH10:BH12)</f>
        <v>0</v>
      </c>
      <c r="BI13" s="201">
        <f t="shared" ref="BI13" si="26">SUM(BI10:BI12)</f>
        <v>0</v>
      </c>
      <c r="BJ13" s="201">
        <f t="shared" ref="BJ13" si="27">SUM(BJ10:BJ12)</f>
        <v>0.17</v>
      </c>
      <c r="BK13" s="201">
        <f t="shared" ref="BK13" si="28">SUM(BK10:BK12)</f>
        <v>0</v>
      </c>
      <c r="BL13" s="201">
        <f t="shared" ref="BL13" si="29">SUM(BL10:BL12)</f>
        <v>0</v>
      </c>
      <c r="BM13" s="201">
        <f t="shared" ref="BM13" si="30">SUM(BM10:BM12)</f>
        <v>0</v>
      </c>
      <c r="BN13" s="201">
        <f t="shared" ref="BN13" si="31">SUM(BN10:BN12)</f>
        <v>0</v>
      </c>
      <c r="BO13" s="201">
        <f t="shared" ref="BO13" si="32">SUM(BO10:BO12)</f>
        <v>0</v>
      </c>
      <c r="BP13" s="201">
        <f t="shared" ref="BP13" si="33">SUM(BP10:BP12)</f>
        <v>0</v>
      </c>
      <c r="BQ13" s="599">
        <f>SUM(BQ10:BQ12)</f>
        <v>0</v>
      </c>
      <c r="BR13" s="516" t="e">
        <f>+#REF!</f>
        <v>#REF!</v>
      </c>
      <c r="BS13" s="627" t="e">
        <f>SUM(#REF!)</f>
        <v>#REF!</v>
      </c>
      <c r="BT13" s="627" t="e">
        <f>SUM(#REF!)</f>
        <v>#REF!</v>
      </c>
      <c r="BU13" s="201">
        <f t="shared" ref="BU13:BZ13" si="34">SUM(BU11:BU12)</f>
        <v>0</v>
      </c>
      <c r="BV13" s="201">
        <f t="shared" si="34"/>
        <v>0.04</v>
      </c>
      <c r="BW13" s="201">
        <f t="shared" si="34"/>
        <v>0</v>
      </c>
      <c r="BX13" s="201">
        <f t="shared" si="34"/>
        <v>0</v>
      </c>
      <c r="BY13" s="201">
        <f t="shared" si="34"/>
        <v>0</v>
      </c>
      <c r="BZ13" s="201">
        <f t="shared" si="34"/>
        <v>0</v>
      </c>
    </row>
    <row r="14" spans="1:78" s="36" customFormat="1" ht="55.2" customHeight="1" thickTop="1" x14ac:dyDescent="0.3">
      <c r="A14" s="38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624"/>
      <c r="BT14" s="623"/>
    </row>
    <row r="15" spans="1:78" ht="55.2" customHeight="1" x14ac:dyDescent="0.25">
      <c r="D15" s="184" t="s">
        <v>157</v>
      </c>
      <c r="E15" s="184"/>
      <c r="F15" s="182">
        <f>+AK13</f>
        <v>6760.1900000000005</v>
      </c>
      <c r="G15" s="185" t="s">
        <v>158</v>
      </c>
      <c r="H15" s="183">
        <f>+AN13</f>
        <v>4</v>
      </c>
      <c r="I15" s="185" t="s">
        <v>59</v>
      </c>
      <c r="J15" s="183">
        <f>+AT13</f>
        <v>519.63</v>
      </c>
      <c r="K15" s="185" t="s">
        <v>159</v>
      </c>
      <c r="L15" s="185"/>
      <c r="M15" s="183">
        <f>+BC13</f>
        <v>7283.82</v>
      </c>
      <c r="N15" s="185" t="s">
        <v>160</v>
      </c>
      <c r="O15" s="185"/>
      <c r="P15" s="185"/>
      <c r="Q15" s="197">
        <f>+BD13</f>
        <v>-7283.82</v>
      </c>
      <c r="R15" s="185" t="s">
        <v>161</v>
      </c>
      <c r="S15" s="185"/>
      <c r="T15" s="1487">
        <f>+BE13</f>
        <v>0</v>
      </c>
      <c r="U15" s="1487"/>
      <c r="V15" s="185" t="s">
        <v>162</v>
      </c>
      <c r="W15" s="185"/>
      <c r="X15" s="185"/>
      <c r="Y15" s="185"/>
      <c r="Z15" s="185"/>
      <c r="AA15" s="1488">
        <f>+BF13</f>
        <v>0</v>
      </c>
      <c r="AB15" s="1488"/>
      <c r="AC15" s="1488"/>
      <c r="AD15" s="1488"/>
      <c r="AE15" s="1488"/>
      <c r="AF15" s="185"/>
      <c r="AG15" s="185" t="s">
        <v>163</v>
      </c>
      <c r="AH15" s="185"/>
      <c r="AI15" s="185"/>
      <c r="AJ15" s="185"/>
      <c r="AK15" s="183">
        <f>+BG13</f>
        <v>0</v>
      </c>
      <c r="AL15" s="185"/>
      <c r="AM15" s="185"/>
      <c r="AN15" s="185"/>
      <c r="AO15" s="185"/>
      <c r="AP15" s="185"/>
      <c r="AQ15" s="186"/>
      <c r="AR15" s="185"/>
      <c r="AS15" s="185"/>
      <c r="AT15" s="187" t="s">
        <v>164</v>
      </c>
      <c r="AU15" s="187"/>
      <c r="AV15" s="187"/>
      <c r="AW15" s="185"/>
      <c r="AX15" s="185"/>
      <c r="AY15" s="185"/>
      <c r="AZ15" s="185"/>
      <c r="BA15" s="185"/>
      <c r="BB15" s="185"/>
      <c r="BC15" s="185"/>
      <c r="BD15" s="183">
        <f>+BK13</f>
        <v>0</v>
      </c>
      <c r="BE15" s="185"/>
      <c r="BF15" s="185" t="s">
        <v>31</v>
      </c>
      <c r="BG15" s="185"/>
      <c r="BH15" s="185"/>
      <c r="BI15" s="185"/>
      <c r="BJ15" s="185"/>
      <c r="BK15" s="183">
        <f>+BN13</f>
        <v>0</v>
      </c>
      <c r="BL15" s="185"/>
      <c r="BM15" s="185"/>
      <c r="BN15" s="185" t="s">
        <v>148</v>
      </c>
      <c r="BO15" s="185"/>
      <c r="BP15" s="185"/>
      <c r="BQ15" s="204">
        <f>+BQ13</f>
        <v>0</v>
      </c>
    </row>
    <row r="16" spans="1:78" ht="55.2" customHeight="1" x14ac:dyDescent="0.25">
      <c r="I16" s="1250"/>
      <c r="J16" s="1250"/>
      <c r="K16" s="1250"/>
      <c r="L16" s="1250"/>
      <c r="M16" s="1250"/>
      <c r="N16" s="1250"/>
      <c r="O16" s="1250"/>
      <c r="P16" s="1250"/>
      <c r="Q16" s="156"/>
      <c r="R16" s="34"/>
      <c r="S16" s="34"/>
      <c r="T16" s="34"/>
      <c r="U16" s="34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4"/>
      <c r="AH16" s="34"/>
      <c r="AI16" s="34"/>
      <c r="AJ16"/>
      <c r="AK16"/>
      <c r="AL16"/>
      <c r="AM16"/>
      <c r="AN16"/>
      <c r="AO16"/>
      <c r="AP16"/>
      <c r="AQ16"/>
      <c r="AR16"/>
      <c r="AS16"/>
      <c r="AT16"/>
      <c r="AU16"/>
      <c r="AV16" s="37"/>
      <c r="AW16" s="37"/>
      <c r="AX16" s="37"/>
      <c r="AY16" s="37"/>
      <c r="AZ16" s="37"/>
      <c r="BA16" s="37"/>
      <c r="BB16" s="37"/>
      <c r="BC16" s="1251"/>
      <c r="BD16" s="1251"/>
      <c r="BE16" s="1251"/>
      <c r="BF16" s="1251"/>
      <c r="BG16" s="1251"/>
      <c r="BH16" s="1251"/>
      <c r="BI16" s="1251"/>
      <c r="BJ16" s="1251"/>
      <c r="BK16" s="1251"/>
      <c r="BL16" s="1251"/>
      <c r="BM16" s="1251"/>
      <c r="BN16" s="37"/>
      <c r="BO16" s="37"/>
      <c r="BP16" s="37"/>
      <c r="BQ16" s="37"/>
    </row>
    <row r="17" spans="8:69" x14ac:dyDescent="0.25"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8:69" x14ac:dyDescent="0.25">
      <c r="H18" s="551"/>
      <c r="I18" s="552"/>
      <c r="J18" s="552"/>
      <c r="K18" s="552"/>
      <c r="L18" s="552"/>
      <c r="M18" s="552"/>
      <c r="N18" s="552"/>
      <c r="O18"/>
      <c r="P18"/>
      <c r="Q18"/>
      <c r="R18"/>
      <c r="S18"/>
      <c r="T18"/>
      <c r="U18" s="552"/>
      <c r="V18" s="552"/>
      <c r="W18" s="552"/>
      <c r="X18" s="552"/>
      <c r="Y18" s="552"/>
      <c r="Z18" s="552"/>
      <c r="AA18" s="552"/>
      <c r="AB18" s="552"/>
      <c r="AC18" s="552"/>
      <c r="AD18" s="552"/>
      <c r="AE18" s="552"/>
      <c r="AF18" s="552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 s="552"/>
      <c r="BE18" s="552"/>
      <c r="BF18" s="552"/>
      <c r="BG18" s="552"/>
      <c r="BH18" s="552"/>
      <c r="BI18" s="552"/>
      <c r="BJ18" s="552"/>
      <c r="BK18" s="552"/>
      <c r="BL18" s="552"/>
      <c r="BM18" s="552"/>
      <c r="BN18"/>
      <c r="BO18"/>
      <c r="BP18"/>
      <c r="BQ18"/>
    </row>
    <row r="19" spans="8:69" x14ac:dyDescent="0.25">
      <c r="H19" s="1455" t="s">
        <v>23</v>
      </c>
      <c r="I19" s="1455"/>
      <c r="J19" s="1455"/>
      <c r="K19" s="1455"/>
      <c r="L19" s="1455"/>
      <c r="M19" s="1455"/>
      <c r="N19" s="1455"/>
      <c r="O19"/>
      <c r="P19"/>
      <c r="Q19"/>
      <c r="R19"/>
      <c r="S19"/>
      <c r="T19"/>
      <c r="U19" s="1457" t="s">
        <v>24</v>
      </c>
      <c r="V19" s="1457"/>
      <c r="W19" s="1457"/>
      <c r="X19" s="1457"/>
      <c r="Y19" s="1457"/>
      <c r="Z19" s="1457"/>
      <c r="AA19" s="1457"/>
      <c r="AB19" s="1457"/>
      <c r="AC19" s="1457"/>
      <c r="AD19" s="1457"/>
      <c r="AE19" s="1457"/>
      <c r="AF19" s="1457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 s="1457" t="s">
        <v>25</v>
      </c>
      <c r="BE19" s="1457"/>
      <c r="BF19" s="1457"/>
      <c r="BG19" s="1457"/>
      <c r="BH19" s="1457"/>
      <c r="BI19" s="1457"/>
      <c r="BJ19" s="1457"/>
      <c r="BK19" s="1457"/>
      <c r="BL19" s="1457"/>
      <c r="BM19" s="1457"/>
      <c r="BN19"/>
      <c r="BO19"/>
      <c r="BP19"/>
      <c r="BQ19"/>
    </row>
    <row r="20" spans="8:69" x14ac:dyDescent="0.25">
      <c r="H20" s="1456" t="s">
        <v>198</v>
      </c>
      <c r="I20" s="1456"/>
      <c r="J20" s="1456"/>
      <c r="K20" s="1456"/>
      <c r="L20" s="1456"/>
      <c r="M20" s="1456"/>
      <c r="N20" s="1456"/>
      <c r="O20"/>
      <c r="P20"/>
      <c r="Q20"/>
      <c r="R20"/>
      <c r="S20"/>
      <c r="T20"/>
      <c r="U20" s="1438" t="s">
        <v>286</v>
      </c>
      <c r="V20" s="1438"/>
      <c r="W20" s="1438"/>
      <c r="X20" s="1438"/>
      <c r="Y20" s="1438"/>
      <c r="Z20" s="1438"/>
      <c r="AA20" s="1438"/>
      <c r="AB20" s="1438"/>
      <c r="AC20" s="1438"/>
      <c r="AD20" s="1438"/>
      <c r="AE20" s="1438"/>
      <c r="AF20" s="1438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 s="1456" t="s">
        <v>277</v>
      </c>
      <c r="BE20" s="1456"/>
      <c r="BF20" s="1456"/>
      <c r="BG20" s="1456"/>
      <c r="BH20" s="1456"/>
      <c r="BI20" s="1456"/>
      <c r="BJ20" s="1456"/>
      <c r="BK20" s="1456"/>
      <c r="BL20" s="1456"/>
      <c r="BM20" s="1456"/>
      <c r="BN20"/>
      <c r="BO20"/>
      <c r="BP20"/>
      <c r="BQ20"/>
    </row>
    <row r="21" spans="8:69" x14ac:dyDescent="0.25"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8:69" x14ac:dyDescent="0.25"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8:69" x14ac:dyDescent="0.25"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8:69" x14ac:dyDescent="0.25"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8:69" x14ac:dyDescent="0.25"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8:69" x14ac:dyDescent="0.25"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</sheetData>
  <sheetProtection formatColumns="0" formatRows="0" insertRows="0" insertHyperlinks="0" deleteRows="0" sort="0" autoFilter="0"/>
  <protectedRanges>
    <protectedRange sqref="BR10:BR12" name="Nomina5_1"/>
    <protectedRange sqref="D12:E12" name="Nomina_2_1_2_1"/>
    <protectedRange sqref="AF10:AI12" name="Nomina2_3_1"/>
  </protectedRanges>
  <mergeCells count="83">
    <mergeCell ref="BC16:BM16"/>
    <mergeCell ref="E7:E9"/>
    <mergeCell ref="W7:W8"/>
    <mergeCell ref="X7:X8"/>
    <mergeCell ref="T15:U15"/>
    <mergeCell ref="AA15:AE15"/>
    <mergeCell ref="AE7:AE9"/>
    <mergeCell ref="AF7:AF9"/>
    <mergeCell ref="AC7:AC9"/>
    <mergeCell ref="I16:P16"/>
    <mergeCell ref="BG7:BG9"/>
    <mergeCell ref="BB7:BB9"/>
    <mergeCell ref="BE7:BE9"/>
    <mergeCell ref="BC7:BC9"/>
    <mergeCell ref="BF7:BF9"/>
    <mergeCell ref="BM7:BM9"/>
    <mergeCell ref="BD7:BD9"/>
    <mergeCell ref="BH7:BH9"/>
    <mergeCell ref="BI7:BJ8"/>
    <mergeCell ref="BK7:BK9"/>
    <mergeCell ref="BL7:BL9"/>
    <mergeCell ref="BV7:BV9"/>
    <mergeCell ref="BY7:BY9"/>
    <mergeCell ref="BZ7:BZ9"/>
    <mergeCell ref="BN7:BN9"/>
    <mergeCell ref="BQ7:BQ9"/>
    <mergeCell ref="BR7:BR9"/>
    <mergeCell ref="BS7:BS9"/>
    <mergeCell ref="BT7:BT9"/>
    <mergeCell ref="BO7:BO9"/>
    <mergeCell ref="BP7:BP9"/>
    <mergeCell ref="BU7:BU9"/>
    <mergeCell ref="BW7:BW9"/>
    <mergeCell ref="BX7:BX9"/>
    <mergeCell ref="AL7:AL9"/>
    <mergeCell ref="AM7:AM9"/>
    <mergeCell ref="AN7:AN9"/>
    <mergeCell ref="AT7:AT9"/>
    <mergeCell ref="BA7:BA9"/>
    <mergeCell ref="AU7:AU9"/>
    <mergeCell ref="AV7:AV9"/>
    <mergeCell ref="AW7:AW9"/>
    <mergeCell ref="AX7:AX9"/>
    <mergeCell ref="AY7:AY9"/>
    <mergeCell ref="AZ7:AZ9"/>
    <mergeCell ref="A2:BR2"/>
    <mergeCell ref="A7:A9"/>
    <mergeCell ref="B7:B9"/>
    <mergeCell ref="C7:C9"/>
    <mergeCell ref="D7:D9"/>
    <mergeCell ref="F7:F9"/>
    <mergeCell ref="G7:G9"/>
    <mergeCell ref="H7:H8"/>
    <mergeCell ref="I7:I8"/>
    <mergeCell ref="J7:J8"/>
    <mergeCell ref="K7:K8"/>
    <mergeCell ref="L7:L8"/>
    <mergeCell ref="M7:M8"/>
    <mergeCell ref="N7:N8"/>
    <mergeCell ref="O7:O9"/>
    <mergeCell ref="P7:P9"/>
    <mergeCell ref="A3:BR3"/>
    <mergeCell ref="A4:BR4"/>
    <mergeCell ref="Q7:Q8"/>
    <mergeCell ref="R7:R8"/>
    <mergeCell ref="S7:S8"/>
    <mergeCell ref="T7:T8"/>
    <mergeCell ref="U7:U8"/>
    <mergeCell ref="V7:V8"/>
    <mergeCell ref="Y7:Y8"/>
    <mergeCell ref="Z7:Z9"/>
    <mergeCell ref="AA7:AA9"/>
    <mergeCell ref="AB7:AB9"/>
    <mergeCell ref="AD7:AD9"/>
    <mergeCell ref="AG7:AG9"/>
    <mergeCell ref="AJ7:AJ9"/>
    <mergeCell ref="AK7:AK9"/>
    <mergeCell ref="H19:N19"/>
    <mergeCell ref="H20:N20"/>
    <mergeCell ref="U19:AF19"/>
    <mergeCell ref="U20:AF20"/>
    <mergeCell ref="BD19:BM19"/>
    <mergeCell ref="BD20:BM20"/>
  </mergeCells>
  <printOptions horizontalCentered="1" verticalCentered="1"/>
  <pageMargins left="0" right="0" top="0.74803149606299213" bottom="0.74803149606299213" header="0.31496062992125984" footer="0.31496062992125984"/>
  <pageSetup paperSize="5" scale="44" fitToHeight="0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transitionEvaluation="1" codeName="Hoja17">
    <tabColor rgb="FF00B0F0"/>
    <pageSetUpPr fitToPage="1"/>
  </sheetPr>
  <dimension ref="A1:AI46"/>
  <sheetViews>
    <sheetView showGridLines="0" topLeftCell="A7" zoomScale="87" zoomScaleNormal="87" workbookViewId="0">
      <selection activeCell="A11" sqref="A11"/>
    </sheetView>
  </sheetViews>
  <sheetFormatPr baseColWidth="10" defaultColWidth="9.85546875" defaultRowHeight="14.4" x14ac:dyDescent="0.2"/>
  <cols>
    <col min="1" max="1" width="5.42578125" style="1" bestFit="1" customWidth="1"/>
    <col min="2" max="2" width="4.140625" style="1" hidden="1" customWidth="1"/>
    <col min="3" max="3" width="16.42578125" style="1" hidden="1" customWidth="1"/>
    <col min="4" max="4" width="28.28515625" style="1" customWidth="1"/>
    <col min="5" max="5" width="5.28515625" style="1" customWidth="1"/>
    <col min="6" max="6" width="6" style="5" bestFit="1" customWidth="1"/>
    <col min="7" max="7" width="12.42578125" style="575" customWidth="1"/>
    <col min="8" max="8" width="21.140625" style="1" customWidth="1"/>
    <col min="9" max="9" width="23.28515625" style="1" customWidth="1"/>
    <col min="10" max="10" width="12.7109375" style="6" bestFit="1" customWidth="1"/>
    <col min="11" max="11" width="7.140625" style="6" hidden="1" customWidth="1"/>
    <col min="12" max="12" width="10.140625" style="6" hidden="1" customWidth="1"/>
    <col min="13" max="13" width="8.85546875" style="6" hidden="1" customWidth="1"/>
    <col min="14" max="14" width="24.7109375" style="1" customWidth="1"/>
    <col min="15" max="15" width="18.7109375" style="1" customWidth="1"/>
    <col min="16" max="16" width="18" style="1" customWidth="1"/>
    <col min="17" max="17" width="22" style="1" customWidth="1"/>
    <col min="18" max="20" width="22" style="1" hidden="1" customWidth="1"/>
    <col min="21" max="21" width="22" style="619" hidden="1" customWidth="1"/>
    <col min="22" max="22" width="22" style="1" hidden="1" customWidth="1"/>
    <col min="23" max="23" width="22" style="1" customWidth="1"/>
    <col min="24" max="24" width="33.85546875" style="1" customWidth="1"/>
    <col min="25" max="25" width="16.140625" style="1" hidden="1" customWidth="1"/>
    <col min="26" max="26" width="15.85546875" style="1" hidden="1" customWidth="1"/>
    <col min="27" max="27" width="13.42578125" style="1" hidden="1" customWidth="1"/>
    <col min="28" max="28" width="19.85546875" style="1" hidden="1" customWidth="1"/>
    <col min="29" max="29" width="54" style="1" customWidth="1"/>
    <col min="30" max="30" width="13.140625" style="1" hidden="1" customWidth="1"/>
    <col min="31" max="31" width="17.140625" style="1" hidden="1" customWidth="1"/>
    <col min="32" max="32" width="38.85546875" style="1" customWidth="1"/>
    <col min="33" max="33" width="3.85546875" style="1" customWidth="1"/>
    <col min="34" max="34" width="8.85546875" style="1" customWidth="1"/>
    <col min="35" max="36" width="1.85546875" style="1" customWidth="1"/>
    <col min="37" max="37" width="13.85546875" style="1" customWidth="1"/>
    <col min="38" max="38" width="6.85546875" style="1" customWidth="1"/>
    <col min="39" max="39" width="5.85546875" style="1" customWidth="1"/>
    <col min="40" max="40" width="7.85546875" style="1" customWidth="1"/>
    <col min="41" max="41" width="1.85546875" style="1" customWidth="1"/>
    <col min="42" max="42" width="38.85546875" style="1" customWidth="1"/>
    <col min="43" max="43" width="3.85546875" style="1" customWidth="1"/>
    <col min="44" max="44" width="8.85546875" style="1" customWidth="1"/>
    <col min="45" max="45" width="1.85546875" style="1" customWidth="1"/>
    <col min="46" max="16384" width="9.85546875" style="1"/>
  </cols>
  <sheetData>
    <row r="1" spans="1:35" x14ac:dyDescent="0.2">
      <c r="G1" s="686"/>
    </row>
    <row r="2" spans="1:35" s="15" customFormat="1" ht="17.25" customHeight="1" x14ac:dyDescent="0.2">
      <c r="A2" s="1177" t="s">
        <v>97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</row>
    <row r="3" spans="1:35" s="15" customFormat="1" ht="17.25" customHeight="1" x14ac:dyDescent="0.2">
      <c r="A3" s="1177" t="s">
        <v>486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1177"/>
      <c r="AA3" s="1177"/>
      <c r="AB3" s="1177"/>
      <c r="AC3" s="1177"/>
      <c r="AD3" s="1177"/>
      <c r="AE3" s="1177"/>
    </row>
    <row r="4" spans="1:35" s="15" customFormat="1" ht="17.25" customHeight="1" x14ac:dyDescent="0.3">
      <c r="A4" s="1178" t="str">
        <f>+ADMON!A5</f>
        <v>QUINCENA DEL 16  AL 30  DE ABRIL - 2026</v>
      </c>
      <c r="B4" s="1178"/>
      <c r="C4" s="1178"/>
      <c r="D4" s="1178"/>
      <c r="E4" s="1178"/>
      <c r="F4" s="1178"/>
      <c r="G4" s="1178"/>
      <c r="H4" s="1178"/>
      <c r="I4" s="1178"/>
      <c r="J4" s="1178"/>
      <c r="K4" s="1178"/>
      <c r="L4" s="1178"/>
      <c r="M4" s="1178"/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1178"/>
      <c r="AA4" s="1178"/>
      <c r="AB4" s="1178"/>
      <c r="AC4" s="1178"/>
      <c r="AD4" s="74"/>
      <c r="AE4" s="74"/>
    </row>
    <row r="5" spans="1:35" s="15" customFormat="1" ht="18" customHeight="1" thickBot="1" x14ac:dyDescent="0.35">
      <c r="A5" s="74"/>
      <c r="B5" s="75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672"/>
      <c r="V5" s="74"/>
      <c r="W5" s="74"/>
      <c r="X5" s="74"/>
      <c r="Y5" s="74"/>
      <c r="Z5" s="74"/>
      <c r="AA5" s="74"/>
      <c r="AB5" s="74"/>
      <c r="AC5" s="26"/>
      <c r="AD5" s="26"/>
      <c r="AE5" s="26"/>
    </row>
    <row r="6" spans="1:35" s="11" customFormat="1" ht="15" customHeight="1" thickTop="1" thickBot="1" x14ac:dyDescent="0.25">
      <c r="A6" s="1143" t="s">
        <v>2</v>
      </c>
      <c r="B6" s="1143" t="s">
        <v>3</v>
      </c>
      <c r="C6" s="1143" t="s">
        <v>4</v>
      </c>
      <c r="D6" s="1143" t="s">
        <v>6</v>
      </c>
      <c r="E6" s="1371" t="s">
        <v>187</v>
      </c>
      <c r="F6" s="1374" t="s">
        <v>7</v>
      </c>
      <c r="G6" s="1496" t="s">
        <v>82</v>
      </c>
      <c r="H6" s="1143" t="s">
        <v>8</v>
      </c>
      <c r="I6" s="1151" t="s">
        <v>9</v>
      </c>
      <c r="J6" s="1151"/>
      <c r="K6" s="1151"/>
      <c r="L6" s="1151"/>
      <c r="M6" s="1151"/>
      <c r="N6" s="1151"/>
      <c r="O6" s="351"/>
      <c r="P6" s="351"/>
      <c r="Q6" s="1143" t="s">
        <v>10</v>
      </c>
      <c r="R6" s="1143"/>
      <c r="S6" s="1143"/>
      <c r="T6" s="1143"/>
      <c r="U6" s="1143"/>
      <c r="V6" s="1399"/>
      <c r="W6" s="726"/>
      <c r="X6" s="1499" t="s">
        <v>29</v>
      </c>
      <c r="Y6" s="1502"/>
      <c r="Z6" s="1157" t="s">
        <v>99</v>
      </c>
      <c r="AA6" s="1157" t="s">
        <v>114</v>
      </c>
      <c r="AB6" s="1143" t="s">
        <v>11</v>
      </c>
      <c r="AC6" s="1173" t="s">
        <v>12</v>
      </c>
      <c r="AD6" s="1143"/>
      <c r="AE6" s="1143"/>
    </row>
    <row r="7" spans="1:35" s="13" customFormat="1" ht="21.75" customHeight="1" thickTop="1" thickBot="1" x14ac:dyDescent="0.25">
      <c r="A7" s="1143"/>
      <c r="B7" s="1143"/>
      <c r="C7" s="1143"/>
      <c r="D7" s="1143"/>
      <c r="E7" s="1372"/>
      <c r="F7" s="1374"/>
      <c r="G7" s="1497"/>
      <c r="H7" s="1143"/>
      <c r="I7" s="1143" t="s">
        <v>177</v>
      </c>
      <c r="J7" s="1155" t="s">
        <v>16</v>
      </c>
      <c r="K7" s="1168" t="s">
        <v>196</v>
      </c>
      <c r="L7" s="1168" t="s">
        <v>197</v>
      </c>
      <c r="M7" s="1333" t="s">
        <v>195</v>
      </c>
      <c r="N7" s="1143" t="s">
        <v>200</v>
      </c>
      <c r="O7" s="1335" t="s">
        <v>199</v>
      </c>
      <c r="P7" s="1335" t="s">
        <v>53</v>
      </c>
      <c r="Q7" s="1143" t="s">
        <v>29</v>
      </c>
      <c r="R7" s="1335"/>
      <c r="S7" s="1335" t="s">
        <v>3</v>
      </c>
      <c r="T7" s="1143" t="s">
        <v>19</v>
      </c>
      <c r="U7" s="1157" t="s">
        <v>94</v>
      </c>
      <c r="V7" s="1399" t="s">
        <v>20</v>
      </c>
      <c r="W7" s="727" t="s">
        <v>31</v>
      </c>
      <c r="X7" s="1500"/>
      <c r="Y7" s="1503"/>
      <c r="Z7" s="1157"/>
      <c r="AA7" s="1157"/>
      <c r="AB7" s="1143"/>
      <c r="AC7" s="1173"/>
      <c r="AD7" s="1143"/>
      <c r="AE7" s="1143"/>
      <c r="AF7" s="12"/>
      <c r="AG7" s="12"/>
      <c r="AH7" s="12"/>
      <c r="AI7" s="12"/>
    </row>
    <row r="8" spans="1:35" s="13" customFormat="1" ht="43.65" customHeight="1" thickTop="1" thickBot="1" x14ac:dyDescent="0.25">
      <c r="A8" s="1143"/>
      <c r="B8" s="1143"/>
      <c r="C8" s="1143"/>
      <c r="D8" s="1143"/>
      <c r="E8" s="1373"/>
      <c r="F8" s="1374"/>
      <c r="G8" s="1498"/>
      <c r="H8" s="1143"/>
      <c r="I8" s="1143"/>
      <c r="J8" s="1155"/>
      <c r="K8" s="1169"/>
      <c r="L8" s="1169"/>
      <c r="M8" s="1334"/>
      <c r="N8" s="1143"/>
      <c r="O8" s="1336"/>
      <c r="P8" s="1336"/>
      <c r="Q8" s="1143"/>
      <c r="R8" s="1336"/>
      <c r="S8" s="1336"/>
      <c r="T8" s="1143"/>
      <c r="U8" s="1157"/>
      <c r="V8" s="1399"/>
      <c r="W8" s="728"/>
      <c r="X8" s="1501"/>
      <c r="Y8" s="1504"/>
      <c r="Z8" s="1157"/>
      <c r="AA8" s="1157"/>
      <c r="AB8" s="1143"/>
      <c r="AC8" s="1173"/>
      <c r="AD8" s="1143"/>
      <c r="AE8" s="1143"/>
    </row>
    <row r="9" spans="1:35" s="326" customFormat="1" ht="85.2" customHeight="1" thickTop="1" thickBot="1" x14ac:dyDescent="0.25">
      <c r="A9" s="319">
        <v>1</v>
      </c>
      <c r="B9" s="320">
        <v>1</v>
      </c>
      <c r="C9" s="334"/>
      <c r="D9" s="633" t="s">
        <v>334</v>
      </c>
      <c r="E9" s="211" t="s">
        <v>188</v>
      </c>
      <c r="F9" s="352" t="s">
        <v>434</v>
      </c>
      <c r="G9" s="216">
        <v>290</v>
      </c>
      <c r="H9" s="1059">
        <v>8700</v>
      </c>
      <c r="I9" s="1059">
        <f t="shared" ref="I9:I13" si="0">(H9/30)*J9</f>
        <v>4930</v>
      </c>
      <c r="J9" s="1063">
        <v>17</v>
      </c>
      <c r="K9" s="1060">
        <f t="shared" ref="K9:K14" si="1">+L9*M9</f>
        <v>0</v>
      </c>
      <c r="L9" s="1061">
        <f t="shared" ref="L9:L14" si="2">G9*60%</f>
        <v>174</v>
      </c>
      <c r="M9" s="1060">
        <v>0</v>
      </c>
      <c r="N9" s="1056">
        <f t="shared" ref="N9:N14" si="3">+I9-O9-P9</f>
        <v>4108.3333333333339</v>
      </c>
      <c r="O9" s="1056">
        <f t="shared" ref="O9:O14" si="4">+I9/12</f>
        <v>410.83333333333331</v>
      </c>
      <c r="P9" s="1056">
        <f t="shared" ref="P9:P14" si="5">+O9</f>
        <v>410.83333333333331</v>
      </c>
      <c r="Q9" s="1059">
        <f t="shared" ref="Q9:Q14" si="6">+P9+N9+O9</f>
        <v>4930</v>
      </c>
      <c r="R9" s="1059">
        <f>N9+O9</f>
        <v>4519.166666666667</v>
      </c>
      <c r="S9" s="1059"/>
      <c r="T9" s="1059"/>
      <c r="U9" s="1059"/>
      <c r="V9" s="1056">
        <f t="shared" ref="V9:V14" si="7">S9</f>
        <v>0</v>
      </c>
      <c r="W9" s="1062">
        <v>750</v>
      </c>
      <c r="X9" s="1077">
        <f>-V9+N9+O9+P9+W9</f>
        <v>5680</v>
      </c>
      <c r="Y9" s="324"/>
      <c r="Z9" s="324">
        <v>0</v>
      </c>
      <c r="AA9" s="324">
        <v>0</v>
      </c>
      <c r="AB9" s="355">
        <f t="shared" ref="AB9:AB14" si="8">X9+Y9-AA9-Z9</f>
        <v>5680</v>
      </c>
      <c r="AC9" s="325"/>
      <c r="AD9" s="325">
        <v>0.155</v>
      </c>
      <c r="AE9" s="325">
        <f t="shared" ref="AE9:AE14" si="9">Q9-P9</f>
        <v>4519.166666666667</v>
      </c>
    </row>
    <row r="10" spans="1:35" s="326" customFormat="1" ht="85.2" hidden="1" customHeight="1" thickTop="1" thickBot="1" x14ac:dyDescent="0.25">
      <c r="A10" s="986">
        <v>2</v>
      </c>
      <c r="B10" s="987">
        <v>1</v>
      </c>
      <c r="C10" s="988"/>
      <c r="D10" s="633" t="s">
        <v>494</v>
      </c>
      <c r="E10" s="211" t="s">
        <v>188</v>
      </c>
      <c r="F10" s="352" t="s">
        <v>434</v>
      </c>
      <c r="G10" s="216">
        <v>350</v>
      </c>
      <c r="H10" s="1059">
        <v>10500</v>
      </c>
      <c r="I10" s="1059">
        <f t="shared" si="0"/>
        <v>0</v>
      </c>
      <c r="J10" s="1063">
        <v>0</v>
      </c>
      <c r="K10" s="1060">
        <f t="shared" si="1"/>
        <v>0</v>
      </c>
      <c r="L10" s="1061">
        <f t="shared" si="2"/>
        <v>210</v>
      </c>
      <c r="M10" s="1060">
        <v>0</v>
      </c>
      <c r="N10" s="1056">
        <f t="shared" si="3"/>
        <v>0</v>
      </c>
      <c r="O10" s="1056">
        <f t="shared" si="4"/>
        <v>0</v>
      </c>
      <c r="P10" s="1056">
        <f t="shared" si="5"/>
        <v>0</v>
      </c>
      <c r="Q10" s="1059">
        <f t="shared" si="6"/>
        <v>0</v>
      </c>
      <c r="R10" s="1059">
        <f t="shared" ref="R10:R14" si="10">N10+O10</f>
        <v>0</v>
      </c>
      <c r="S10" s="1059"/>
      <c r="T10" s="1059">
        <v>0</v>
      </c>
      <c r="U10" s="1059"/>
      <c r="V10" s="1056">
        <f t="shared" si="7"/>
        <v>0</v>
      </c>
      <c r="W10" s="1062">
        <v>0</v>
      </c>
      <c r="X10" s="1077">
        <f>-V10+N10+O10+P10+W10</f>
        <v>0</v>
      </c>
      <c r="Y10" s="324"/>
      <c r="Z10" s="324">
        <v>0</v>
      </c>
      <c r="AA10" s="324">
        <v>0</v>
      </c>
      <c r="AB10" s="355">
        <f t="shared" si="8"/>
        <v>0</v>
      </c>
      <c r="AC10" s="325"/>
      <c r="AD10" s="325">
        <v>0.155</v>
      </c>
      <c r="AE10" s="325">
        <f t="shared" si="9"/>
        <v>0</v>
      </c>
    </row>
    <row r="11" spans="1:35" s="326" customFormat="1" ht="85.2" customHeight="1" thickTop="1" thickBot="1" x14ac:dyDescent="0.25">
      <c r="A11" s="319">
        <v>2</v>
      </c>
      <c r="B11" s="987">
        <v>1</v>
      </c>
      <c r="C11" s="988"/>
      <c r="D11" s="633" t="s">
        <v>338</v>
      </c>
      <c r="E11" s="211" t="s">
        <v>32</v>
      </c>
      <c r="F11" s="352" t="s">
        <v>434</v>
      </c>
      <c r="G11" s="216">
        <v>300</v>
      </c>
      <c r="H11" s="1059">
        <v>9000</v>
      </c>
      <c r="I11" s="1059">
        <f t="shared" si="0"/>
        <v>4800</v>
      </c>
      <c r="J11" s="1063">
        <v>16</v>
      </c>
      <c r="K11" s="1060">
        <f t="shared" si="1"/>
        <v>0</v>
      </c>
      <c r="L11" s="1061">
        <f t="shared" si="2"/>
        <v>180</v>
      </c>
      <c r="M11" s="1060">
        <v>0</v>
      </c>
      <c r="N11" s="1056">
        <f t="shared" si="3"/>
        <v>4000</v>
      </c>
      <c r="O11" s="1056">
        <f t="shared" si="4"/>
        <v>400</v>
      </c>
      <c r="P11" s="1056">
        <f t="shared" si="5"/>
        <v>400</v>
      </c>
      <c r="Q11" s="1059">
        <f t="shared" si="6"/>
        <v>4800</v>
      </c>
      <c r="R11" s="1059">
        <f t="shared" si="10"/>
        <v>4400</v>
      </c>
      <c r="S11" s="1059"/>
      <c r="T11" s="1059"/>
      <c r="U11" s="1059"/>
      <c r="V11" s="1056">
        <f t="shared" si="7"/>
        <v>0</v>
      </c>
      <c r="W11" s="1062">
        <v>0</v>
      </c>
      <c r="X11" s="1077">
        <f>-V11+N11+O11+P11+W11</f>
        <v>4800</v>
      </c>
      <c r="Y11" s="324"/>
      <c r="Z11" s="324">
        <v>0</v>
      </c>
      <c r="AA11" s="324">
        <v>0</v>
      </c>
      <c r="AB11" s="355">
        <f t="shared" si="8"/>
        <v>4800</v>
      </c>
      <c r="AC11" s="325"/>
      <c r="AD11" s="325">
        <v>0.155</v>
      </c>
      <c r="AE11" s="325">
        <f t="shared" si="9"/>
        <v>4400</v>
      </c>
    </row>
    <row r="12" spans="1:35" s="326" customFormat="1" ht="85.2" hidden="1" customHeight="1" thickTop="1" thickBot="1" x14ac:dyDescent="0.25">
      <c r="A12" s="319">
        <v>2</v>
      </c>
      <c r="B12" s="320">
        <v>1</v>
      </c>
      <c r="C12" s="334"/>
      <c r="D12" s="633" t="s">
        <v>338</v>
      </c>
      <c r="E12" s="211" t="s">
        <v>32</v>
      </c>
      <c r="F12" s="352" t="s">
        <v>204</v>
      </c>
      <c r="G12" s="216">
        <v>0</v>
      </c>
      <c r="H12" s="1059">
        <v>7500</v>
      </c>
      <c r="I12" s="1059">
        <f t="shared" si="0"/>
        <v>0</v>
      </c>
      <c r="J12" s="1063">
        <v>0</v>
      </c>
      <c r="K12" s="1060">
        <f t="shared" si="1"/>
        <v>0</v>
      </c>
      <c r="L12" s="1061">
        <f t="shared" si="2"/>
        <v>0</v>
      </c>
      <c r="M12" s="1060">
        <v>0</v>
      </c>
      <c r="N12" s="1056">
        <f t="shared" si="3"/>
        <v>0</v>
      </c>
      <c r="O12" s="1056">
        <f t="shared" si="4"/>
        <v>0</v>
      </c>
      <c r="P12" s="1056">
        <f t="shared" si="5"/>
        <v>0</v>
      </c>
      <c r="Q12" s="1059">
        <f t="shared" si="6"/>
        <v>0</v>
      </c>
      <c r="R12" s="1059">
        <f t="shared" si="10"/>
        <v>0</v>
      </c>
      <c r="S12" s="1059"/>
      <c r="T12" s="1059"/>
      <c r="U12" s="1059"/>
      <c r="V12" s="1056">
        <f t="shared" si="7"/>
        <v>0</v>
      </c>
      <c r="W12" s="1062"/>
      <c r="X12" s="1077">
        <f>-V12+N12+O12+P12</f>
        <v>0</v>
      </c>
      <c r="Y12" s="324">
        <v>0</v>
      </c>
      <c r="Z12" s="324">
        <v>0</v>
      </c>
      <c r="AA12" s="324">
        <v>0</v>
      </c>
      <c r="AB12" s="355">
        <f t="shared" si="8"/>
        <v>0</v>
      </c>
      <c r="AC12" s="325"/>
      <c r="AD12" s="325">
        <v>0.155</v>
      </c>
      <c r="AE12" s="325">
        <f t="shared" si="9"/>
        <v>0</v>
      </c>
    </row>
    <row r="13" spans="1:35" s="326" customFormat="1" ht="85.2" hidden="1" customHeight="1" thickTop="1" thickBot="1" x14ac:dyDescent="0.25">
      <c r="A13" s="319">
        <v>3</v>
      </c>
      <c r="B13" s="987">
        <v>1</v>
      </c>
      <c r="C13" s="988"/>
      <c r="D13" s="633" t="s">
        <v>492</v>
      </c>
      <c r="E13" s="211" t="s">
        <v>188</v>
      </c>
      <c r="F13" s="352" t="s">
        <v>204</v>
      </c>
      <c r="G13" s="216">
        <v>350</v>
      </c>
      <c r="H13" s="1059">
        <v>10500</v>
      </c>
      <c r="I13" s="1059">
        <f t="shared" si="0"/>
        <v>0</v>
      </c>
      <c r="J13" s="1063">
        <v>0</v>
      </c>
      <c r="K13" s="1060">
        <f t="shared" si="1"/>
        <v>0</v>
      </c>
      <c r="L13" s="1061">
        <f t="shared" si="2"/>
        <v>210</v>
      </c>
      <c r="M13" s="1060">
        <v>0</v>
      </c>
      <c r="N13" s="1056">
        <f t="shared" si="3"/>
        <v>0</v>
      </c>
      <c r="O13" s="1056">
        <f t="shared" si="4"/>
        <v>0</v>
      </c>
      <c r="P13" s="1056">
        <f t="shared" si="5"/>
        <v>0</v>
      </c>
      <c r="Q13" s="1059">
        <f t="shared" si="6"/>
        <v>0</v>
      </c>
      <c r="R13" s="1059">
        <f t="shared" si="10"/>
        <v>0</v>
      </c>
      <c r="S13" s="1059"/>
      <c r="T13" s="1059"/>
      <c r="U13" s="1059"/>
      <c r="V13" s="1056">
        <f t="shared" si="7"/>
        <v>0</v>
      </c>
      <c r="W13" s="1056"/>
      <c r="X13" s="1077">
        <f>-V13+N13+O13+P13</f>
        <v>0</v>
      </c>
      <c r="Y13" s="324">
        <v>0</v>
      </c>
      <c r="Z13" s="324">
        <v>0</v>
      </c>
      <c r="AA13" s="324">
        <v>0</v>
      </c>
      <c r="AB13" s="355">
        <f t="shared" si="8"/>
        <v>0</v>
      </c>
      <c r="AC13" s="325"/>
      <c r="AD13" s="325">
        <v>0.155</v>
      </c>
      <c r="AE13" s="325">
        <f t="shared" si="9"/>
        <v>0</v>
      </c>
    </row>
    <row r="14" spans="1:35" s="326" customFormat="1" ht="85.2" hidden="1" customHeight="1" thickTop="1" thickBot="1" x14ac:dyDescent="0.25">
      <c r="A14" s="319">
        <v>3</v>
      </c>
      <c r="B14" s="987">
        <v>1</v>
      </c>
      <c r="C14" s="988"/>
      <c r="D14" s="633" t="s">
        <v>493</v>
      </c>
      <c r="E14" s="211" t="s">
        <v>188</v>
      </c>
      <c r="F14" s="352" t="s">
        <v>204</v>
      </c>
      <c r="G14" s="216">
        <v>0</v>
      </c>
      <c r="H14" s="1059">
        <v>0</v>
      </c>
      <c r="I14" s="1059">
        <v>0</v>
      </c>
      <c r="J14" s="1063">
        <v>0</v>
      </c>
      <c r="K14" s="1060">
        <f t="shared" si="1"/>
        <v>0</v>
      </c>
      <c r="L14" s="1061">
        <f t="shared" si="2"/>
        <v>0</v>
      </c>
      <c r="M14" s="1060">
        <v>0</v>
      </c>
      <c r="N14" s="1056">
        <f t="shared" si="3"/>
        <v>0</v>
      </c>
      <c r="O14" s="1056">
        <f t="shared" si="4"/>
        <v>0</v>
      </c>
      <c r="P14" s="1056">
        <f t="shared" si="5"/>
        <v>0</v>
      </c>
      <c r="Q14" s="1059">
        <f t="shared" si="6"/>
        <v>0</v>
      </c>
      <c r="R14" s="1059">
        <f t="shared" si="10"/>
        <v>0</v>
      </c>
      <c r="S14" s="1059"/>
      <c r="T14" s="1059"/>
      <c r="U14" s="1059"/>
      <c r="V14" s="1056">
        <f t="shared" si="7"/>
        <v>0</v>
      </c>
      <c r="W14" s="1056">
        <v>0</v>
      </c>
      <c r="X14" s="1077">
        <f>-V14+N14+O14+P14</f>
        <v>0</v>
      </c>
      <c r="Y14" s="324">
        <v>0</v>
      </c>
      <c r="Z14" s="324">
        <v>0</v>
      </c>
      <c r="AA14" s="324">
        <v>0</v>
      </c>
      <c r="AB14" s="355">
        <f t="shared" si="8"/>
        <v>0</v>
      </c>
      <c r="AC14" s="325"/>
      <c r="AD14" s="325">
        <v>0.155</v>
      </c>
      <c r="AE14" s="325">
        <f t="shared" si="9"/>
        <v>0</v>
      </c>
    </row>
    <row r="15" spans="1:35" s="7" customFormat="1" ht="75" customHeight="1" thickTop="1" thickBot="1" x14ac:dyDescent="0.25">
      <c r="A15" s="1493" t="s">
        <v>95</v>
      </c>
      <c r="B15" s="1494"/>
      <c r="C15" s="1494"/>
      <c r="D15" s="1495"/>
      <c r="E15" s="211"/>
      <c r="F15" s="210"/>
      <c r="G15" s="86">
        <v>0</v>
      </c>
      <c r="H15" s="86">
        <f>+H11</f>
        <v>9000</v>
      </c>
      <c r="I15" s="86">
        <f>+I11</f>
        <v>4800</v>
      </c>
      <c r="J15" s="86">
        <f>+J11</f>
        <v>16</v>
      </c>
      <c r="K15" s="86" t="e">
        <f>SUM(#REF!)</f>
        <v>#REF!</v>
      </c>
      <c r="L15" s="86" t="e">
        <f>SUM(#REF!)</f>
        <v>#REF!</v>
      </c>
      <c r="M15" s="86" t="e">
        <f>SUM(#REF!)</f>
        <v>#REF!</v>
      </c>
      <c r="N15" s="86">
        <f t="shared" ref="N15:V15" si="11">SUM(N11:N14)</f>
        <v>4000</v>
      </c>
      <c r="O15" s="86">
        <f t="shared" si="11"/>
        <v>400</v>
      </c>
      <c r="P15" s="86">
        <f t="shared" si="11"/>
        <v>400</v>
      </c>
      <c r="Q15" s="86">
        <f>SUM(Q9:Q14)</f>
        <v>9730</v>
      </c>
      <c r="R15" s="86">
        <f t="shared" si="11"/>
        <v>4400</v>
      </c>
      <c r="S15" s="86">
        <f t="shared" si="11"/>
        <v>0</v>
      </c>
      <c r="T15" s="86">
        <f t="shared" si="11"/>
        <v>0</v>
      </c>
      <c r="U15" s="86">
        <f t="shared" si="11"/>
        <v>0</v>
      </c>
      <c r="V15" s="86">
        <f t="shared" si="11"/>
        <v>0</v>
      </c>
      <c r="W15" s="86">
        <f>SUM(W9:W14)</f>
        <v>750</v>
      </c>
      <c r="X15" s="1078">
        <f>SUM(X9:X14)</f>
        <v>10480</v>
      </c>
      <c r="Y15" s="725">
        <f>SUM(Y11:Y14)</f>
        <v>0</v>
      </c>
      <c r="Z15" s="725">
        <f>SUM(Z11:Z14)</f>
        <v>0</v>
      </c>
      <c r="AA15" s="725">
        <f>SUM(AA11:AA14)</f>
        <v>0</v>
      </c>
      <c r="AB15" s="317">
        <f>SUM(AB9:AB14)</f>
        <v>10480</v>
      </c>
      <c r="AC15" s="87" t="s">
        <v>105</v>
      </c>
      <c r="AD15" s="86" t="e">
        <f>SUM(#REF!)</f>
        <v>#REF!</v>
      </c>
      <c r="AE15" s="86" t="e">
        <f>SUM(#REF!)</f>
        <v>#REF!</v>
      </c>
    </row>
    <row r="16" spans="1:35" s="14" customFormat="1" ht="19.5" customHeight="1" thickTop="1" x14ac:dyDescent="0.2">
      <c r="A16" s="27"/>
      <c r="B16" s="27"/>
      <c r="C16" s="27"/>
      <c r="D16" s="27"/>
      <c r="E16" s="27"/>
      <c r="F16" s="28"/>
      <c r="G16" s="28"/>
      <c r="H16" s="27"/>
      <c r="I16" s="27"/>
      <c r="J16" s="29"/>
      <c r="K16" s="29"/>
      <c r="L16" s="29"/>
      <c r="M16" s="29"/>
      <c r="N16" s="27" t="s">
        <v>5</v>
      </c>
      <c r="O16" s="27"/>
      <c r="P16" s="27"/>
      <c r="Q16" s="27"/>
      <c r="R16" s="27"/>
      <c r="S16" s="27"/>
      <c r="T16" s="27"/>
      <c r="U16" s="61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spans="1:31" s="14" customFormat="1" ht="19.5" customHeight="1" x14ac:dyDescent="0.2">
      <c r="A17" s="27"/>
      <c r="B17" s="27"/>
      <c r="C17" s="27"/>
      <c r="D17" s="27"/>
      <c r="E17" s="27"/>
      <c r="F17" s="28"/>
      <c r="G17" s="28"/>
      <c r="H17" s="27"/>
      <c r="I17" s="27"/>
      <c r="J17" s="29"/>
      <c r="K17" s="29"/>
      <c r="L17" s="29"/>
      <c r="M17" s="29"/>
      <c r="N17" s="27"/>
      <c r="O17" s="27"/>
      <c r="P17" s="27"/>
      <c r="Q17" s="27"/>
      <c r="R17" s="27"/>
      <c r="S17" s="27"/>
      <c r="T17" s="27"/>
      <c r="U17" s="61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 spans="1:31" s="14" customFormat="1" ht="19.5" customHeight="1" x14ac:dyDescent="0.2">
      <c r="A18" s="27"/>
      <c r="B18" s="27"/>
      <c r="C18" s="27"/>
      <c r="D18" s="27"/>
      <c r="E18" s="27"/>
      <c r="F18" s="28"/>
      <c r="G18" s="28"/>
      <c r="H18" s="27"/>
      <c r="I18" s="27"/>
      <c r="J18" s="29"/>
      <c r="K18" s="29"/>
      <c r="L18" s="29"/>
      <c r="M18" s="29"/>
      <c r="N18" s="27"/>
      <c r="O18" s="27"/>
      <c r="P18" s="27"/>
      <c r="Q18" s="27"/>
      <c r="R18" s="27"/>
      <c r="S18" s="27"/>
      <c r="T18" s="27"/>
      <c r="U18" s="617"/>
      <c r="V18" s="27"/>
      <c r="W18" s="27"/>
      <c r="X18" s="27"/>
      <c r="Y18" s="27"/>
      <c r="Z18" s="27"/>
      <c r="AA18" s="27"/>
      <c r="AB18" s="27"/>
      <c r="AC18" s="27"/>
      <c r="AD18" s="27"/>
      <c r="AE18" s="27"/>
    </row>
    <row r="19" spans="1:31" s="14" customFormat="1" ht="19.5" customHeight="1" x14ac:dyDescent="0.2">
      <c r="A19" s="27"/>
      <c r="B19" s="27"/>
      <c r="C19" s="27"/>
      <c r="D19" s="27"/>
      <c r="E19" s="27"/>
      <c r="F19" s="28"/>
      <c r="G19" s="67"/>
      <c r="H19" s="338"/>
      <c r="I19" s="27"/>
      <c r="J19" s="29"/>
      <c r="K19" s="29"/>
      <c r="L19" s="29"/>
      <c r="M19" s="29"/>
      <c r="N19" s="27"/>
      <c r="O19" s="27"/>
      <c r="P19" s="27"/>
      <c r="Q19" s="27"/>
      <c r="R19" s="27"/>
      <c r="S19" s="27"/>
      <c r="T19" s="27"/>
      <c r="U19" s="617"/>
      <c r="V19" s="27"/>
      <c r="W19" s="27"/>
      <c r="X19" s="27"/>
      <c r="Y19" s="27"/>
      <c r="Z19" s="27"/>
      <c r="AA19" s="27"/>
      <c r="AB19" s="27"/>
      <c r="AC19" s="27"/>
      <c r="AD19" s="27"/>
      <c r="AE19" s="27"/>
    </row>
    <row r="20" spans="1:31" s="11" customFormat="1" x14ac:dyDescent="0.2">
      <c r="A20" s="27"/>
      <c r="B20" s="27"/>
      <c r="C20" s="27"/>
      <c r="D20" s="27"/>
      <c r="E20" s="27"/>
      <c r="F20" s="28"/>
      <c r="G20" s="28"/>
      <c r="H20" s="27"/>
      <c r="I20" s="27"/>
      <c r="J20" s="29"/>
      <c r="K20" s="29"/>
      <c r="L20" s="29"/>
      <c r="M20" s="29"/>
      <c r="N20" s="27"/>
      <c r="O20" s="27"/>
      <c r="P20" s="27"/>
      <c r="Q20" s="27"/>
      <c r="R20" s="27"/>
      <c r="S20" s="27"/>
      <c r="T20" s="27"/>
      <c r="U20" s="617"/>
      <c r="V20" s="27"/>
      <c r="W20" s="27"/>
      <c r="X20" s="27"/>
      <c r="Y20" s="27"/>
      <c r="Z20" s="27"/>
      <c r="AA20" s="27"/>
      <c r="AB20" s="27"/>
      <c r="AC20" s="27"/>
      <c r="AD20" s="27"/>
      <c r="AE20" s="27"/>
    </row>
    <row r="21" spans="1:31" s="11" customFormat="1" x14ac:dyDescent="0.2">
      <c r="A21" s="30"/>
      <c r="B21" s="27"/>
      <c r="C21" s="30"/>
      <c r="D21" s="27"/>
      <c r="E21" s="27"/>
      <c r="F21" s="28"/>
      <c r="G21" s="28"/>
      <c r="H21" s="27"/>
      <c r="I21" s="27"/>
      <c r="J21" s="29"/>
      <c r="K21" s="29"/>
      <c r="L21" s="29"/>
      <c r="M21" s="29"/>
      <c r="N21" s="30"/>
      <c r="O21" s="30"/>
      <c r="P21" s="30"/>
      <c r="Q21" s="27"/>
      <c r="R21" s="27"/>
      <c r="S21" s="27"/>
      <c r="T21" s="27"/>
      <c r="U21" s="669"/>
      <c r="V21" s="27"/>
      <c r="W21" s="27"/>
      <c r="X21" s="27"/>
      <c r="Y21" s="27"/>
      <c r="Z21" s="27"/>
      <c r="AA21" s="27"/>
      <c r="AB21" s="30"/>
      <c r="AC21" s="27"/>
      <c r="AD21" s="27"/>
      <c r="AE21" s="27"/>
    </row>
    <row r="22" spans="1:31" s="11" customFormat="1" x14ac:dyDescent="0.2">
      <c r="A22" s="30"/>
      <c r="B22" s="27"/>
      <c r="C22" s="30"/>
      <c r="D22" s="27"/>
      <c r="E22" s="27"/>
      <c r="F22" s="28"/>
      <c r="G22" s="28"/>
      <c r="H22" s="27"/>
      <c r="I22" s="27"/>
      <c r="J22" s="29"/>
      <c r="K22" s="29"/>
      <c r="L22" s="29"/>
      <c r="M22" s="29"/>
      <c r="N22" s="30"/>
      <c r="O22" s="30"/>
      <c r="P22" s="30"/>
      <c r="Q22" s="27"/>
      <c r="R22" s="27"/>
      <c r="S22" s="27"/>
      <c r="T22" s="27"/>
      <c r="U22" s="670"/>
      <c r="V22" s="27"/>
      <c r="W22" s="27"/>
      <c r="X22" s="27"/>
      <c r="Y22" s="27"/>
      <c r="Z22" s="27"/>
      <c r="AA22" s="27"/>
      <c r="AB22" s="30"/>
      <c r="AC22" s="27"/>
      <c r="AD22" s="27"/>
      <c r="AE22" s="27"/>
    </row>
    <row r="23" spans="1:31" s="11" customFormat="1" x14ac:dyDescent="0.2">
      <c r="A23" s="30"/>
      <c r="B23" s="27"/>
      <c r="C23" s="1165"/>
      <c r="D23" s="1165"/>
      <c r="E23" s="1165"/>
      <c r="F23" s="1165"/>
      <c r="G23" s="49"/>
      <c r="H23" s="27"/>
      <c r="I23" s="27"/>
      <c r="J23" s="538"/>
      <c r="K23" s="538"/>
      <c r="L23" s="538"/>
      <c r="M23" s="538"/>
      <c r="N23" s="538"/>
      <c r="O23" s="536"/>
      <c r="P23" s="536"/>
      <c r="Q23" s="536"/>
      <c r="R23" s="536"/>
      <c r="S23" s="536"/>
      <c r="T23" s="538"/>
      <c r="U23" s="673"/>
      <c r="V23" s="538"/>
      <c r="W23" s="538"/>
      <c r="X23" s="29"/>
      <c r="Y23" s="27"/>
      <c r="Z23" s="27"/>
      <c r="AA23" s="27"/>
      <c r="AB23" s="1165"/>
      <c r="AC23" s="1165"/>
      <c r="AD23" s="1165"/>
      <c r="AE23" s="1165"/>
    </row>
    <row r="24" spans="1:31" s="11" customFormat="1" ht="13.5" customHeight="1" x14ac:dyDescent="0.2">
      <c r="A24" s="27"/>
      <c r="B24" s="27"/>
      <c r="C24" s="1167" t="s">
        <v>23</v>
      </c>
      <c r="D24" s="1167"/>
      <c r="E24" s="1167"/>
      <c r="F24" s="1167"/>
      <c r="G24" s="52"/>
      <c r="H24" s="27"/>
      <c r="I24" s="27"/>
      <c r="J24" s="1160" t="s">
        <v>24</v>
      </c>
      <c r="K24" s="1160"/>
      <c r="L24" s="1160"/>
      <c r="M24" s="1160"/>
      <c r="N24" s="1160"/>
      <c r="O24" s="1160"/>
      <c r="P24" s="1160"/>
      <c r="Q24" s="1160"/>
      <c r="R24" s="1160"/>
      <c r="S24" s="1160"/>
      <c r="T24" s="1160"/>
      <c r="U24" s="1160"/>
      <c r="V24" s="1160"/>
      <c r="W24" s="52"/>
      <c r="X24" s="52"/>
      <c r="Y24" s="27"/>
      <c r="Z24" s="27"/>
      <c r="AA24" s="27"/>
      <c r="AB24" s="1167" t="s">
        <v>25</v>
      </c>
      <c r="AC24" s="1167"/>
      <c r="AD24" s="1167"/>
      <c r="AE24" s="1167"/>
    </row>
    <row r="25" spans="1:31" s="11" customFormat="1" x14ac:dyDescent="0.2">
      <c r="A25" s="30"/>
      <c r="B25" s="27"/>
      <c r="C25" s="1159" t="str">
        <f>+'ADMON COM. '!C50:F50</f>
        <v>Jose Martin Conrrado</v>
      </c>
      <c r="D25" s="1159"/>
      <c r="E25" s="1159"/>
      <c r="F25" s="1159"/>
      <c r="G25" s="1159"/>
      <c r="H25" s="27"/>
      <c r="I25" s="30"/>
      <c r="J25" s="1159" t="s">
        <v>350</v>
      </c>
      <c r="K25" s="1159"/>
      <c r="L25" s="1159"/>
      <c r="M25" s="1159"/>
      <c r="N25" s="1159"/>
      <c r="O25" s="1159"/>
      <c r="P25" s="1159"/>
      <c r="Q25" s="1159"/>
      <c r="R25" s="1159"/>
      <c r="S25" s="1159"/>
      <c r="T25" s="1159"/>
      <c r="U25" s="1159"/>
      <c r="V25" s="1159"/>
      <c r="W25" s="48"/>
      <c r="X25" s="48"/>
      <c r="Y25" s="33"/>
      <c r="Z25" s="33"/>
      <c r="AA25" s="33"/>
      <c r="AB25" s="1160" t="s">
        <v>496</v>
      </c>
      <c r="AC25" s="1160"/>
      <c r="AD25" s="1160"/>
      <c r="AE25" s="1160"/>
    </row>
    <row r="26" spans="1:31" s="11" customFormat="1" x14ac:dyDescent="0.2">
      <c r="A26" s="8"/>
      <c r="B26" s="8"/>
      <c r="C26" s="1161"/>
      <c r="D26" s="1161"/>
      <c r="E26" s="25"/>
      <c r="F26" s="25"/>
      <c r="G26" s="25"/>
      <c r="H26" s="8"/>
      <c r="I26" s="8"/>
      <c r="J26" s="9"/>
      <c r="K26" s="9"/>
      <c r="L26" s="9"/>
      <c r="M26" s="9"/>
      <c r="N26" s="1161"/>
      <c r="O26" s="1161"/>
      <c r="P26" s="1161"/>
      <c r="Q26" s="1161"/>
      <c r="R26" s="1161"/>
      <c r="S26" s="1161"/>
      <c r="T26" s="1161"/>
      <c r="U26" s="671"/>
      <c r="V26" s="25"/>
      <c r="W26" s="25"/>
      <c r="X26" s="25"/>
      <c r="Y26" s="25"/>
      <c r="Z26" s="25"/>
      <c r="AA26" s="25"/>
      <c r="AB26" s="8"/>
      <c r="AC26" s="8"/>
      <c r="AD26" s="8"/>
      <c r="AE26" s="8"/>
    </row>
    <row r="27" spans="1:31" x14ac:dyDescent="0.2">
      <c r="A27" s="3"/>
      <c r="B27" s="3"/>
      <c r="C27" s="3"/>
      <c r="D27" s="3"/>
      <c r="E27" s="3"/>
      <c r="F27" s="4"/>
      <c r="G27" s="685"/>
      <c r="H27" s="3"/>
      <c r="I27" s="3"/>
      <c r="J27" s="2"/>
      <c r="K27" s="2"/>
      <c r="L27" s="2"/>
      <c r="M27" s="2"/>
      <c r="N27" s="3"/>
      <c r="O27" s="3"/>
      <c r="P27" s="3"/>
      <c r="Q27" s="3"/>
      <c r="R27" s="3"/>
      <c r="S27" s="3"/>
      <c r="T27" s="3"/>
      <c r="U27" s="618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2">
      <c r="A28" s="3"/>
      <c r="B28" s="3"/>
      <c r="C28" s="3"/>
      <c r="D28" s="3"/>
      <c r="E28" s="3"/>
      <c r="F28" s="4"/>
      <c r="G28" s="685"/>
      <c r="H28" s="3"/>
      <c r="I28" s="3"/>
      <c r="J28" s="2"/>
      <c r="K28" s="2"/>
      <c r="L28" s="2"/>
      <c r="M28" s="2"/>
      <c r="N28" s="3"/>
      <c r="O28" s="3"/>
      <c r="P28" s="3"/>
      <c r="Q28" s="3"/>
      <c r="R28" s="3"/>
      <c r="S28" s="3"/>
      <c r="T28" s="3"/>
      <c r="U28" s="618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2">
      <c r="A29" s="3"/>
      <c r="B29" s="3"/>
      <c r="C29" s="3"/>
      <c r="D29" s="3"/>
      <c r="E29" s="3"/>
      <c r="F29" s="4"/>
      <c r="G29" s="685"/>
      <c r="H29" s="3"/>
      <c r="I29" s="3"/>
      <c r="J29" s="2"/>
      <c r="K29" s="2"/>
      <c r="L29" s="2"/>
      <c r="M29" s="2"/>
      <c r="N29" s="3"/>
      <c r="O29" s="3"/>
      <c r="P29" s="3"/>
      <c r="Q29" s="3"/>
      <c r="R29" s="3"/>
      <c r="S29" s="3"/>
      <c r="T29" s="3"/>
      <c r="U29" s="618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31" x14ac:dyDescent="0.2">
      <c r="A30" s="3"/>
      <c r="B30" s="3"/>
      <c r="C30" s="3"/>
      <c r="D30" s="3"/>
      <c r="E30" s="3"/>
      <c r="F30" s="4"/>
      <c r="G30" s="574"/>
      <c r="H30" s="3"/>
      <c r="I30" s="3"/>
      <c r="J30" s="2"/>
      <c r="K30" s="2"/>
      <c r="L30" s="2"/>
      <c r="M30" s="2"/>
      <c r="N30" s="3"/>
      <c r="O30" s="3"/>
      <c r="P30" s="3"/>
      <c r="Q30" s="3"/>
      <c r="R30" s="3"/>
      <c r="S30" s="3"/>
      <c r="T30" s="3"/>
      <c r="U30" s="618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spans="1:31" x14ac:dyDescent="0.2">
      <c r="A31" s="3"/>
      <c r="B31" s="3"/>
      <c r="C31" s="3"/>
      <c r="D31" s="3"/>
      <c r="E31" s="3"/>
      <c r="F31" s="4"/>
      <c r="G31" s="574"/>
      <c r="H31" s="3"/>
      <c r="I31" s="3"/>
      <c r="J31" s="2"/>
      <c r="K31" s="2"/>
      <c r="L31" s="2"/>
      <c r="M31" s="2"/>
      <c r="N31" s="3"/>
      <c r="O31" s="3"/>
      <c r="P31" s="3"/>
      <c r="Q31" s="3"/>
      <c r="R31" s="3"/>
      <c r="S31" s="3"/>
      <c r="T31" s="3"/>
      <c r="U31" s="618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2">
      <c r="A32" s="3"/>
      <c r="B32" s="3"/>
      <c r="C32" s="3"/>
      <c r="D32" s="3"/>
      <c r="E32" s="3"/>
      <c r="F32" s="4"/>
      <c r="G32" s="574"/>
      <c r="H32" s="3"/>
      <c r="I32" s="3"/>
      <c r="J32" s="2"/>
      <c r="K32" s="2"/>
      <c r="L32" s="2"/>
      <c r="M32" s="2"/>
      <c r="N32" s="3"/>
      <c r="O32" s="3"/>
      <c r="P32" s="3"/>
      <c r="Q32" s="3"/>
      <c r="R32" s="3"/>
      <c r="S32" s="3"/>
      <c r="T32" s="3"/>
      <c r="U32" s="618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43" spans="1:31" x14ac:dyDescent="0.2">
      <c r="A43" s="3"/>
      <c r="B43" s="3"/>
      <c r="C43" s="3"/>
      <c r="D43" s="3"/>
      <c r="E43" s="3"/>
      <c r="F43" s="4"/>
      <c r="G43" s="574"/>
      <c r="H43" s="3"/>
      <c r="I43" s="3"/>
      <c r="J43" s="2"/>
      <c r="K43" s="2"/>
      <c r="L43" s="2"/>
      <c r="M43" s="2"/>
      <c r="N43" s="3"/>
      <c r="O43" s="3"/>
      <c r="P43" s="3"/>
      <c r="Q43" s="3"/>
      <c r="R43" s="3"/>
      <c r="S43" s="3"/>
      <c r="T43" s="3"/>
      <c r="U43" s="618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2">
      <c r="A44" s="3"/>
      <c r="B44" s="3"/>
      <c r="C44" s="3"/>
      <c r="D44" s="3"/>
      <c r="E44" s="3"/>
      <c r="F44" s="4"/>
      <c r="G44" s="574"/>
      <c r="H44" s="3"/>
      <c r="I44" s="3"/>
      <c r="J44" s="2"/>
      <c r="K44" s="2"/>
      <c r="L44" s="2"/>
      <c r="M44" s="2"/>
      <c r="N44" s="3"/>
      <c r="O44" s="3"/>
      <c r="P44" s="3"/>
      <c r="Q44" s="3"/>
      <c r="R44" s="3"/>
      <c r="S44" s="3"/>
      <c r="T44" s="3"/>
      <c r="U44" s="618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spans="1:31" x14ac:dyDescent="0.2">
      <c r="A45" s="3"/>
      <c r="B45" s="3"/>
      <c r="C45" s="3"/>
      <c r="D45" s="3"/>
      <c r="E45" s="3"/>
      <c r="F45" s="4"/>
      <c r="G45" s="574"/>
      <c r="H45" s="3"/>
      <c r="I45" s="3"/>
      <c r="J45" s="2"/>
      <c r="K45" s="2"/>
      <c r="L45" s="2"/>
      <c r="M45" s="2"/>
      <c r="N45" s="3"/>
      <c r="O45" s="3"/>
      <c r="P45" s="3"/>
      <c r="Q45" s="3"/>
      <c r="R45" s="3"/>
      <c r="S45" s="3"/>
      <c r="T45" s="3"/>
      <c r="U45" s="618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spans="1:31" x14ac:dyDescent="0.2">
      <c r="A46" s="3"/>
      <c r="B46" s="3"/>
      <c r="C46" s="3"/>
      <c r="D46" s="3"/>
      <c r="E46" s="3"/>
      <c r="F46" s="4"/>
      <c r="G46" s="574"/>
      <c r="H46" s="3"/>
      <c r="I46" s="3"/>
      <c r="J46" s="2"/>
      <c r="K46" s="2"/>
      <c r="L46" s="2"/>
      <c r="M46" s="2"/>
      <c r="N46" s="3"/>
      <c r="O46" s="3"/>
      <c r="P46" s="3"/>
      <c r="Q46" s="3"/>
      <c r="R46" s="3"/>
      <c r="S46" s="3"/>
      <c r="T46" s="3"/>
      <c r="U46" s="618"/>
      <c r="V46" s="3"/>
      <c r="W46" s="3"/>
      <c r="X46" s="3"/>
      <c r="Y46" s="3"/>
      <c r="Z46" s="3"/>
      <c r="AA46" s="3"/>
      <c r="AB46" s="3"/>
      <c r="AC46" s="3"/>
      <c r="AD46" s="3"/>
      <c r="AE46" s="3"/>
    </row>
  </sheetData>
  <mergeCells count="46">
    <mergeCell ref="Q6:V6"/>
    <mergeCell ref="X6:X8"/>
    <mergeCell ref="I7:I8"/>
    <mergeCell ref="AD6:AD8"/>
    <mergeCell ref="U7:U8"/>
    <mergeCell ref="V7:V8"/>
    <mergeCell ref="AA6:AA8"/>
    <mergeCell ref="AB6:AB8"/>
    <mergeCell ref="T7:T8"/>
    <mergeCell ref="Y6:Y8"/>
    <mergeCell ref="AC6:AC8"/>
    <mergeCell ref="Z6:Z8"/>
    <mergeCell ref="A2:AE2"/>
    <mergeCell ref="A3:AE3"/>
    <mergeCell ref="A6:A8"/>
    <mergeCell ref="B6:B8"/>
    <mergeCell ref="C6:C8"/>
    <mergeCell ref="D6:D8"/>
    <mergeCell ref="E6:E8"/>
    <mergeCell ref="F6:F8"/>
    <mergeCell ref="AE6:AE8"/>
    <mergeCell ref="G6:G8"/>
    <mergeCell ref="H6:H8"/>
    <mergeCell ref="I6:N6"/>
    <mergeCell ref="A4:AC4"/>
    <mergeCell ref="Q7:Q8"/>
    <mergeCell ref="R7:R8"/>
    <mergeCell ref="S7:S8"/>
    <mergeCell ref="C26:D26"/>
    <mergeCell ref="N26:T26"/>
    <mergeCell ref="AB23:AE23"/>
    <mergeCell ref="C24:F24"/>
    <mergeCell ref="J24:V24"/>
    <mergeCell ref="AB24:AE24"/>
    <mergeCell ref="J25:V25"/>
    <mergeCell ref="AB25:AE25"/>
    <mergeCell ref="C23:F23"/>
    <mergeCell ref="C25:G25"/>
    <mergeCell ref="A15:D15"/>
    <mergeCell ref="M7:M8"/>
    <mergeCell ref="N7:N8"/>
    <mergeCell ref="O7:O8"/>
    <mergeCell ref="P7:P8"/>
    <mergeCell ref="J7:J8"/>
    <mergeCell ref="K7:K8"/>
    <mergeCell ref="L7:L8"/>
  </mergeCells>
  <printOptions horizontalCentered="1" verticalCentered="1"/>
  <pageMargins left="0" right="0" top="0.78740157480314965" bottom="0" header="0" footer="0"/>
  <pageSetup paperSize="5" scale="63" orientation="landscape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3B83-B1CE-4590-9ED1-081094182877}">
  <sheetPr>
    <tabColor rgb="FF00B0F0"/>
  </sheetPr>
  <dimension ref="A1:F20"/>
  <sheetViews>
    <sheetView zoomScaleNormal="100" workbookViewId="0">
      <selection activeCell="F6" sqref="F6"/>
    </sheetView>
  </sheetViews>
  <sheetFormatPr baseColWidth="10" defaultRowHeight="10.199999999999999" x14ac:dyDescent="0.2"/>
  <cols>
    <col min="1" max="1" width="41.42578125" customWidth="1"/>
    <col min="2" max="3" width="20" customWidth="1"/>
    <col min="4" max="4" width="21" customWidth="1"/>
    <col min="5" max="5" width="19.140625" customWidth="1"/>
    <col min="6" max="6" width="70.7109375" customWidth="1"/>
  </cols>
  <sheetData>
    <row r="1" spans="1:6" ht="20.100000000000001" customHeight="1" x14ac:dyDescent="0.2">
      <c r="A1" s="1505" t="s">
        <v>0</v>
      </c>
      <c r="B1" s="1505"/>
      <c r="C1" s="1505"/>
      <c r="D1" s="1505"/>
      <c r="E1" s="1505"/>
      <c r="F1" s="1505"/>
    </row>
    <row r="2" spans="1:6" ht="20.100000000000001" customHeight="1" x14ac:dyDescent="0.2">
      <c r="A2" s="1506" t="s">
        <v>516</v>
      </c>
      <c r="B2" s="1506"/>
      <c r="C2" s="1506"/>
      <c r="D2" s="1506"/>
      <c r="E2" s="1506"/>
      <c r="F2" s="1506"/>
    </row>
    <row r="3" spans="1:6" ht="20.100000000000001" customHeight="1" x14ac:dyDescent="0.2">
      <c r="A3" s="1507" t="s">
        <v>527</v>
      </c>
      <c r="B3" s="1507"/>
      <c r="C3" s="1507"/>
      <c r="D3" s="1507"/>
      <c r="E3" s="1507"/>
      <c r="F3" s="1507"/>
    </row>
    <row r="4" spans="1:6" ht="39" customHeight="1" x14ac:dyDescent="0.2">
      <c r="A4" s="1069" t="s">
        <v>343</v>
      </c>
      <c r="B4" s="1070" t="s">
        <v>68</v>
      </c>
      <c r="C4" s="1071" t="s">
        <v>524</v>
      </c>
      <c r="D4" s="1071" t="s">
        <v>80</v>
      </c>
      <c r="E4" s="1070" t="s">
        <v>29</v>
      </c>
      <c r="F4" s="1070" t="s">
        <v>12</v>
      </c>
    </row>
    <row r="5" spans="1:6" ht="30" customHeight="1" x14ac:dyDescent="0.2">
      <c r="A5" s="1068" t="s">
        <v>362</v>
      </c>
      <c r="B5" s="1065">
        <v>0</v>
      </c>
      <c r="C5" s="1065">
        <f>+D5/8*2</f>
        <v>72.14</v>
      </c>
      <c r="D5" s="1065">
        <v>288.56</v>
      </c>
      <c r="E5" s="1065">
        <f>+D5/8*2*B5</f>
        <v>0</v>
      </c>
      <c r="F5" s="1064"/>
    </row>
    <row r="6" spans="1:6" ht="30" customHeight="1" x14ac:dyDescent="0.2">
      <c r="A6" s="1068" t="s">
        <v>517</v>
      </c>
      <c r="B6" s="1065">
        <v>0</v>
      </c>
      <c r="C6" s="1065">
        <f>+D6/8*2</f>
        <v>68.569999999999993</v>
      </c>
      <c r="D6" s="1065">
        <v>274.27999999999997</v>
      </c>
      <c r="E6" s="1065">
        <f>+D6/8*2*B6</f>
        <v>0</v>
      </c>
      <c r="F6" s="1064"/>
    </row>
    <row r="7" spans="1:6" ht="30" customHeight="1" x14ac:dyDescent="0.2">
      <c r="A7" s="1068" t="s">
        <v>518</v>
      </c>
      <c r="B7" s="1065">
        <v>0</v>
      </c>
      <c r="C7" s="1065">
        <f>+D7/8*2</f>
        <v>65.625</v>
      </c>
      <c r="D7" s="1065">
        <v>262.5</v>
      </c>
      <c r="E7" s="1065">
        <f>+B7*C7</f>
        <v>0</v>
      </c>
      <c r="F7" s="1064"/>
    </row>
    <row r="8" spans="1:6" ht="30" customHeight="1" x14ac:dyDescent="0.2">
      <c r="A8" s="1068" t="s">
        <v>519</v>
      </c>
      <c r="B8" s="1065">
        <v>0</v>
      </c>
      <c r="C8" s="1065">
        <f t="shared" ref="C8:C9" si="0">+D8/8*2</f>
        <v>69.642499999999998</v>
      </c>
      <c r="D8" s="1065">
        <v>278.57</v>
      </c>
      <c r="E8" s="1065">
        <f>+C8*B8</f>
        <v>0</v>
      </c>
      <c r="F8" s="1064"/>
    </row>
    <row r="9" spans="1:6" ht="30" customHeight="1" x14ac:dyDescent="0.2">
      <c r="A9" s="1068" t="s">
        <v>520</v>
      </c>
      <c r="B9" s="1065">
        <v>0</v>
      </c>
      <c r="C9" s="1065">
        <f t="shared" si="0"/>
        <v>65.625</v>
      </c>
      <c r="D9" s="1065">
        <v>262.5</v>
      </c>
      <c r="E9" s="1065">
        <f>+B9*C9</f>
        <v>0</v>
      </c>
      <c r="F9" s="1064"/>
    </row>
    <row r="10" spans="1:6" ht="30" customHeight="1" x14ac:dyDescent="0.2">
      <c r="A10" s="1066" t="s">
        <v>29</v>
      </c>
      <c r="B10" s="1067">
        <f>SUM(B5:B9)</f>
        <v>0</v>
      </c>
      <c r="C10" s="1067"/>
      <c r="D10" s="1067">
        <f>SUM(D5:D9)</f>
        <v>1366.4099999999999</v>
      </c>
      <c r="E10" s="1067">
        <f>SUM(E5:E9)</f>
        <v>0</v>
      </c>
      <c r="F10" s="1072"/>
    </row>
    <row r="11" spans="1:6" ht="20.100000000000001" customHeight="1" x14ac:dyDescent="0.2"/>
    <row r="12" spans="1:6" ht="20.100000000000001" customHeight="1" x14ac:dyDescent="0.2"/>
    <row r="13" spans="1:6" ht="20.100000000000001" customHeight="1" x14ac:dyDescent="0.2">
      <c r="A13" s="552"/>
      <c r="D13" s="552"/>
      <c r="E13" s="552"/>
    </row>
    <row r="14" spans="1:6" ht="20.100000000000001" customHeight="1" x14ac:dyDescent="0.2">
      <c r="A14" t="s">
        <v>521</v>
      </c>
      <c r="D14" s="1438" t="s">
        <v>350</v>
      </c>
      <c r="E14" s="1438"/>
    </row>
    <row r="15" spans="1:6" ht="20.100000000000001" customHeight="1" x14ac:dyDescent="0.2">
      <c r="A15" t="s">
        <v>522</v>
      </c>
      <c r="D15" s="1438" t="s">
        <v>523</v>
      </c>
      <c r="E15" s="1438"/>
    </row>
    <row r="16" spans="1:6" ht="20.100000000000001" customHeight="1" x14ac:dyDescent="0.2"/>
    <row r="17" ht="20.100000000000001" customHeight="1" x14ac:dyDescent="0.2"/>
    <row r="18" ht="20.100000000000001" customHeight="1" x14ac:dyDescent="0.2"/>
    <row r="19" ht="20.100000000000001" customHeight="1" x14ac:dyDescent="0.2"/>
    <row r="20" ht="20.100000000000001" customHeight="1" x14ac:dyDescent="0.2"/>
  </sheetData>
  <mergeCells count="5">
    <mergeCell ref="A1:F1"/>
    <mergeCell ref="A2:F2"/>
    <mergeCell ref="A3:F3"/>
    <mergeCell ref="D14:E14"/>
    <mergeCell ref="D15:E15"/>
  </mergeCells>
  <pageMargins left="0.7" right="0.7" top="0.75" bottom="0.75" header="0.3" footer="0.3"/>
  <pageSetup scale="7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A8AD-0EFD-4A05-B5F7-365224134AE4}">
  <dimension ref="A1:I6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2" sqref="A2"/>
      <selection pane="bottomRight" sqref="A1:I1"/>
    </sheetView>
  </sheetViews>
  <sheetFormatPr baseColWidth="10" defaultRowHeight="10.199999999999999" x14ac:dyDescent="0.2"/>
  <cols>
    <col min="1" max="1" width="65.42578125" customWidth="1"/>
    <col min="2" max="2" width="20" customWidth="1"/>
    <col min="3" max="3" width="18.28515625" customWidth="1"/>
    <col min="4" max="4" width="28.7109375" customWidth="1"/>
    <col min="5" max="5" width="15.42578125" customWidth="1"/>
    <col min="6" max="6" width="17.7109375" customWidth="1"/>
    <col min="7" max="7" width="29.85546875" customWidth="1"/>
    <col min="8" max="8" width="18.42578125" customWidth="1"/>
    <col min="9" max="9" width="25" customWidth="1"/>
  </cols>
  <sheetData>
    <row r="1" spans="1:9" ht="24.9" customHeight="1" x14ac:dyDescent="0.45">
      <c r="A1" s="1508" t="s">
        <v>0</v>
      </c>
      <c r="B1" s="1508"/>
      <c r="C1" s="1508"/>
      <c r="D1" s="1508"/>
      <c r="E1" s="1508"/>
      <c r="F1" s="1508"/>
      <c r="G1" s="1508"/>
      <c r="H1" s="1508"/>
      <c r="I1" s="1508"/>
    </row>
    <row r="2" spans="1:9" ht="24.9" customHeight="1" x14ac:dyDescent="0.4">
      <c r="A2" s="1509" t="s">
        <v>501</v>
      </c>
      <c r="B2" s="1509"/>
      <c r="C2" s="1509"/>
      <c r="D2" s="1509"/>
      <c r="E2" s="1509"/>
      <c r="F2" s="1509"/>
      <c r="G2" s="1509"/>
      <c r="H2" s="1509"/>
      <c r="I2" s="1509"/>
    </row>
    <row r="3" spans="1:9" s="22" customFormat="1" ht="30" customHeight="1" x14ac:dyDescent="0.3">
      <c r="A3" s="960" t="s">
        <v>343</v>
      </c>
      <c r="B3" s="693" t="s">
        <v>503</v>
      </c>
      <c r="C3" s="693" t="s">
        <v>504</v>
      </c>
      <c r="D3" s="693" t="s">
        <v>505</v>
      </c>
      <c r="E3" s="693" t="s">
        <v>114</v>
      </c>
      <c r="F3" s="693" t="s">
        <v>499</v>
      </c>
      <c r="G3" s="693" t="s">
        <v>500</v>
      </c>
      <c r="H3" s="960" t="s">
        <v>180</v>
      </c>
      <c r="I3" s="967" t="s">
        <v>506</v>
      </c>
    </row>
    <row r="4" spans="1:9" ht="20.100000000000001" customHeight="1" x14ac:dyDescent="0.2">
      <c r="A4" s="969" t="str">
        <f>+ADMON!D11</f>
        <v>DEXIS MILENA PICADO GARCIA</v>
      </c>
      <c r="B4" s="963">
        <f>+ADMON!S11</f>
        <v>4165.4647605</v>
      </c>
      <c r="C4" s="963"/>
      <c r="D4" s="963">
        <f>+B4+C4</f>
        <v>4165.4647605</v>
      </c>
      <c r="E4" s="963">
        <f>+ADMON!Z11</f>
        <v>500</v>
      </c>
      <c r="F4" s="963">
        <f>+ADMON!AB11</f>
        <v>500</v>
      </c>
      <c r="G4" s="963">
        <f>+B4-E4-F4</f>
        <v>3165.4647605</v>
      </c>
      <c r="H4" s="962"/>
      <c r="I4" s="963">
        <f>+G4+H4</f>
        <v>3165.4647605</v>
      </c>
    </row>
    <row r="5" spans="1:9" ht="20.100000000000001" customHeight="1" x14ac:dyDescent="0.2">
      <c r="A5" s="969" t="str">
        <f>+ADMON!D12</f>
        <v>GISELLE WALESKA ESPINAL SALGUERA</v>
      </c>
      <c r="B5" s="963">
        <f>+ADMON!X12</f>
        <v>5691.5141012499998</v>
      </c>
      <c r="C5" s="963"/>
      <c r="D5" s="963">
        <f t="shared" ref="D5:D6" si="0">+B5+C5</f>
        <v>5691.5141012499998</v>
      </c>
      <c r="E5" s="963">
        <f>+ADMON!V12</f>
        <v>0</v>
      </c>
      <c r="F5" s="963">
        <f>+ADMON!AB12</f>
        <v>0</v>
      </c>
      <c r="G5" s="963">
        <f t="shared" ref="G5:G6" si="1">+B5-E5-F5</f>
        <v>5691.5141012499998</v>
      </c>
      <c r="H5" s="962"/>
      <c r="I5" s="963">
        <f t="shared" ref="I5:I8" si="2">+G5+H5</f>
        <v>5691.5141012499998</v>
      </c>
    </row>
    <row r="6" spans="1:9" ht="20.100000000000001" customHeight="1" x14ac:dyDescent="0.2">
      <c r="A6" s="969" t="str">
        <f>+ADMON!D13</f>
        <v>MANUEL DE JESUS HUETES</v>
      </c>
      <c r="B6" s="963">
        <f>+ADMON!X13</f>
        <v>4742.8362289529987</v>
      </c>
      <c r="C6" s="963"/>
      <c r="D6" s="963">
        <f t="shared" si="0"/>
        <v>4742.8362289529987</v>
      </c>
      <c r="E6" s="963">
        <f>+ADMON!Z13</f>
        <v>0</v>
      </c>
      <c r="F6" s="963">
        <f>+ADMON!AB13</f>
        <v>0</v>
      </c>
      <c r="G6" s="963">
        <f t="shared" si="1"/>
        <v>4742.8362289529987</v>
      </c>
      <c r="H6" s="962"/>
      <c r="I6" s="963">
        <f t="shared" si="2"/>
        <v>4742.8362289529987</v>
      </c>
    </row>
    <row r="7" spans="1:9" ht="20.100000000000001" customHeight="1" x14ac:dyDescent="0.2">
      <c r="A7" s="969" t="str">
        <f>+ADMON!D14</f>
        <v>SANDRO OSMANY GUITIERREZ</v>
      </c>
      <c r="B7" s="963">
        <f>+ADMON!X14</f>
        <v>2861.8999916666667</v>
      </c>
      <c r="C7" s="963">
        <v>6708.35</v>
      </c>
      <c r="D7" s="963">
        <f>+B7+C7</f>
        <v>9570.2499916666675</v>
      </c>
      <c r="E7" s="963">
        <f>+ADMON!Z14</f>
        <v>0</v>
      </c>
      <c r="F7" s="963">
        <f>+ADMON!AB14</f>
        <v>0</v>
      </c>
      <c r="G7" s="963">
        <f>+D7-E7-F7</f>
        <v>9570.2499916666675</v>
      </c>
      <c r="H7" s="962"/>
      <c r="I7" s="963">
        <f t="shared" si="2"/>
        <v>9570.2499916666675</v>
      </c>
    </row>
    <row r="8" spans="1:9" ht="20.100000000000001" customHeight="1" x14ac:dyDescent="0.2">
      <c r="A8" s="969" t="str">
        <f>+ADMON!D16</f>
        <v>JUBER ELUIDTH</v>
      </c>
      <c r="B8" s="963">
        <v>5208</v>
      </c>
      <c r="C8" s="963">
        <v>1600</v>
      </c>
      <c r="D8" s="963">
        <f>+B8+C8</f>
        <v>6808</v>
      </c>
      <c r="E8" s="963">
        <f>+ADMON!V16</f>
        <v>0</v>
      </c>
      <c r="F8" s="963">
        <f>+ADMON!AB16</f>
        <v>0</v>
      </c>
      <c r="G8" s="963">
        <f>+D8-E8-F8</f>
        <v>6808</v>
      </c>
      <c r="H8" s="962"/>
      <c r="I8" s="963">
        <f t="shared" si="2"/>
        <v>6808</v>
      </c>
    </row>
    <row r="9" spans="1:9" ht="20.100000000000001" customHeight="1" x14ac:dyDescent="0.2">
      <c r="A9" s="958" t="s">
        <v>365</v>
      </c>
      <c r="B9" s="966">
        <f>+ADMON!X17</f>
        <v>32558.882549134665</v>
      </c>
      <c r="C9" s="966">
        <f>+C7+C8</f>
        <v>8308.35</v>
      </c>
      <c r="D9" s="966">
        <f>SUM(D4:D8)</f>
        <v>30978.065082369667</v>
      </c>
      <c r="E9" s="966">
        <f t="shared" ref="E9:I9" si="3">SUM(E4:E8)</f>
        <v>500</v>
      </c>
      <c r="F9" s="966">
        <f t="shared" si="3"/>
        <v>500</v>
      </c>
      <c r="G9" s="966">
        <f t="shared" si="3"/>
        <v>29978.065082369667</v>
      </c>
      <c r="H9" s="966">
        <f t="shared" si="3"/>
        <v>0</v>
      </c>
      <c r="I9" s="966">
        <f t="shared" si="3"/>
        <v>29978.065082369667</v>
      </c>
    </row>
    <row r="10" spans="1:9" ht="20.100000000000001" customHeight="1" x14ac:dyDescent="0.2">
      <c r="A10" s="970" t="str">
        <f>+ADMON!D19</f>
        <v>KEYLING JOHANA PEREZ MARTINEZ</v>
      </c>
      <c r="B10" s="966">
        <f>+ADMON!X19</f>
        <v>3562.4987662349999</v>
      </c>
      <c r="C10" s="966">
        <v>4318.32</v>
      </c>
      <c r="D10" s="966">
        <f>+B10+C10</f>
        <v>7880.8187662349992</v>
      </c>
      <c r="E10" s="966">
        <f>+ADMON!Z19</f>
        <v>0</v>
      </c>
      <c r="F10" s="966">
        <f>+ADMON!AB19</f>
        <v>0</v>
      </c>
      <c r="G10" s="966">
        <f>+D10-E10-F10</f>
        <v>7880.8187662349992</v>
      </c>
      <c r="H10" s="964"/>
      <c r="I10" s="964">
        <f>+G10+H10</f>
        <v>7880.8187662349992</v>
      </c>
    </row>
    <row r="11" spans="1:9" ht="20.100000000000001" customHeight="1" x14ac:dyDescent="0.2">
      <c r="A11" s="969" t="str">
        <f>+'ADMON COM. '!D11</f>
        <v>JOSE MANUEL MORAGA FLORES</v>
      </c>
      <c r="B11" s="963">
        <f>+'ADMON COM. '!T11</f>
        <v>10758.0282025</v>
      </c>
      <c r="C11" s="963"/>
      <c r="D11" s="963">
        <f>+B11</f>
        <v>10758.0282025</v>
      </c>
      <c r="E11" s="963">
        <f>+'ADMON COM. '!V11</f>
        <v>0</v>
      </c>
      <c r="F11" s="963">
        <f>+E11</f>
        <v>0</v>
      </c>
      <c r="G11" s="963">
        <f>+B11-E11-F11</f>
        <v>10758.0282025</v>
      </c>
      <c r="H11" s="962"/>
      <c r="I11" s="961">
        <f>+G11+H11</f>
        <v>10758.0282025</v>
      </c>
    </row>
    <row r="12" spans="1:9" ht="20.100000000000001" customHeight="1" x14ac:dyDescent="0.2">
      <c r="A12" s="969" t="str">
        <f>+'ADMON COM. '!D12</f>
        <v>YANT CARLO FERRUFINO PINEDA</v>
      </c>
      <c r="B12" s="963">
        <f>+'ADMON COM. '!T12</f>
        <v>5691.5141012499998</v>
      </c>
      <c r="C12" s="963"/>
      <c r="D12" s="963">
        <f t="shared" ref="D12:D15" si="4">+B12</f>
        <v>5691.5141012499998</v>
      </c>
      <c r="E12" s="963">
        <f>+'ADMON COM. '!V12</f>
        <v>0</v>
      </c>
      <c r="F12" s="963">
        <f t="shared" ref="F12:F15" si="5">+E12</f>
        <v>0</v>
      </c>
      <c r="G12" s="963">
        <f t="shared" ref="G12:G16" si="6">+B12-E12-F12</f>
        <v>5691.5141012499998</v>
      </c>
      <c r="H12" s="962"/>
      <c r="I12" s="961">
        <f t="shared" ref="I12:I15" si="7">+G12+H12</f>
        <v>5691.5141012499998</v>
      </c>
    </row>
    <row r="13" spans="1:9" ht="20.100000000000001" customHeight="1" x14ac:dyDescent="0.2">
      <c r="A13" s="969" t="str">
        <f>+'ADMON COM. '!D13</f>
        <v>LUIS FERNANDO PALACIOS RIOS</v>
      </c>
      <c r="B13" s="963">
        <f>+'ADMON COM. '!T13</f>
        <v>0</v>
      </c>
      <c r="C13" s="963"/>
      <c r="D13" s="963">
        <f t="shared" si="4"/>
        <v>0</v>
      </c>
      <c r="E13" s="963">
        <f>+'ADMON COM. '!V13</f>
        <v>0</v>
      </c>
      <c r="F13" s="963">
        <f t="shared" si="5"/>
        <v>0</v>
      </c>
      <c r="G13" s="963">
        <f t="shared" si="6"/>
        <v>0</v>
      </c>
      <c r="H13" s="962"/>
      <c r="I13" s="961">
        <f t="shared" si="7"/>
        <v>0</v>
      </c>
    </row>
    <row r="14" spans="1:9" ht="20.100000000000001" customHeight="1" x14ac:dyDescent="0.2">
      <c r="A14" s="969" t="str">
        <f>+'ADMON COM. '!D14</f>
        <v>JACKS HERRY TORRES PEREZ</v>
      </c>
      <c r="B14" s="963">
        <f>+'ADMON COM. '!T14</f>
        <v>5691.5141012499998</v>
      </c>
      <c r="C14" s="963"/>
      <c r="D14" s="963">
        <f t="shared" si="4"/>
        <v>5691.5141012499998</v>
      </c>
      <c r="E14" s="963">
        <f>+'ADMON COM. '!V14</f>
        <v>0</v>
      </c>
      <c r="F14" s="963">
        <f t="shared" si="5"/>
        <v>0</v>
      </c>
      <c r="G14" s="963">
        <f t="shared" si="6"/>
        <v>5691.5141012499998</v>
      </c>
      <c r="H14" s="962"/>
      <c r="I14" s="961">
        <f t="shared" si="7"/>
        <v>5691.5141012499998</v>
      </c>
    </row>
    <row r="15" spans="1:9" ht="20.100000000000001" customHeight="1" x14ac:dyDescent="0.2">
      <c r="A15" s="969" t="str">
        <f>+'ADMON COM. '!D15</f>
        <v>CESAR AUGUSTO ZEAS</v>
      </c>
      <c r="B15" s="963">
        <f>+'ADMON COM. '!T15</f>
        <v>5691.5141012499998</v>
      </c>
      <c r="C15" s="963"/>
      <c r="D15" s="963">
        <f t="shared" si="4"/>
        <v>5691.5141012499998</v>
      </c>
      <c r="E15" s="963">
        <f>+'ADMON COM. '!V15</f>
        <v>0</v>
      </c>
      <c r="F15" s="963">
        <f t="shared" si="5"/>
        <v>0</v>
      </c>
      <c r="G15" s="963">
        <f t="shared" si="6"/>
        <v>5691.5141012499998</v>
      </c>
      <c r="H15" s="962"/>
      <c r="I15" s="961">
        <f t="shared" si="7"/>
        <v>5691.5141012499998</v>
      </c>
    </row>
    <row r="16" spans="1:9" ht="20.100000000000001" customHeight="1" x14ac:dyDescent="0.2">
      <c r="A16" s="958" t="s">
        <v>365</v>
      </c>
      <c r="B16" s="966">
        <f>+'ADMON COM. '!T16</f>
        <v>27832.570506249998</v>
      </c>
      <c r="C16" s="966"/>
      <c r="D16" s="966">
        <f>+B16</f>
        <v>27832.570506249998</v>
      </c>
      <c r="E16" s="966"/>
      <c r="F16" s="966"/>
      <c r="G16" s="966">
        <f t="shared" si="6"/>
        <v>27832.570506249998</v>
      </c>
      <c r="H16" s="964"/>
      <c r="I16" s="966">
        <f>SUM(I11:I15)</f>
        <v>27832.570506249998</v>
      </c>
    </row>
    <row r="17" spans="1:9" ht="20.100000000000001" customHeight="1" x14ac:dyDescent="0.2">
      <c r="A17" s="973" t="str">
        <f>+'ADMON COM. '!D18</f>
        <v>ARMANDO JOSE IGLESIAS</v>
      </c>
      <c r="B17" s="974">
        <f>+'ADMON COM. '!T18</f>
        <v>7862.8772874999986</v>
      </c>
      <c r="C17" s="974"/>
      <c r="D17" s="974">
        <f>+B17</f>
        <v>7862.8772874999986</v>
      </c>
      <c r="E17" s="974">
        <v>0</v>
      </c>
      <c r="F17" s="974">
        <v>0</v>
      </c>
      <c r="G17" s="974">
        <f>+D17-E17-F17</f>
        <v>7862.8772874999986</v>
      </c>
      <c r="H17" s="975"/>
      <c r="I17" s="974">
        <f>+G17</f>
        <v>7862.8772874999986</v>
      </c>
    </row>
    <row r="18" spans="1:9" ht="20.100000000000001" customHeight="1" x14ac:dyDescent="0.2">
      <c r="A18" s="973" t="str">
        <f>+'ADMON COM. '!D19</f>
        <v>VICENTE ALBERTO GADEA</v>
      </c>
      <c r="B18" s="974">
        <f>+'ADMON COM. '!T19</f>
        <v>7862.8772874999986</v>
      </c>
      <c r="C18" s="974"/>
      <c r="D18" s="974">
        <f t="shared" ref="D18:D20" si="8">+B18</f>
        <v>7862.8772874999986</v>
      </c>
      <c r="E18" s="974">
        <v>0</v>
      </c>
      <c r="F18" s="974">
        <v>0</v>
      </c>
      <c r="G18" s="974">
        <f t="shared" ref="G18:G20" si="9">+D18-E18-F18</f>
        <v>7862.8772874999986</v>
      </c>
      <c r="H18" s="975"/>
      <c r="I18" s="974">
        <f t="shared" ref="I18:I20" si="10">+G18</f>
        <v>7862.8772874999986</v>
      </c>
    </row>
    <row r="19" spans="1:9" ht="20.100000000000001" customHeight="1" x14ac:dyDescent="0.2">
      <c r="A19" s="973" t="str">
        <f>+'ADMON COM. '!D20</f>
        <v>NELLY DEL CARMEN  SOBALVARRO THOMAS</v>
      </c>
      <c r="B19" s="974">
        <f>+'ADMON COM. '!T20</f>
        <v>0</v>
      </c>
      <c r="C19" s="974"/>
      <c r="D19" s="974">
        <f t="shared" si="8"/>
        <v>0</v>
      </c>
      <c r="E19" s="974">
        <v>0</v>
      </c>
      <c r="F19" s="974">
        <v>0</v>
      </c>
      <c r="G19" s="974">
        <f t="shared" si="9"/>
        <v>0</v>
      </c>
      <c r="H19" s="975"/>
      <c r="I19" s="974">
        <f t="shared" si="10"/>
        <v>0</v>
      </c>
    </row>
    <row r="20" spans="1:9" ht="20.100000000000001" customHeight="1" x14ac:dyDescent="0.2">
      <c r="A20" s="973" t="str">
        <f>+'ADMON COM. '!D21</f>
        <v>ARMANDO GUIDO GONZALEZ</v>
      </c>
      <c r="B20" s="974">
        <f>+'ADMON COM. '!T21</f>
        <v>4952.9871591917354</v>
      </c>
      <c r="C20" s="974"/>
      <c r="D20" s="974">
        <f t="shared" si="8"/>
        <v>4952.9871591917354</v>
      </c>
      <c r="E20" s="974">
        <f>+'ADMON COM. '!V21</f>
        <v>500</v>
      </c>
      <c r="F20" s="974">
        <v>0</v>
      </c>
      <c r="G20" s="974">
        <f t="shared" si="9"/>
        <v>4452.9871591917354</v>
      </c>
      <c r="H20" s="975"/>
      <c r="I20" s="974">
        <f t="shared" si="10"/>
        <v>4452.9871591917354</v>
      </c>
    </row>
    <row r="21" spans="1:9" ht="20.100000000000001" customHeight="1" x14ac:dyDescent="0.2">
      <c r="A21" s="973" t="str">
        <f>+'ADMON COM. '!D24</f>
        <v>MARIA HULDA GARCIA RIVAS</v>
      </c>
      <c r="B21" s="974">
        <f>+'ADMON COM. '!T24</f>
        <v>4952.9871591917354</v>
      </c>
      <c r="C21" s="974">
        <v>1095</v>
      </c>
      <c r="D21" s="974">
        <f>+B21+C21</f>
        <v>6047.9871591917354</v>
      </c>
      <c r="E21" s="974">
        <v>0</v>
      </c>
      <c r="F21" s="974">
        <v>0</v>
      </c>
      <c r="G21" s="974">
        <f>+D21-E21-F21</f>
        <v>6047.9871591917354</v>
      </c>
      <c r="H21" s="975">
        <v>1280</v>
      </c>
      <c r="I21" s="974">
        <f>+G21+H21</f>
        <v>7327.9871591917354</v>
      </c>
    </row>
    <row r="22" spans="1:9" ht="20.100000000000001" customHeight="1" x14ac:dyDescent="0.2">
      <c r="A22" s="973" t="str">
        <f>+'ADMON COM. '!D27</f>
        <v xml:space="preserve">CESAR AUGUSTO ALEMAN </v>
      </c>
      <c r="B22" s="974">
        <f>+'ADMON COM. '!T27</f>
        <v>4334.7018774999997</v>
      </c>
      <c r="C22" s="974"/>
      <c r="D22" s="974">
        <f>+B22</f>
        <v>4334.7018774999997</v>
      </c>
      <c r="E22" s="974">
        <v>0</v>
      </c>
      <c r="F22" s="974">
        <v>0</v>
      </c>
      <c r="G22" s="974">
        <f>+D22-E22-F22</f>
        <v>4334.7018774999997</v>
      </c>
      <c r="H22" s="975"/>
      <c r="I22" s="974">
        <f>+G22</f>
        <v>4334.7018774999997</v>
      </c>
    </row>
    <row r="23" spans="1:9" ht="20.100000000000001" customHeight="1" x14ac:dyDescent="0.2">
      <c r="A23" s="958" t="s">
        <v>502</v>
      </c>
      <c r="B23" s="966">
        <f>SUM(B17:B22)</f>
        <v>29966.430770883468</v>
      </c>
      <c r="C23" s="966">
        <f t="shared" ref="C23:I23" si="11">SUM(C17:C22)</f>
        <v>1095</v>
      </c>
      <c r="D23" s="966">
        <f t="shared" si="11"/>
        <v>31061.430770883468</v>
      </c>
      <c r="E23" s="966">
        <f t="shared" si="11"/>
        <v>500</v>
      </c>
      <c r="F23" s="966">
        <f t="shared" si="11"/>
        <v>0</v>
      </c>
      <c r="G23" s="966">
        <f t="shared" si="11"/>
        <v>30561.430770883468</v>
      </c>
      <c r="H23" s="966">
        <f t="shared" si="11"/>
        <v>1280</v>
      </c>
      <c r="I23" s="966">
        <f t="shared" si="11"/>
        <v>31841.430770883468</v>
      </c>
    </row>
    <row r="24" spans="1:9" ht="20.100000000000001" customHeight="1" x14ac:dyDescent="0.2">
      <c r="A24" s="969" t="str">
        <f>+'FINCA INSS '!D11</f>
        <v>WILFREDO ARGEÑAL BLANDON</v>
      </c>
      <c r="B24" s="963">
        <f>+'FINCA INSS '!Y11</f>
        <v>0</v>
      </c>
      <c r="C24" s="963"/>
      <c r="D24" s="963"/>
      <c r="E24" s="963">
        <f>+'FINCA INSS '!Z11</f>
        <v>0</v>
      </c>
      <c r="F24" s="963">
        <v>1500</v>
      </c>
      <c r="G24" s="963">
        <f>+B24-E24-F24</f>
        <v>-1500</v>
      </c>
      <c r="H24" s="962"/>
      <c r="I24" s="961">
        <f>+G24+H24</f>
        <v>-1500</v>
      </c>
    </row>
    <row r="25" spans="1:9" ht="20.100000000000001" customHeight="1" x14ac:dyDescent="0.2">
      <c r="A25" s="969" t="str">
        <f>+'FINCA INSS '!D12</f>
        <v>ERICK MANUEL  GARCIA</v>
      </c>
      <c r="B25" s="963">
        <f>+'FINCA INSS '!Y12</f>
        <v>0</v>
      </c>
      <c r="C25" s="963">
        <v>3270</v>
      </c>
      <c r="D25" s="963">
        <f>+B25+C25</f>
        <v>3270</v>
      </c>
      <c r="E25" s="963">
        <f>+'FINCA INSS '!Z12</f>
        <v>0</v>
      </c>
      <c r="F25" s="963">
        <v>2035.25</v>
      </c>
      <c r="G25" s="963">
        <f>+D25-E25-F25</f>
        <v>1234.75</v>
      </c>
      <c r="H25" s="962"/>
      <c r="I25" s="961">
        <f>+G25+H25</f>
        <v>1234.75</v>
      </c>
    </row>
    <row r="26" spans="1:9" ht="20.100000000000001" customHeight="1" x14ac:dyDescent="0.2">
      <c r="A26" s="958" t="s">
        <v>365</v>
      </c>
      <c r="B26" s="966">
        <f>SUM(B24:B25)</f>
        <v>0</v>
      </c>
      <c r="C26" s="966">
        <f>+C25</f>
        <v>3270</v>
      </c>
      <c r="D26" s="966">
        <f>+B26+C26</f>
        <v>3270</v>
      </c>
      <c r="E26" s="966">
        <f t="shared" ref="E26:G26" si="12">SUM(E24:E25)</f>
        <v>0</v>
      </c>
      <c r="F26" s="966">
        <f t="shared" si="12"/>
        <v>3535.25</v>
      </c>
      <c r="G26" s="966">
        <f t="shared" si="12"/>
        <v>-265.25</v>
      </c>
      <c r="H26" s="964"/>
      <c r="I26" s="964">
        <f>SUM(I24:I25)</f>
        <v>-265.25</v>
      </c>
    </row>
    <row r="27" spans="1:9" ht="20.100000000000001" customHeight="1" x14ac:dyDescent="0.2">
      <c r="A27" s="969" t="str">
        <f>+'BENEFICIO SECO'!D11</f>
        <v>JAIRO CANO</v>
      </c>
      <c r="B27" s="963">
        <f>+'BENEFICIO SECO'!X11</f>
        <v>0</v>
      </c>
      <c r="C27" s="963"/>
      <c r="D27" s="963">
        <f>+B27</f>
        <v>0</v>
      </c>
      <c r="E27" s="963"/>
      <c r="F27" s="963"/>
      <c r="G27" s="963">
        <f>+B27-E27-F27</f>
        <v>0</v>
      </c>
      <c r="H27" s="962"/>
      <c r="I27" s="963">
        <f>+G27+H27</f>
        <v>0</v>
      </c>
    </row>
    <row r="28" spans="1:9" ht="20.100000000000001" customHeight="1" x14ac:dyDescent="0.2">
      <c r="A28" s="969" t="str">
        <f>+'BENEFICIO SECO'!D12</f>
        <v>JOTHAN MOISES GUTIERREZ CHAVEZ</v>
      </c>
      <c r="B28" s="963">
        <f>+'BENEFICIO SECO'!X12</f>
        <v>0</v>
      </c>
      <c r="C28" s="963"/>
      <c r="D28" s="963">
        <f>+B28</f>
        <v>0</v>
      </c>
      <c r="E28" s="963"/>
      <c r="F28" s="963"/>
      <c r="G28" s="963">
        <f>+B28-E28-F28</f>
        <v>0</v>
      </c>
      <c r="H28" s="962"/>
      <c r="I28" s="963">
        <f>+G28+H28</f>
        <v>0</v>
      </c>
    </row>
    <row r="29" spans="1:9" ht="20.100000000000001" customHeight="1" x14ac:dyDescent="0.2">
      <c r="A29" s="958" t="s">
        <v>365</v>
      </c>
      <c r="B29" s="966">
        <f>SUM(B27:B28)</f>
        <v>0</v>
      </c>
      <c r="C29" s="966"/>
      <c r="D29" s="966">
        <f>+B29</f>
        <v>0</v>
      </c>
      <c r="E29" s="966">
        <f t="shared" ref="E29:G29" si="13">SUM(E27:E28)</f>
        <v>0</v>
      </c>
      <c r="F29" s="966">
        <f t="shared" si="13"/>
        <v>0</v>
      </c>
      <c r="G29" s="966">
        <f t="shared" si="13"/>
        <v>0</v>
      </c>
      <c r="H29" s="964"/>
      <c r="I29" s="966">
        <f>SUM(I27:I28)</f>
        <v>0</v>
      </c>
    </row>
    <row r="30" spans="1:9" ht="20.100000000000001" customHeight="1" x14ac:dyDescent="0.2">
      <c r="A30" s="969" t="str">
        <f>+EVENTUAL!A8</f>
        <v>PEDRO JOAQUIN HUETE</v>
      </c>
      <c r="B30" s="963">
        <f>+EVENTUAL!C8</f>
        <v>9339.2000000000007</v>
      </c>
      <c r="C30" s="963"/>
      <c r="D30" s="963">
        <f>+B30</f>
        <v>9339.2000000000007</v>
      </c>
      <c r="E30" s="963"/>
      <c r="F30" s="963"/>
      <c r="G30" s="963">
        <f>+B30-E30-F30</f>
        <v>9339.2000000000007</v>
      </c>
      <c r="H30" s="962"/>
      <c r="I30" s="965">
        <f>+G30+H30</f>
        <v>9339.2000000000007</v>
      </c>
    </row>
    <row r="31" spans="1:9" ht="20.100000000000001" customHeight="1" x14ac:dyDescent="0.2">
      <c r="A31" s="969" t="str">
        <f>+EVENTUAL!A9</f>
        <v>YEMIN DAVID GUTIERREZ MORENO</v>
      </c>
      <c r="B31" s="963">
        <f>+EVENTUAL!C9</f>
        <v>3334.2762720000001</v>
      </c>
      <c r="C31" s="963"/>
      <c r="D31" s="963">
        <f t="shared" ref="D31:D32" si="14">+B31</f>
        <v>3334.2762720000001</v>
      </c>
      <c r="E31" s="963"/>
      <c r="F31" s="963"/>
      <c r="G31" s="963">
        <f t="shared" ref="G31:G32" si="15">+B31-E31-F31</f>
        <v>3334.2762720000001</v>
      </c>
      <c r="H31" s="962"/>
      <c r="I31" s="965">
        <f t="shared" ref="I31:I32" si="16">+G31+H31</f>
        <v>3334.2762720000001</v>
      </c>
    </row>
    <row r="32" spans="1:9" ht="20.100000000000001" customHeight="1" x14ac:dyDescent="0.2">
      <c r="A32" s="969" t="str">
        <f>+EVENTUAL!A13</f>
        <v>NELLY DEL CARMEN  SOBALVARRO THOMAS</v>
      </c>
      <c r="B32" s="963">
        <f>+EVENTUAL!C13</f>
        <v>5474.9995688700001</v>
      </c>
      <c r="C32" s="963"/>
      <c r="D32" s="963">
        <f t="shared" si="14"/>
        <v>5474.9995688700001</v>
      </c>
      <c r="E32" s="963"/>
      <c r="F32" s="963"/>
      <c r="G32" s="963">
        <f t="shared" si="15"/>
        <v>5474.9995688700001</v>
      </c>
      <c r="H32" s="962"/>
      <c r="I32" s="965">
        <f t="shared" si="16"/>
        <v>5474.9995688700001</v>
      </c>
    </row>
    <row r="33" spans="1:9" ht="20.100000000000001" customHeight="1" x14ac:dyDescent="0.2">
      <c r="A33" s="958" t="s">
        <v>365</v>
      </c>
      <c r="B33" s="966">
        <f>SUM(B30:B32)</f>
        <v>18148.47584087</v>
      </c>
      <c r="C33" s="966"/>
      <c r="D33" s="966">
        <f>+B33</f>
        <v>18148.47584087</v>
      </c>
      <c r="E33" s="966">
        <f t="shared" ref="E33:G33" si="17">SUM(E30:E32)</f>
        <v>0</v>
      </c>
      <c r="F33" s="966">
        <f t="shared" si="17"/>
        <v>0</v>
      </c>
      <c r="G33" s="966">
        <f t="shared" si="17"/>
        <v>18148.47584087</v>
      </c>
      <c r="H33" s="964"/>
      <c r="I33" s="964">
        <f>SUM(I30:I32)</f>
        <v>18148.47584087</v>
      </c>
    </row>
    <row r="34" spans="1:9" ht="20.100000000000001" customHeight="1" x14ac:dyDescent="0.2">
      <c r="A34" s="959" t="str">
        <f>+'ABISINIA INSS'!D11</f>
        <v>HOLMAN ARCENIO HIDALGO GONZALEZ</v>
      </c>
      <c r="B34" s="966">
        <f>+'ABISINIA INSS'!Z11</f>
        <v>3664.5300000000007</v>
      </c>
      <c r="C34" s="966"/>
      <c r="D34" s="966">
        <f>+B34</f>
        <v>3664.5300000000007</v>
      </c>
      <c r="E34" s="966"/>
      <c r="F34" s="966"/>
      <c r="G34" s="966">
        <f>+B34-E34-F34</f>
        <v>3664.5300000000007</v>
      </c>
      <c r="H34" s="964">
        <v>1280</v>
      </c>
      <c r="I34" s="966">
        <f>+G34+H34</f>
        <v>4944.5300000000007</v>
      </c>
    </row>
    <row r="35" spans="1:9" ht="20.100000000000001" customHeight="1" x14ac:dyDescent="0.2">
      <c r="A35" s="969" t="e">
        <f>+#REF!</f>
        <v>#REF!</v>
      </c>
      <c r="B35" s="963" t="e">
        <f>+#REF!</f>
        <v>#REF!</v>
      </c>
      <c r="C35" s="963"/>
      <c r="D35" s="963" t="e">
        <f>+B35</f>
        <v>#REF!</v>
      </c>
      <c r="E35" s="963" t="e">
        <f>+#REF!</f>
        <v>#REF!</v>
      </c>
      <c r="F35" s="963" t="e">
        <f>+#REF!</f>
        <v>#REF!</v>
      </c>
      <c r="G35" s="963" t="e">
        <f>+B35-E35-F35</f>
        <v>#REF!</v>
      </c>
      <c r="H35" s="962"/>
      <c r="I35" s="965" t="e">
        <f>+G35+H35</f>
        <v>#REF!</v>
      </c>
    </row>
    <row r="36" spans="1:9" ht="20.100000000000001" customHeight="1" x14ac:dyDescent="0.2">
      <c r="A36" s="969" t="e">
        <f>+#REF!</f>
        <v>#REF!</v>
      </c>
      <c r="B36" s="963" t="e">
        <f>+#REF!</f>
        <v>#REF!</v>
      </c>
      <c r="C36" s="963"/>
      <c r="D36" s="963" t="e">
        <f t="shared" ref="D36:D38" si="18">+B36</f>
        <v>#REF!</v>
      </c>
      <c r="E36" s="963" t="e">
        <f>+#REF!</f>
        <v>#REF!</v>
      </c>
      <c r="F36" s="963" t="e">
        <f>+#REF!</f>
        <v>#REF!</v>
      </c>
      <c r="G36" s="963" t="e">
        <f t="shared" ref="G36:G38" si="19">+B36-E36-F36</f>
        <v>#REF!</v>
      </c>
      <c r="H36" s="962"/>
      <c r="I36" s="965" t="e">
        <f t="shared" ref="I36:I38" si="20">+G36+H36</f>
        <v>#REF!</v>
      </c>
    </row>
    <row r="37" spans="1:9" ht="20.100000000000001" customHeight="1" x14ac:dyDescent="0.2">
      <c r="A37" s="969" t="e">
        <f>+#REF!</f>
        <v>#REF!</v>
      </c>
      <c r="B37" s="963" t="e">
        <f>+#REF!</f>
        <v>#REF!</v>
      </c>
      <c r="C37" s="963"/>
      <c r="D37" s="963" t="e">
        <f t="shared" si="18"/>
        <v>#REF!</v>
      </c>
      <c r="E37" s="963" t="e">
        <f>+#REF!</f>
        <v>#REF!</v>
      </c>
      <c r="F37" s="963" t="e">
        <f>+#REF!</f>
        <v>#REF!</v>
      </c>
      <c r="G37" s="963" t="e">
        <f t="shared" si="19"/>
        <v>#REF!</v>
      </c>
      <c r="H37" s="962"/>
      <c r="I37" s="965" t="e">
        <f t="shared" si="20"/>
        <v>#REF!</v>
      </c>
    </row>
    <row r="38" spans="1:9" ht="20.100000000000001" customHeight="1" x14ac:dyDescent="0.2">
      <c r="A38" s="969" t="e">
        <f>+#REF!</f>
        <v>#REF!</v>
      </c>
      <c r="B38" s="963" t="e">
        <f>+#REF!</f>
        <v>#REF!</v>
      </c>
      <c r="C38" s="963"/>
      <c r="D38" s="963" t="e">
        <f t="shared" si="18"/>
        <v>#REF!</v>
      </c>
      <c r="E38" s="963" t="e">
        <f>+#REF!</f>
        <v>#REF!</v>
      </c>
      <c r="F38" s="963" t="e">
        <f>+#REF!</f>
        <v>#REF!</v>
      </c>
      <c r="G38" s="963" t="e">
        <f t="shared" si="19"/>
        <v>#REF!</v>
      </c>
      <c r="H38" s="962"/>
      <c r="I38" s="965" t="e">
        <f t="shared" si="20"/>
        <v>#REF!</v>
      </c>
    </row>
    <row r="39" spans="1:9" ht="20.100000000000001" customHeight="1" x14ac:dyDescent="0.2">
      <c r="A39" s="958" t="s">
        <v>365</v>
      </c>
      <c r="B39" s="966" t="e">
        <f>SUM(B35:B38)</f>
        <v>#REF!</v>
      </c>
      <c r="C39" s="966"/>
      <c r="D39" s="966" t="e">
        <f>+B39</f>
        <v>#REF!</v>
      </c>
      <c r="E39" s="966" t="e">
        <f t="shared" ref="E39:G39" si="21">SUM(E35:E38)</f>
        <v>#REF!</v>
      </c>
      <c r="F39" s="966" t="e">
        <f t="shared" si="21"/>
        <v>#REF!</v>
      </c>
      <c r="G39" s="966" t="e">
        <f t="shared" si="21"/>
        <v>#REF!</v>
      </c>
      <c r="H39" s="964"/>
      <c r="I39" s="966" t="e">
        <f>SUM(I35:I38)</f>
        <v>#REF!</v>
      </c>
    </row>
    <row r="40" spans="1:9" ht="20.100000000000001" customHeight="1" x14ac:dyDescent="0.2">
      <c r="A40" s="969" t="str">
        <f>+'ACOP MONTECRISTO'!D9</f>
        <v>JOSE JAVIER GONZALEZ LOPEZ</v>
      </c>
      <c r="B40" s="963">
        <f>+'ACOP MONTECRISTO'!X9</f>
        <v>0</v>
      </c>
      <c r="C40" s="963"/>
      <c r="D40" s="963">
        <f>+B40</f>
        <v>0</v>
      </c>
      <c r="E40" s="963">
        <f>+'ACOP MONTECRISTO'!Y9</f>
        <v>0</v>
      </c>
      <c r="F40" s="963">
        <f>+'ACOP MONTECRISTO'!AB9</f>
        <v>0</v>
      </c>
      <c r="G40" s="963">
        <f>+B40-E40-F40</f>
        <v>0</v>
      </c>
      <c r="H40" s="963">
        <v>1600</v>
      </c>
      <c r="I40" s="965">
        <f>+G40+H40</f>
        <v>1600</v>
      </c>
    </row>
    <row r="41" spans="1:9" ht="20.100000000000001" customHeight="1" x14ac:dyDescent="0.2">
      <c r="A41" s="969" t="str">
        <f>+'ACOP MONTECRISTO'!D10</f>
        <v xml:space="preserve">LESSIN NOEL PICADO </v>
      </c>
      <c r="B41" s="963">
        <f>+'ACOP MONTECRISTO'!X10</f>
        <v>0</v>
      </c>
      <c r="C41" s="963"/>
      <c r="D41" s="963">
        <f t="shared" ref="D41:D42" si="22">+B41</f>
        <v>0</v>
      </c>
      <c r="E41" s="963">
        <f>+'ACOP MONTECRISTO'!Y10</f>
        <v>0</v>
      </c>
      <c r="F41" s="963">
        <f>+'ACOP MONTECRISTO'!AB10</f>
        <v>0</v>
      </c>
      <c r="G41" s="963">
        <f t="shared" ref="G41:G42" si="23">+B41-E41-F41</f>
        <v>0</v>
      </c>
      <c r="H41" s="963">
        <v>1600</v>
      </c>
      <c r="I41" s="965">
        <f t="shared" ref="I41:I42" si="24">+G41+H41</f>
        <v>1600</v>
      </c>
    </row>
    <row r="42" spans="1:9" ht="20.100000000000001" customHeight="1" x14ac:dyDescent="0.2">
      <c r="A42" s="969" t="str">
        <f>+'ACOP MONTECRISTO'!D11</f>
        <v>ALEXIS URIEL PALACIOS PALACIOS</v>
      </c>
      <c r="B42" s="963">
        <f>+'ACOP MONTECRISTO'!X11</f>
        <v>0</v>
      </c>
      <c r="C42" s="963"/>
      <c r="D42" s="963">
        <f t="shared" si="22"/>
        <v>0</v>
      </c>
      <c r="E42" s="963">
        <f>+'ACOP MONTECRISTO'!Y11</f>
        <v>0</v>
      </c>
      <c r="F42" s="963">
        <f>+'ACOP MONTECRISTO'!AB11</f>
        <v>0</v>
      </c>
      <c r="G42" s="963">
        <f t="shared" si="23"/>
        <v>0</v>
      </c>
      <c r="H42" s="963">
        <v>0</v>
      </c>
      <c r="I42" s="965">
        <f t="shared" si="24"/>
        <v>0</v>
      </c>
    </row>
    <row r="43" spans="1:9" ht="20.100000000000001" customHeight="1" x14ac:dyDescent="0.2">
      <c r="A43" s="958" t="s">
        <v>365</v>
      </c>
      <c r="B43" s="966">
        <f>SUM(B40:B42)</f>
        <v>0</v>
      </c>
      <c r="C43" s="966"/>
      <c r="D43" s="966">
        <f>+B43</f>
        <v>0</v>
      </c>
      <c r="E43" s="966">
        <f t="shared" ref="E43:G43" si="25">SUM(E40:E42)</f>
        <v>0</v>
      </c>
      <c r="F43" s="966">
        <f t="shared" si="25"/>
        <v>0</v>
      </c>
      <c r="G43" s="966">
        <f t="shared" si="25"/>
        <v>0</v>
      </c>
      <c r="H43" s="966">
        <f>SUM(H40:H42)</f>
        <v>3200</v>
      </c>
      <c r="I43" s="966">
        <f>SUM(I40:I42)</f>
        <v>3200</v>
      </c>
    </row>
    <row r="44" spans="1:9" ht="20.100000000000001" customHeight="1" x14ac:dyDescent="0.2">
      <c r="A44" s="969" t="str">
        <f>+'ACOP LAS MORENAS'!D9</f>
        <v>HARVIN ENOC MARIN</v>
      </c>
      <c r="B44" s="963">
        <f>+'ACOP LAS MORENAS'!X9</f>
        <v>0</v>
      </c>
      <c r="C44" s="963"/>
      <c r="D44" s="963">
        <f>+B44</f>
        <v>0</v>
      </c>
      <c r="E44" s="963"/>
      <c r="F44" s="963"/>
      <c r="G44" s="963">
        <f>+B44-E44-F44</f>
        <v>0</v>
      </c>
      <c r="H44" s="963">
        <v>1600</v>
      </c>
      <c r="I44" s="965">
        <f>+G44+H44</f>
        <v>1600</v>
      </c>
    </row>
    <row r="45" spans="1:9" ht="20.100000000000001" customHeight="1" x14ac:dyDescent="0.2">
      <c r="A45" s="969" t="str">
        <f>+'ACOP LAS MORENAS'!D10</f>
        <v>ELVIN ARIEL MARIN RIZO</v>
      </c>
      <c r="B45" s="963">
        <f>+'ACOP LAS MORENAS'!X10</f>
        <v>0</v>
      </c>
      <c r="C45" s="963"/>
      <c r="D45" s="963">
        <f t="shared" ref="D45:D46" si="26">+B45</f>
        <v>0</v>
      </c>
      <c r="E45" s="963"/>
      <c r="F45" s="963"/>
      <c r="G45" s="963">
        <f t="shared" ref="G45:G46" si="27">+B45-E45-F45</f>
        <v>0</v>
      </c>
      <c r="H45" s="963">
        <v>1600</v>
      </c>
      <c r="I45" s="965">
        <f t="shared" ref="I45:I46" si="28">+G45+H45</f>
        <v>1600</v>
      </c>
    </row>
    <row r="46" spans="1:9" ht="20.100000000000001" customHeight="1" x14ac:dyDescent="0.2">
      <c r="A46" s="969" t="str">
        <f>+'ACOP LAS MORENAS'!D12</f>
        <v>MANUEL MAIRENA</v>
      </c>
      <c r="B46" s="963">
        <f>+'ACOP LAS MORENAS'!X12</f>
        <v>0</v>
      </c>
      <c r="C46" s="963"/>
      <c r="D46" s="963">
        <f t="shared" si="26"/>
        <v>0</v>
      </c>
      <c r="E46" s="963"/>
      <c r="F46" s="963"/>
      <c r="G46" s="963">
        <f t="shared" si="27"/>
        <v>0</v>
      </c>
      <c r="H46" s="963">
        <v>1600</v>
      </c>
      <c r="I46" s="965">
        <f t="shared" si="28"/>
        <v>1600</v>
      </c>
    </row>
    <row r="47" spans="1:9" ht="20.100000000000001" customHeight="1" x14ac:dyDescent="0.2">
      <c r="A47" s="958" t="s">
        <v>365</v>
      </c>
      <c r="B47" s="966">
        <f>SUM(B44:B46)</f>
        <v>0</v>
      </c>
      <c r="C47" s="966"/>
      <c r="D47" s="966">
        <f t="shared" ref="D47:D54" si="29">+B47</f>
        <v>0</v>
      </c>
      <c r="E47" s="966">
        <f t="shared" ref="E47:G47" si="30">SUM(E44:E46)</f>
        <v>0</v>
      </c>
      <c r="F47" s="966">
        <f t="shared" si="30"/>
        <v>0</v>
      </c>
      <c r="G47" s="966">
        <f t="shared" si="30"/>
        <v>0</v>
      </c>
      <c r="H47" s="964">
        <f>SUM(H44:H46)</f>
        <v>4800</v>
      </c>
      <c r="I47" s="964">
        <f>SUM(I44:I46)</f>
        <v>4800</v>
      </c>
    </row>
    <row r="48" spans="1:9" ht="20.100000000000001" customHeight="1" x14ac:dyDescent="0.2">
      <c r="A48" s="969" t="str">
        <f>+'ACOP ABISINIA SIN INSS'!D10</f>
        <v>DAVID ISRRAEL ALMENDARES ROCHA</v>
      </c>
      <c r="B48" s="963">
        <f>+'ACOP ABISINIA SIN INSS'!X10</f>
        <v>0</v>
      </c>
      <c r="C48" s="963"/>
      <c r="D48" s="963">
        <f t="shared" si="29"/>
        <v>0</v>
      </c>
      <c r="E48" s="963">
        <f>+'ACOP ABISINIA SIN INSS'!Y10</f>
        <v>0</v>
      </c>
      <c r="F48" s="963"/>
      <c r="G48" s="963">
        <f>+B48-E48-F48</f>
        <v>0</v>
      </c>
      <c r="H48" s="963">
        <v>1280</v>
      </c>
      <c r="I48" s="965">
        <f>+G48+H48</f>
        <v>1280</v>
      </c>
    </row>
    <row r="49" spans="1:9" ht="20.100000000000001" customHeight="1" x14ac:dyDescent="0.2">
      <c r="A49" s="969" t="str">
        <f>+'ACOP ABISINIA SIN INSS'!D11</f>
        <v>JOSE MIGUEL BERRIOS ROCHA</v>
      </c>
      <c r="B49" s="963">
        <f>+'ACOP ABISINIA SIN INSS'!X11</f>
        <v>0</v>
      </c>
      <c r="C49" s="963"/>
      <c r="D49" s="963">
        <f t="shared" si="29"/>
        <v>0</v>
      </c>
      <c r="E49" s="963">
        <f>+'ACOP ABISINIA SIN INSS'!Y11</f>
        <v>0</v>
      </c>
      <c r="F49" s="963"/>
      <c r="G49" s="963">
        <f>+B49-E49-F49</f>
        <v>0</v>
      </c>
      <c r="H49" s="963">
        <v>1280</v>
      </c>
      <c r="I49" s="965">
        <f>+G49+H49</f>
        <v>1280</v>
      </c>
    </row>
    <row r="50" spans="1:9" ht="20.100000000000001" customHeight="1" x14ac:dyDescent="0.2">
      <c r="A50" s="958" t="s">
        <v>365</v>
      </c>
      <c r="B50" s="966">
        <f>SUM(B48:B49)</f>
        <v>0</v>
      </c>
      <c r="C50" s="966"/>
      <c r="D50" s="966">
        <f t="shared" si="29"/>
        <v>0</v>
      </c>
      <c r="E50" s="966">
        <f t="shared" ref="E50:G50" si="31">SUM(E48:E49)</f>
        <v>0</v>
      </c>
      <c r="F50" s="966">
        <f t="shared" si="31"/>
        <v>0</v>
      </c>
      <c r="G50" s="966">
        <f t="shared" si="31"/>
        <v>0</v>
      </c>
      <c r="H50" s="966">
        <f>SUM(H48:H49)</f>
        <v>2560</v>
      </c>
      <c r="I50" s="966">
        <f>SUM(I48:I49)</f>
        <v>2560</v>
      </c>
    </row>
    <row r="51" spans="1:9" ht="20.100000000000001" customHeight="1" x14ac:dyDescent="0.2">
      <c r="A51" s="969" t="str">
        <f>+'ACOP ESCAMBRAY'!D9</f>
        <v>GLENDA MARGINES SILES HERNANDEZ</v>
      </c>
      <c r="B51" s="963">
        <f>+'ACOP ESCAMBRAY'!V9</f>
        <v>0</v>
      </c>
      <c r="C51" s="963"/>
      <c r="D51" s="963">
        <f t="shared" si="29"/>
        <v>0</v>
      </c>
      <c r="E51" s="963">
        <f>+'ACOP ESCAMBRAY'!W9</f>
        <v>0</v>
      </c>
      <c r="F51" s="963">
        <f>+'ACOP ESCAMBRAY'!X9</f>
        <v>0</v>
      </c>
      <c r="G51" s="963">
        <f>+B51-E51-F51</f>
        <v>0</v>
      </c>
      <c r="H51" s="963">
        <v>1600</v>
      </c>
      <c r="I51" s="965">
        <f>+G51+H51</f>
        <v>1600</v>
      </c>
    </row>
    <row r="52" spans="1:9" ht="20.100000000000001" customHeight="1" x14ac:dyDescent="0.2">
      <c r="A52" s="969" t="str">
        <f>+'ACOP ESCAMBRAY'!D10</f>
        <v>ABNNER ELIACM JIRON GONZALEZ</v>
      </c>
      <c r="B52" s="963">
        <f>+'ACOP ESCAMBRAY'!V10</f>
        <v>0</v>
      </c>
      <c r="C52" s="963"/>
      <c r="D52" s="963">
        <f t="shared" si="29"/>
        <v>0</v>
      </c>
      <c r="E52" s="963">
        <f>+'ACOP ESCAMBRAY'!W10</f>
        <v>0</v>
      </c>
      <c r="F52" s="963">
        <f>+'ACOP ESCAMBRAY'!X10</f>
        <v>0</v>
      </c>
      <c r="G52" s="963">
        <f>+B52-E52-F52</f>
        <v>0</v>
      </c>
      <c r="H52" s="963">
        <v>1200</v>
      </c>
      <c r="I52" s="965">
        <f>+G52+H52</f>
        <v>1200</v>
      </c>
    </row>
    <row r="53" spans="1:9" ht="20.100000000000001" customHeight="1" x14ac:dyDescent="0.2">
      <c r="A53" s="958" t="s">
        <v>365</v>
      </c>
      <c r="B53" s="966">
        <f>SUM(B51:B52)</f>
        <v>0</v>
      </c>
      <c r="C53" s="966"/>
      <c r="D53" s="966">
        <f t="shared" si="29"/>
        <v>0</v>
      </c>
      <c r="E53" s="966">
        <f t="shared" ref="E53:G53" si="32">SUM(E51:E52)</f>
        <v>0</v>
      </c>
      <c r="F53" s="966">
        <f t="shared" si="32"/>
        <v>0</v>
      </c>
      <c r="G53" s="966">
        <f t="shared" si="32"/>
        <v>0</v>
      </c>
      <c r="H53" s="966">
        <f>SUM(H51:H52)</f>
        <v>2800</v>
      </c>
      <c r="I53" s="966">
        <f>SUM(I51:I52)</f>
        <v>2800</v>
      </c>
    </row>
    <row r="54" spans="1:9" ht="20.100000000000001" customHeight="1" x14ac:dyDescent="0.2">
      <c r="A54" s="969" t="str">
        <f>+'ACOP EL CONSUELO'!D9</f>
        <v>RICARDO ALBERTO PORTILLO HERRERA</v>
      </c>
      <c r="B54" s="963">
        <f>+'ACOP EL CONSUELO'!X9</f>
        <v>0</v>
      </c>
      <c r="C54" s="963"/>
      <c r="D54" s="963">
        <f t="shared" si="29"/>
        <v>0</v>
      </c>
      <c r="E54" s="963"/>
      <c r="F54" s="963"/>
      <c r="G54" s="963">
        <f>+B54-E54-F54</f>
        <v>0</v>
      </c>
      <c r="H54" s="963">
        <v>1200</v>
      </c>
      <c r="I54" s="965">
        <f>+G54+H54</f>
        <v>1200</v>
      </c>
    </row>
    <row r="55" spans="1:9" ht="20.100000000000001" customHeight="1" x14ac:dyDescent="0.2">
      <c r="A55" s="969" t="str">
        <f>+'ACOP EL CONSUELO'!D10</f>
        <v>EVELYN JUNNIETH PORTILLO HERRERA</v>
      </c>
      <c r="B55" s="963">
        <f>+'ACOP EL CONSUELO'!X10</f>
        <v>0</v>
      </c>
      <c r="C55" s="963"/>
      <c r="D55" s="963">
        <f t="shared" ref="D55:D56" si="33">+B55</f>
        <v>0</v>
      </c>
      <c r="E55" s="963"/>
      <c r="F55" s="963"/>
      <c r="G55" s="963">
        <f t="shared" ref="G55:G56" si="34">+B55-E55-F55</f>
        <v>0</v>
      </c>
      <c r="H55" s="963">
        <v>1200</v>
      </c>
      <c r="I55" s="965">
        <f t="shared" ref="I55:I56" si="35">+G55+H55</f>
        <v>1200</v>
      </c>
    </row>
    <row r="56" spans="1:9" ht="20.100000000000001" customHeight="1" x14ac:dyDescent="0.2">
      <c r="A56" s="969" t="str">
        <f>+'ACOP EL CONSUELO'!D11</f>
        <v>DUSTIN PORTILLO</v>
      </c>
      <c r="B56" s="963">
        <f>+'ACOP EL CONSUELO'!X11</f>
        <v>0</v>
      </c>
      <c r="C56" s="963"/>
      <c r="D56" s="963">
        <f t="shared" si="33"/>
        <v>0</v>
      </c>
      <c r="E56" s="963"/>
      <c r="F56" s="963"/>
      <c r="G56" s="963">
        <f t="shared" si="34"/>
        <v>0</v>
      </c>
      <c r="H56" s="963">
        <v>1200</v>
      </c>
      <c r="I56" s="965">
        <f t="shared" si="35"/>
        <v>1200</v>
      </c>
    </row>
    <row r="57" spans="1:9" ht="20.100000000000001" customHeight="1" x14ac:dyDescent="0.2">
      <c r="A57" s="968" t="s">
        <v>365</v>
      </c>
      <c r="B57" s="966">
        <f>SUM(B54:B56)</f>
        <v>0</v>
      </c>
      <c r="C57" s="966"/>
      <c r="D57" s="966">
        <f>+B57</f>
        <v>0</v>
      </c>
      <c r="E57" s="966">
        <f t="shared" ref="E57:G57" si="36">SUM(E54:E56)</f>
        <v>0</v>
      </c>
      <c r="F57" s="966">
        <f t="shared" si="36"/>
        <v>0</v>
      </c>
      <c r="G57" s="966">
        <f t="shared" si="36"/>
        <v>0</v>
      </c>
      <c r="H57" s="966">
        <f>SUM(H54:H56)</f>
        <v>3600</v>
      </c>
      <c r="I57" s="966">
        <f>SUM(I54:I56)</f>
        <v>3600</v>
      </c>
    </row>
    <row r="58" spans="1:9" ht="20.100000000000001" customHeight="1" x14ac:dyDescent="0.2">
      <c r="A58" s="971" t="s">
        <v>502</v>
      </c>
      <c r="B58" s="972" t="e">
        <f>+B9+B10+B16+B23+B26+B29+B33+B34+B39+B43+B47+B50+B53+B57</f>
        <v>#REF!</v>
      </c>
      <c r="C58" s="972">
        <f t="shared" ref="C58:I58" si="37">+C9+C10+C16+C23+C26+C29+C33+C34+C39+C43+C47+C50+C53+C57</f>
        <v>16991.669999999998</v>
      </c>
      <c r="D58" s="972" t="e">
        <f t="shared" si="37"/>
        <v>#REF!</v>
      </c>
      <c r="E58" s="972" t="e">
        <f t="shared" si="37"/>
        <v>#REF!</v>
      </c>
      <c r="F58" s="972" t="e">
        <f t="shared" si="37"/>
        <v>#REF!</v>
      </c>
      <c r="G58" s="972" t="e">
        <f t="shared" si="37"/>
        <v>#REF!</v>
      </c>
      <c r="H58" s="972">
        <f t="shared" si="37"/>
        <v>19520</v>
      </c>
      <c r="I58" s="972" t="e">
        <f t="shared" si="37"/>
        <v>#REF!</v>
      </c>
    </row>
    <row r="59" spans="1:9" ht="20.100000000000001" customHeight="1" x14ac:dyDescent="0.2"/>
    <row r="60" spans="1:9" ht="20.100000000000001" customHeight="1" x14ac:dyDescent="0.2"/>
    <row r="61" spans="1:9" ht="20.100000000000001" customHeight="1" x14ac:dyDescent="0.2"/>
    <row r="62" spans="1:9" ht="20.100000000000001" customHeight="1" x14ac:dyDescent="0.2"/>
    <row r="63" spans="1:9" ht="20.100000000000001" customHeight="1" x14ac:dyDescent="0.2"/>
    <row r="64" spans="1:9" ht="20.100000000000001" customHeight="1" x14ac:dyDescent="0.2"/>
    <row r="65" ht="20.100000000000001" customHeight="1" x14ac:dyDescent="0.2"/>
    <row r="66" ht="20.100000000000001" customHeight="1" x14ac:dyDescent="0.2"/>
    <row r="67" ht="20.100000000000001" customHeight="1" x14ac:dyDescent="0.2"/>
  </sheetData>
  <mergeCells count="2">
    <mergeCell ref="A1:I1"/>
    <mergeCell ref="A2:I2"/>
  </mergeCells>
  <phoneticPr fontId="77" type="noConversion"/>
  <printOptions horizontalCentered="1" verticalCentered="1"/>
  <pageMargins left="0" right="0" top="0" bottom="0" header="0" footer="0"/>
  <pageSetup paperSize="5" scale="8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8">
    <tabColor theme="7" tint="0.39997558519241921"/>
  </sheetPr>
  <dimension ref="A2:E10"/>
  <sheetViews>
    <sheetView workbookViewId="0">
      <selection activeCell="D8" sqref="D8"/>
    </sheetView>
  </sheetViews>
  <sheetFormatPr baseColWidth="10" defaultRowHeight="10.199999999999999" x14ac:dyDescent="0.2"/>
  <cols>
    <col min="1" max="1" width="32.42578125" bestFit="1" customWidth="1"/>
    <col min="4" max="4" width="14.85546875" bestFit="1" customWidth="1"/>
    <col min="5" max="5" width="19.42578125" bestFit="1" customWidth="1"/>
  </cols>
  <sheetData>
    <row r="2" spans="1:5" ht="15.6" x14ac:dyDescent="0.3">
      <c r="A2" s="1510" t="str">
        <f>+'[2] INSS#1'!A1:BZ1</f>
        <v>AGRICOLA SANTA ISABEL</v>
      </c>
      <c r="B2" s="1510"/>
      <c r="C2" s="1510"/>
      <c r="D2" s="1510"/>
      <c r="E2" s="1510"/>
    </row>
    <row r="3" spans="1:5" ht="15.6" x14ac:dyDescent="0.3">
      <c r="A3" s="1510" t="s">
        <v>242</v>
      </c>
      <c r="B3" s="1510"/>
      <c r="C3" s="1510"/>
      <c r="D3" s="1510"/>
      <c r="E3" s="1510"/>
    </row>
    <row r="4" spans="1:5" ht="15.6" x14ac:dyDescent="0.3">
      <c r="A4" s="1510" t="s">
        <v>239</v>
      </c>
      <c r="B4" s="1510"/>
      <c r="C4" s="1510"/>
      <c r="D4" s="1510"/>
      <c r="E4" s="1510"/>
    </row>
    <row r="5" spans="1:5" ht="10.8" thickBot="1" x14ac:dyDescent="0.25">
      <c r="A5" s="339"/>
      <c r="B5" s="339"/>
      <c r="C5" s="339"/>
      <c r="D5" s="339"/>
    </row>
    <row r="6" spans="1:5" ht="15" thickBot="1" x14ac:dyDescent="0.35">
      <c r="A6" s="340"/>
      <c r="B6" s="341" t="s">
        <v>68</v>
      </c>
      <c r="C6" s="341" t="s">
        <v>240</v>
      </c>
      <c r="D6" s="340"/>
      <c r="E6" s="342" t="s">
        <v>241</v>
      </c>
    </row>
    <row r="7" spans="1:5" ht="16.2" thickBot="1" x14ac:dyDescent="0.25">
      <c r="A7" s="343"/>
      <c r="B7" s="344"/>
      <c r="C7" s="345"/>
      <c r="D7" s="346"/>
      <c r="E7" s="347"/>
    </row>
    <row r="8" spans="1:5" ht="16.2" thickBot="1" x14ac:dyDescent="0.25">
      <c r="A8" s="343" t="s">
        <v>235</v>
      </c>
      <c r="B8" s="344">
        <v>0</v>
      </c>
      <c r="C8" s="345">
        <v>0</v>
      </c>
      <c r="D8" s="346">
        <v>0</v>
      </c>
      <c r="E8" s="347"/>
    </row>
    <row r="9" spans="1:5" ht="16.2" thickBot="1" x14ac:dyDescent="0.25">
      <c r="A9" s="343"/>
      <c r="B9" s="344"/>
      <c r="C9" s="345"/>
      <c r="D9" s="346"/>
      <c r="E9" s="347"/>
    </row>
    <row r="10" spans="1:5" ht="18" x14ac:dyDescent="0.2">
      <c r="A10" s="348"/>
      <c r="B10" s="348"/>
      <c r="C10" s="348"/>
      <c r="D10" s="349">
        <f>SUM(D7:D9)</f>
        <v>0</v>
      </c>
      <c r="E10" s="348"/>
    </row>
  </sheetData>
  <mergeCells count="3">
    <mergeCell ref="A2:E2"/>
    <mergeCell ref="A3:E3"/>
    <mergeCell ref="A4:E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BC545-7B72-42DC-BC94-5FBC440D0B00}">
  <sheetPr transitionEvaluation="1">
    <tabColor rgb="FFFFFF00"/>
    <pageSetUpPr fitToPage="1"/>
  </sheetPr>
  <dimension ref="A2:AI41"/>
  <sheetViews>
    <sheetView showGridLines="0" zoomScale="87" zoomScaleNormal="87" workbookViewId="0">
      <selection activeCell="O9" sqref="O9"/>
    </sheetView>
  </sheetViews>
  <sheetFormatPr baseColWidth="10" defaultColWidth="9.85546875" defaultRowHeight="14.4" x14ac:dyDescent="0.2"/>
  <cols>
    <col min="1" max="1" width="5.42578125" style="1" bestFit="1" customWidth="1"/>
    <col min="2" max="2" width="4.140625" style="1" hidden="1" customWidth="1"/>
    <col min="3" max="3" width="16.42578125" style="1" hidden="1" customWidth="1"/>
    <col min="4" max="4" width="28.28515625" style="1" customWidth="1"/>
    <col min="5" max="5" width="5.28515625" style="1" customWidth="1"/>
    <col min="6" max="6" width="6" style="5" bestFit="1" customWidth="1"/>
    <col min="7" max="7" width="23.28515625" style="5" hidden="1" customWidth="1"/>
    <col min="8" max="8" width="12.42578125" style="5" hidden="1" customWidth="1"/>
    <col min="9" max="9" width="12.42578125" style="575" hidden="1" customWidth="1"/>
    <col min="10" max="10" width="15.140625" style="1" customWidth="1"/>
    <col min="11" max="11" width="17.42578125" style="1" bestFit="1" customWidth="1"/>
    <col min="12" max="12" width="12.42578125" style="6" bestFit="1" customWidth="1"/>
    <col min="13" max="13" width="9" style="6" hidden="1" customWidth="1"/>
    <col min="14" max="14" width="12" style="6" hidden="1" customWidth="1"/>
    <col min="15" max="15" width="8.85546875" style="6" customWidth="1"/>
    <col min="16" max="16" width="15.42578125" style="1" customWidth="1"/>
    <col min="17" max="17" width="13.7109375" style="1" customWidth="1"/>
    <col min="18" max="18" width="14.28515625" style="1" customWidth="1"/>
    <col min="19" max="19" width="16.85546875" style="1" bestFit="1" customWidth="1"/>
    <col min="20" max="20" width="13.28515625" style="1" hidden="1" customWidth="1"/>
    <col min="21" max="21" width="12.42578125" style="1" customWidth="1"/>
    <col min="22" max="22" width="8.42578125" style="1" customWidth="1"/>
    <col min="23" max="23" width="10.42578125" style="1" customWidth="1"/>
    <col min="24" max="24" width="14.85546875" style="1" bestFit="1" customWidth="1"/>
    <col min="25" max="25" width="15.85546875" style="1" customWidth="1"/>
    <col min="26" max="26" width="13.42578125" style="1" customWidth="1"/>
    <col min="27" max="27" width="12.42578125" style="1" customWidth="1"/>
    <col min="28" max="28" width="17.85546875" style="1" customWidth="1"/>
    <col min="29" max="29" width="54" style="1" customWidth="1"/>
    <col min="30" max="30" width="13.140625" style="1" hidden="1" customWidth="1"/>
    <col min="31" max="31" width="17.140625" style="1" hidden="1" customWidth="1"/>
    <col min="32" max="32" width="38.85546875" style="1" customWidth="1"/>
    <col min="33" max="33" width="3.85546875" style="1" customWidth="1"/>
    <col min="34" max="34" width="8.85546875" style="1" customWidth="1"/>
    <col min="35" max="36" width="1.85546875" style="1" customWidth="1"/>
    <col min="37" max="37" width="13.85546875" style="1" customWidth="1"/>
    <col min="38" max="38" width="6.85546875" style="1" customWidth="1"/>
    <col min="39" max="39" width="5.85546875" style="1" customWidth="1"/>
    <col min="40" max="40" width="7.85546875" style="1" customWidth="1"/>
    <col min="41" max="41" width="1.85546875" style="1" customWidth="1"/>
    <col min="42" max="42" width="38.85546875" style="1" customWidth="1"/>
    <col min="43" max="43" width="3.85546875" style="1" customWidth="1"/>
    <col min="44" max="44" width="8.85546875" style="1" customWidth="1"/>
    <col min="45" max="45" width="1.85546875" style="1" customWidth="1"/>
    <col min="46" max="16384" width="9.85546875" style="1"/>
  </cols>
  <sheetData>
    <row r="2" spans="1:35" s="15" customFormat="1" ht="17.25" customHeight="1" x14ac:dyDescent="0.2">
      <c r="A2" s="1177" t="s">
        <v>179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</row>
    <row r="3" spans="1:35" s="15" customFormat="1" ht="17.25" customHeight="1" x14ac:dyDescent="0.2">
      <c r="A3" s="1177" t="s">
        <v>314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1177"/>
      <c r="AA3" s="1177"/>
      <c r="AB3" s="1177"/>
      <c r="AC3" s="1177"/>
      <c r="AD3" s="1177"/>
      <c r="AE3" s="1177"/>
    </row>
    <row r="4" spans="1:35" s="15" customFormat="1" ht="17.25" customHeight="1" x14ac:dyDescent="0.3">
      <c r="A4" s="1178" t="str">
        <f>+TECNICOS!A4</f>
        <v>QUINCENA DEL 16  AL 30  DE ABRIL - 2026</v>
      </c>
      <c r="B4" s="1178"/>
      <c r="C4" s="1178"/>
      <c r="D4" s="1178"/>
      <c r="E4" s="1178"/>
      <c r="F4" s="1178"/>
      <c r="G4" s="1178"/>
      <c r="H4" s="1178"/>
      <c r="I4" s="1178"/>
      <c r="J4" s="1178"/>
      <c r="K4" s="1178"/>
      <c r="L4" s="1178"/>
      <c r="M4" s="1178"/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1178"/>
      <c r="AA4" s="1178"/>
      <c r="AB4" s="1178"/>
      <c r="AC4" s="1178"/>
      <c r="AD4" s="1178"/>
      <c r="AE4" s="1178"/>
    </row>
    <row r="5" spans="1:35" s="15" customFormat="1" ht="18" customHeight="1" thickBot="1" x14ac:dyDescent="0.35">
      <c r="A5" s="74"/>
      <c r="B5" s="75"/>
      <c r="C5" s="74"/>
      <c r="D5" s="74"/>
      <c r="E5" s="74"/>
      <c r="F5" s="74"/>
      <c r="G5" s="74"/>
      <c r="H5" s="74"/>
      <c r="I5" s="590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26"/>
      <c r="AD5" s="26"/>
      <c r="AE5" s="26"/>
    </row>
    <row r="6" spans="1:35" s="11" customFormat="1" ht="15" customHeight="1" thickTop="1" thickBot="1" x14ac:dyDescent="0.25">
      <c r="A6" s="1143" t="s">
        <v>2</v>
      </c>
      <c r="B6" s="1143" t="s">
        <v>3</v>
      </c>
      <c r="C6" s="1143" t="s">
        <v>4</v>
      </c>
      <c r="D6" s="1143" t="s">
        <v>6</v>
      </c>
      <c r="E6" s="1179" t="s">
        <v>187</v>
      </c>
      <c r="F6" s="1143" t="s">
        <v>7</v>
      </c>
      <c r="G6" s="1144" t="s">
        <v>126</v>
      </c>
      <c r="H6" s="1182" t="s">
        <v>125</v>
      </c>
      <c r="I6" s="1511" t="s">
        <v>82</v>
      </c>
      <c r="J6" s="1143" t="s">
        <v>8</v>
      </c>
      <c r="K6" s="1151" t="s">
        <v>9</v>
      </c>
      <c r="L6" s="1151"/>
      <c r="M6" s="1151"/>
      <c r="N6" s="1151"/>
      <c r="O6" s="1151"/>
      <c r="P6" s="1151"/>
      <c r="Q6" s="351"/>
      <c r="R6" s="351"/>
      <c r="S6" s="1143" t="s">
        <v>10</v>
      </c>
      <c r="T6" s="1143"/>
      <c r="U6" s="1143"/>
      <c r="V6" s="1143"/>
      <c r="W6" s="1143"/>
      <c r="X6" s="1143"/>
      <c r="Y6" s="1335" t="s">
        <v>29</v>
      </c>
      <c r="Z6" s="1143" t="s">
        <v>31</v>
      </c>
      <c r="AA6" s="1157" t="s">
        <v>114</v>
      </c>
      <c r="AB6" s="1143" t="s">
        <v>11</v>
      </c>
      <c r="AC6" s="1173" t="s">
        <v>12</v>
      </c>
      <c r="AD6" s="1143"/>
      <c r="AE6" s="1143"/>
    </row>
    <row r="7" spans="1:35" s="13" customFormat="1" ht="21.75" customHeight="1" thickTop="1" thickBot="1" x14ac:dyDescent="0.25">
      <c r="A7" s="1143"/>
      <c r="B7" s="1143"/>
      <c r="C7" s="1143"/>
      <c r="D7" s="1143"/>
      <c r="E7" s="1180"/>
      <c r="F7" s="1143"/>
      <c r="G7" s="1144"/>
      <c r="H7" s="1182"/>
      <c r="I7" s="1512"/>
      <c r="J7" s="1143"/>
      <c r="K7" s="1143" t="s">
        <v>177</v>
      </c>
      <c r="L7" s="1155" t="s">
        <v>16</v>
      </c>
      <c r="M7" s="1168" t="s">
        <v>196</v>
      </c>
      <c r="N7" s="1168" t="s">
        <v>197</v>
      </c>
      <c r="O7" s="1333" t="s">
        <v>195</v>
      </c>
      <c r="P7" s="1143" t="s">
        <v>200</v>
      </c>
      <c r="Q7" s="1335" t="s">
        <v>199</v>
      </c>
      <c r="R7" s="1335" t="s">
        <v>53</v>
      </c>
      <c r="S7" s="1143" t="s">
        <v>29</v>
      </c>
      <c r="T7" s="1335"/>
      <c r="U7" s="1335" t="s">
        <v>3</v>
      </c>
      <c r="V7" s="1143" t="s">
        <v>19</v>
      </c>
      <c r="W7" s="1143" t="s">
        <v>94</v>
      </c>
      <c r="X7" s="1143" t="s">
        <v>20</v>
      </c>
      <c r="Y7" s="1337"/>
      <c r="Z7" s="1143"/>
      <c r="AA7" s="1157"/>
      <c r="AB7" s="1143"/>
      <c r="AC7" s="1173"/>
      <c r="AD7" s="1143"/>
      <c r="AE7" s="1143"/>
      <c r="AF7" s="12"/>
      <c r="AG7" s="12"/>
      <c r="AH7" s="12"/>
      <c r="AI7" s="12"/>
    </row>
    <row r="8" spans="1:35" s="13" customFormat="1" ht="43.65" customHeight="1" thickTop="1" thickBot="1" x14ac:dyDescent="0.25">
      <c r="A8" s="1143"/>
      <c r="B8" s="1143"/>
      <c r="C8" s="1143"/>
      <c r="D8" s="1143"/>
      <c r="E8" s="1181"/>
      <c r="F8" s="1143"/>
      <c r="G8" s="1144"/>
      <c r="H8" s="1182"/>
      <c r="I8" s="1513"/>
      <c r="J8" s="1143"/>
      <c r="K8" s="1143"/>
      <c r="L8" s="1155"/>
      <c r="M8" s="1169"/>
      <c r="N8" s="1169"/>
      <c r="O8" s="1334"/>
      <c r="P8" s="1143"/>
      <c r="Q8" s="1336"/>
      <c r="R8" s="1336"/>
      <c r="S8" s="1143"/>
      <c r="T8" s="1336"/>
      <c r="U8" s="1336"/>
      <c r="V8" s="1143"/>
      <c r="W8" s="1143"/>
      <c r="X8" s="1143"/>
      <c r="Y8" s="1336"/>
      <c r="Z8" s="1143"/>
      <c r="AA8" s="1157"/>
      <c r="AB8" s="1143"/>
      <c r="AC8" s="1173"/>
      <c r="AD8" s="1143"/>
      <c r="AE8" s="1143"/>
    </row>
    <row r="9" spans="1:35" s="326" customFormat="1" ht="85.2" customHeight="1" thickTop="1" thickBot="1" x14ac:dyDescent="0.25">
      <c r="A9" s="319">
        <v>2</v>
      </c>
      <c r="B9" s="320">
        <v>1</v>
      </c>
      <c r="C9" s="334"/>
      <c r="D9" s="633" t="s">
        <v>319</v>
      </c>
      <c r="E9" s="211" t="s">
        <v>32</v>
      </c>
      <c r="F9" s="352" t="s">
        <v>264</v>
      </c>
      <c r="G9" s="78"/>
      <c r="H9" s="79"/>
      <c r="I9" s="567">
        <v>275</v>
      </c>
      <c r="J9" s="583">
        <v>8250</v>
      </c>
      <c r="K9" s="583">
        <f t="shared" ref="K9" si="0">(J9/30)*L9</f>
        <v>0</v>
      </c>
      <c r="L9" s="628">
        <v>0</v>
      </c>
      <c r="M9" s="328">
        <f t="shared" ref="M9" si="1">+N9*O9</f>
        <v>0</v>
      </c>
      <c r="N9" s="584">
        <f t="shared" ref="N9" si="2">I9*60%</f>
        <v>165</v>
      </c>
      <c r="O9" s="328">
        <v>0</v>
      </c>
      <c r="P9" s="585">
        <f t="shared" ref="P9" si="3">+K9-Q9-R9</f>
        <v>0</v>
      </c>
      <c r="Q9" s="585">
        <f t="shared" ref="Q9" si="4">+K9/12</f>
        <v>0</v>
      </c>
      <c r="R9" s="585">
        <f t="shared" ref="R9" si="5">+Q9</f>
        <v>0</v>
      </c>
      <c r="S9" s="583">
        <f t="shared" ref="S9" si="6">+R9+P9+Q9</f>
        <v>0</v>
      </c>
      <c r="T9" s="321">
        <f t="shared" ref="T9" si="7">P9+Q9</f>
        <v>0</v>
      </c>
      <c r="U9" s="321"/>
      <c r="V9" s="321"/>
      <c r="W9" s="321"/>
      <c r="X9" s="324">
        <f t="shared" ref="X9" si="8">U9</f>
        <v>0</v>
      </c>
      <c r="Y9" s="585">
        <f t="shared" ref="Y9" si="9">-X9+P9+Q9+R9</f>
        <v>0</v>
      </c>
      <c r="Z9" s="324">
        <v>0</v>
      </c>
      <c r="AA9" s="324">
        <v>0</v>
      </c>
      <c r="AB9" s="355">
        <f t="shared" ref="AB9" si="10">Y9+Z9-AA9</f>
        <v>0</v>
      </c>
      <c r="AC9" s="325"/>
      <c r="AD9" s="325">
        <v>0.155</v>
      </c>
      <c r="AE9" s="325">
        <f t="shared" ref="AE9" si="11">S9-R9</f>
        <v>0</v>
      </c>
    </row>
    <row r="10" spans="1:35" s="7" customFormat="1" ht="75" customHeight="1" thickTop="1" thickBot="1" x14ac:dyDescent="0.25">
      <c r="A10" s="1162" t="s">
        <v>95</v>
      </c>
      <c r="B10" s="1163"/>
      <c r="C10" s="1163"/>
      <c r="D10" s="1164"/>
      <c r="E10" s="211"/>
      <c r="F10" s="210"/>
      <c r="G10" s="85" t="e">
        <f>SUM(#REF!)</f>
        <v>#REF!</v>
      </c>
      <c r="H10" s="85"/>
      <c r="I10" s="591">
        <f t="shared" ref="I10:AB10" si="12">SUM(I9:I9)</f>
        <v>275</v>
      </c>
      <c r="J10" s="86">
        <f t="shared" si="12"/>
        <v>8250</v>
      </c>
      <c r="K10" s="86">
        <f t="shared" si="12"/>
        <v>0</v>
      </c>
      <c r="L10" s="86">
        <f t="shared" si="12"/>
        <v>0</v>
      </c>
      <c r="M10" s="86">
        <f t="shared" si="12"/>
        <v>0</v>
      </c>
      <c r="N10" s="86">
        <f t="shared" si="12"/>
        <v>165</v>
      </c>
      <c r="O10" s="86">
        <f t="shared" si="12"/>
        <v>0</v>
      </c>
      <c r="P10" s="86">
        <f t="shared" si="12"/>
        <v>0</v>
      </c>
      <c r="Q10" s="86">
        <f t="shared" si="12"/>
        <v>0</v>
      </c>
      <c r="R10" s="86">
        <f t="shared" si="12"/>
        <v>0</v>
      </c>
      <c r="S10" s="86">
        <f t="shared" si="12"/>
        <v>0</v>
      </c>
      <c r="T10" s="86">
        <f t="shared" si="12"/>
        <v>0</v>
      </c>
      <c r="U10" s="86">
        <f t="shared" si="12"/>
        <v>0</v>
      </c>
      <c r="V10" s="86">
        <f t="shared" si="12"/>
        <v>0</v>
      </c>
      <c r="W10" s="86">
        <f t="shared" si="12"/>
        <v>0</v>
      </c>
      <c r="X10" s="86">
        <f t="shared" si="12"/>
        <v>0</v>
      </c>
      <c r="Y10" s="86">
        <f t="shared" si="12"/>
        <v>0</v>
      </c>
      <c r="Z10" s="86">
        <f t="shared" si="12"/>
        <v>0</v>
      </c>
      <c r="AA10" s="86">
        <f t="shared" si="12"/>
        <v>0</v>
      </c>
      <c r="AB10" s="163">
        <f t="shared" si="12"/>
        <v>0</v>
      </c>
      <c r="AC10" s="87" t="s">
        <v>105</v>
      </c>
      <c r="AD10" s="86" t="e">
        <f>SUM(#REF!)</f>
        <v>#REF!</v>
      </c>
      <c r="AE10" s="86" t="e">
        <f>SUM(#REF!)</f>
        <v>#REF!</v>
      </c>
    </row>
    <row r="11" spans="1:35" s="14" customFormat="1" ht="19.5" customHeight="1" thickTop="1" x14ac:dyDescent="0.2">
      <c r="A11" s="27"/>
      <c r="B11" s="27"/>
      <c r="C11" s="27"/>
      <c r="D11" s="27"/>
      <c r="E11" s="27"/>
      <c r="F11" s="28"/>
      <c r="G11" s="28"/>
      <c r="H11" s="28"/>
      <c r="I11" s="568"/>
      <c r="J11" s="27"/>
      <c r="K11" s="27"/>
      <c r="L11" s="29"/>
      <c r="M11" s="29"/>
      <c r="N11" s="29"/>
      <c r="O11" s="29"/>
      <c r="P11" s="27" t="s">
        <v>5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 spans="1:35" s="14" customFormat="1" ht="19.5" customHeight="1" x14ac:dyDescent="0.2">
      <c r="A12" s="27"/>
      <c r="B12" s="27"/>
      <c r="C12" s="27"/>
      <c r="D12" s="27"/>
      <c r="E12" s="27"/>
      <c r="F12" s="28"/>
      <c r="G12" s="28"/>
      <c r="H12" s="28"/>
      <c r="I12" s="568"/>
      <c r="J12" s="27"/>
      <c r="K12" s="27"/>
      <c r="L12" s="29"/>
      <c r="M12" s="29"/>
      <c r="N12" s="29"/>
      <c r="O12" s="29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spans="1:35" s="14" customFormat="1" ht="19.5" customHeight="1" x14ac:dyDescent="0.2">
      <c r="A13" s="27"/>
      <c r="B13" s="27"/>
      <c r="C13" s="27"/>
      <c r="D13" s="27"/>
      <c r="E13" s="27"/>
      <c r="F13" s="28"/>
      <c r="G13" s="28"/>
      <c r="H13" s="28"/>
      <c r="I13" s="568"/>
      <c r="J13" s="27"/>
      <c r="K13" s="27"/>
      <c r="L13" s="29"/>
      <c r="M13" s="29"/>
      <c r="N13" s="29"/>
      <c r="O13" s="29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5" s="14" customFormat="1" ht="19.5" customHeight="1" x14ac:dyDescent="0.2">
      <c r="A14" s="27"/>
      <c r="B14" s="27"/>
      <c r="C14" s="27"/>
      <c r="D14" s="27"/>
      <c r="E14" s="27"/>
      <c r="F14" s="28"/>
      <c r="G14" s="28"/>
      <c r="H14" s="28"/>
      <c r="I14" s="569"/>
      <c r="J14" s="338"/>
      <c r="K14" s="27"/>
      <c r="L14" s="29"/>
      <c r="M14" s="29"/>
      <c r="N14" s="29"/>
      <c r="O14" s="29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35" s="11" customFormat="1" x14ac:dyDescent="0.2">
      <c r="A15" s="27"/>
      <c r="B15" s="27"/>
      <c r="C15" s="27"/>
      <c r="D15" s="27"/>
      <c r="E15" s="27"/>
      <c r="F15" s="28"/>
      <c r="G15" s="28"/>
      <c r="H15" s="28"/>
      <c r="I15" s="568"/>
      <c r="J15" s="27"/>
      <c r="K15" s="27"/>
      <c r="L15" s="29"/>
      <c r="M15" s="29"/>
      <c r="N15" s="29"/>
      <c r="O15" s="29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5" s="11" customFormat="1" x14ac:dyDescent="0.2">
      <c r="A16" s="30"/>
      <c r="B16" s="27"/>
      <c r="C16" s="30"/>
      <c r="D16" s="27"/>
      <c r="E16" s="27"/>
      <c r="F16" s="28"/>
      <c r="G16" s="28"/>
      <c r="H16" s="28"/>
      <c r="I16" s="568"/>
      <c r="J16" s="27"/>
      <c r="K16" s="27"/>
      <c r="L16" s="29"/>
      <c r="M16" s="29"/>
      <c r="N16" s="29"/>
      <c r="O16" s="29"/>
      <c r="P16" s="30"/>
      <c r="Q16" s="30"/>
      <c r="R16" s="30"/>
      <c r="S16" s="27"/>
      <c r="T16" s="27"/>
      <c r="U16" s="27"/>
      <c r="V16" s="27"/>
      <c r="W16" s="31"/>
      <c r="X16" s="27"/>
      <c r="Y16" s="27"/>
      <c r="Z16" s="27"/>
      <c r="AA16" s="27"/>
      <c r="AB16" s="30"/>
      <c r="AC16" s="27"/>
      <c r="AD16" s="27"/>
      <c r="AE16" s="27"/>
    </row>
    <row r="17" spans="1:31" s="11" customFormat="1" x14ac:dyDescent="0.2">
      <c r="A17" s="30"/>
      <c r="B17" s="27"/>
      <c r="C17" s="30"/>
      <c r="D17" s="27"/>
      <c r="E17" s="27"/>
      <c r="F17" s="28"/>
      <c r="G17" s="28"/>
      <c r="H17" s="28"/>
      <c r="I17" s="568"/>
      <c r="J17" s="27"/>
      <c r="K17" s="27"/>
      <c r="L17" s="29"/>
      <c r="M17" s="29"/>
      <c r="N17" s="29"/>
      <c r="O17" s="29"/>
      <c r="P17" s="30"/>
      <c r="Q17" s="30"/>
      <c r="R17" s="30"/>
      <c r="S17" s="27"/>
      <c r="T17" s="27"/>
      <c r="U17" s="27"/>
      <c r="V17" s="27"/>
      <c r="W17" s="32"/>
      <c r="X17" s="27"/>
      <c r="Y17" s="27"/>
      <c r="Z17" s="27"/>
      <c r="AA17" s="27"/>
      <c r="AB17" s="30"/>
      <c r="AC17" s="27"/>
      <c r="AD17" s="27"/>
      <c r="AE17" s="27"/>
    </row>
    <row r="18" spans="1:31" s="11" customFormat="1" x14ac:dyDescent="0.2">
      <c r="A18" s="30"/>
      <c r="B18" s="27"/>
      <c r="C18" s="1165"/>
      <c r="D18" s="1165"/>
      <c r="E18" s="1165"/>
      <c r="F18" s="1165"/>
      <c r="G18" s="49"/>
      <c r="H18" s="49"/>
      <c r="I18" s="570"/>
      <c r="J18" s="27"/>
      <c r="K18" s="27"/>
      <c r="L18" s="538"/>
      <c r="M18" s="538"/>
      <c r="N18" s="538"/>
      <c r="O18" s="538"/>
      <c r="P18" s="538"/>
      <c r="Q18" s="536"/>
      <c r="R18" s="536"/>
      <c r="S18" s="536"/>
      <c r="T18" s="536"/>
      <c r="U18" s="536"/>
      <c r="V18" s="538"/>
      <c r="W18" s="538"/>
      <c r="X18" s="538"/>
      <c r="Y18" s="29"/>
      <c r="Z18" s="27"/>
      <c r="AA18" s="27"/>
      <c r="AB18" s="1165"/>
      <c r="AC18" s="1165"/>
      <c r="AD18" s="1165"/>
      <c r="AE18" s="1165"/>
    </row>
    <row r="19" spans="1:31" s="11" customFormat="1" ht="13.5" customHeight="1" x14ac:dyDescent="0.2">
      <c r="A19" s="27"/>
      <c r="B19" s="27"/>
      <c r="C19" s="1167" t="s">
        <v>23</v>
      </c>
      <c r="D19" s="1167"/>
      <c r="E19" s="1167"/>
      <c r="F19" s="1167"/>
      <c r="G19" s="52"/>
      <c r="H19" s="52"/>
      <c r="I19" s="571"/>
      <c r="J19" s="27"/>
      <c r="K19" s="27"/>
      <c r="L19" s="1160" t="s">
        <v>24</v>
      </c>
      <c r="M19" s="1160"/>
      <c r="N19" s="1160"/>
      <c r="O19" s="1160"/>
      <c r="P19" s="1160"/>
      <c r="Q19" s="1160"/>
      <c r="R19" s="1160"/>
      <c r="S19" s="1160"/>
      <c r="T19" s="1160"/>
      <c r="U19" s="1160"/>
      <c r="V19" s="1160"/>
      <c r="W19" s="1160"/>
      <c r="X19" s="1160"/>
      <c r="Y19" s="52"/>
      <c r="Z19" s="27"/>
      <c r="AA19" s="27"/>
      <c r="AB19" s="1167" t="s">
        <v>25</v>
      </c>
      <c r="AC19" s="1167"/>
      <c r="AD19" s="1167"/>
      <c r="AE19" s="1167"/>
    </row>
    <row r="20" spans="1:31" s="11" customFormat="1" x14ac:dyDescent="0.2">
      <c r="A20" s="30"/>
      <c r="B20" s="27"/>
      <c r="C20" s="1159" t="str">
        <f>+'ADMON COM. '!C50:F50</f>
        <v>Jose Martin Conrrado</v>
      </c>
      <c r="D20" s="1159"/>
      <c r="E20" s="1159"/>
      <c r="F20" s="1159"/>
      <c r="G20" s="48"/>
      <c r="H20" s="48"/>
      <c r="I20" s="572"/>
      <c r="J20" s="27"/>
      <c r="K20" s="30"/>
      <c r="L20" s="1159" t="s">
        <v>271</v>
      </c>
      <c r="M20" s="1159"/>
      <c r="N20" s="1159"/>
      <c r="O20" s="1159"/>
      <c r="P20" s="1159"/>
      <c r="Q20" s="1159"/>
      <c r="R20" s="1159"/>
      <c r="S20" s="1159"/>
      <c r="T20" s="1159"/>
      <c r="U20" s="1159"/>
      <c r="V20" s="1159"/>
      <c r="W20" s="1159"/>
      <c r="X20" s="1159"/>
      <c r="Y20" s="48"/>
      <c r="Z20" s="33"/>
      <c r="AA20" s="33"/>
      <c r="AB20" s="1160" t="s">
        <v>27</v>
      </c>
      <c r="AC20" s="1160"/>
      <c r="AD20" s="1160"/>
      <c r="AE20" s="1160"/>
    </row>
    <row r="21" spans="1:31" s="11" customFormat="1" x14ac:dyDescent="0.2">
      <c r="A21" s="8"/>
      <c r="B21" s="8"/>
      <c r="C21" s="1161"/>
      <c r="D21" s="1161"/>
      <c r="E21" s="25"/>
      <c r="F21" s="25"/>
      <c r="G21" s="25"/>
      <c r="H21" s="25"/>
      <c r="I21" s="573"/>
      <c r="J21" s="8"/>
      <c r="K21" s="8"/>
      <c r="L21" s="9"/>
      <c r="M21" s="9"/>
      <c r="N21" s="9"/>
      <c r="O21" s="9"/>
      <c r="P21" s="1161"/>
      <c r="Q21" s="1161"/>
      <c r="R21" s="1161"/>
      <c r="S21" s="1161"/>
      <c r="T21" s="1161"/>
      <c r="U21" s="1161"/>
      <c r="V21" s="1161"/>
      <c r="W21" s="25"/>
      <c r="X21" s="25"/>
      <c r="Y21" s="25"/>
      <c r="Z21" s="25"/>
      <c r="AA21" s="25"/>
      <c r="AB21" s="8"/>
      <c r="AC21" s="8"/>
      <c r="AD21" s="8"/>
      <c r="AE21" s="8"/>
    </row>
    <row r="22" spans="1:31" x14ac:dyDescent="0.2">
      <c r="A22" s="3"/>
      <c r="B22" s="3"/>
      <c r="C22" s="3"/>
      <c r="D22" s="3"/>
      <c r="E22" s="3"/>
      <c r="F22" s="4"/>
      <c r="G22" s="4"/>
      <c r="H22" s="4"/>
      <c r="I22" s="574"/>
      <c r="J22" s="3"/>
      <c r="K22" s="3"/>
      <c r="L22" s="2"/>
      <c r="M22" s="2"/>
      <c r="N22" s="2"/>
      <c r="O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">
      <c r="A23" s="3"/>
      <c r="B23" s="3"/>
      <c r="C23" s="3"/>
      <c r="D23" s="3"/>
      <c r="E23" s="3"/>
      <c r="F23" s="4"/>
      <c r="G23" s="4"/>
      <c r="H23" s="4"/>
      <c r="I23" s="574"/>
      <c r="J23" s="3"/>
      <c r="K23" s="3"/>
      <c r="L23" s="2"/>
      <c r="M23" s="2"/>
      <c r="N23" s="2"/>
      <c r="O23" s="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">
      <c r="A24" s="3"/>
      <c r="B24" s="3"/>
      <c r="C24" s="3"/>
      <c r="D24" s="3"/>
      <c r="E24" s="3"/>
      <c r="F24" s="4"/>
      <c r="G24" s="4"/>
      <c r="H24" s="4"/>
      <c r="I24" s="574"/>
      <c r="J24" s="3"/>
      <c r="K24" s="3"/>
      <c r="L24" s="2"/>
      <c r="M24" s="2"/>
      <c r="N24" s="2"/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">
      <c r="A25" s="3"/>
      <c r="B25" s="3"/>
      <c r="C25" s="3"/>
      <c r="D25" s="3"/>
      <c r="E25" s="3"/>
      <c r="F25" s="4"/>
      <c r="G25" s="4"/>
      <c r="H25" s="4"/>
      <c r="I25" s="574"/>
      <c r="J25" s="3"/>
      <c r="K25" s="3"/>
      <c r="L25" s="2"/>
      <c r="M25" s="2"/>
      <c r="N25" s="2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2">
      <c r="A26" s="3"/>
      <c r="B26" s="3"/>
      <c r="C26" s="3"/>
      <c r="D26" s="3"/>
      <c r="E26" s="3"/>
      <c r="F26" s="4"/>
      <c r="G26" s="4"/>
      <c r="H26" s="4"/>
      <c r="I26" s="574"/>
      <c r="J26" s="3"/>
      <c r="K26" s="3"/>
      <c r="L26" s="2"/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">
      <c r="A27" s="3"/>
      <c r="B27" s="3"/>
      <c r="C27" s="3"/>
      <c r="D27" s="3"/>
      <c r="E27" s="3"/>
      <c r="F27" s="4"/>
      <c r="G27" s="4"/>
      <c r="H27" s="4"/>
      <c r="I27" s="574"/>
      <c r="J27" s="3"/>
      <c r="K27" s="3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38" spans="1:31" x14ac:dyDescent="0.2">
      <c r="A38" s="3"/>
      <c r="B38" s="3"/>
      <c r="C38" s="3"/>
      <c r="D38" s="3"/>
      <c r="E38" s="3"/>
      <c r="F38" s="4"/>
      <c r="G38" s="4"/>
      <c r="H38" s="4"/>
      <c r="I38" s="574"/>
      <c r="J38" s="3"/>
      <c r="K38" s="3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2">
      <c r="A39" s="3"/>
      <c r="B39" s="3"/>
      <c r="C39" s="3"/>
      <c r="D39" s="3"/>
      <c r="E39" s="3"/>
      <c r="F39" s="4"/>
      <c r="G39" s="4"/>
      <c r="H39" s="4"/>
      <c r="I39" s="574"/>
      <c r="J39" s="3"/>
      <c r="K39" s="3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2">
      <c r="A40" s="3"/>
      <c r="B40" s="3"/>
      <c r="C40" s="3"/>
      <c r="D40" s="3"/>
      <c r="E40" s="3"/>
      <c r="F40" s="4"/>
      <c r="G40" s="4"/>
      <c r="H40" s="4"/>
      <c r="I40" s="574"/>
      <c r="J40" s="3"/>
      <c r="K40" s="3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">
      <c r="A41" s="3"/>
      <c r="B41" s="3"/>
      <c r="C41" s="3"/>
      <c r="D41" s="3"/>
      <c r="E41" s="3"/>
      <c r="F41" s="4"/>
      <c r="G41" s="4"/>
      <c r="H41" s="4"/>
      <c r="I41" s="574"/>
      <c r="J41" s="3"/>
      <c r="K41" s="3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</sheetData>
  <mergeCells count="47">
    <mergeCell ref="C21:D21"/>
    <mergeCell ref="P21:V21"/>
    <mergeCell ref="AB18:AE18"/>
    <mergeCell ref="C19:F19"/>
    <mergeCell ref="L19:X19"/>
    <mergeCell ref="AB19:AE19"/>
    <mergeCell ref="C20:F20"/>
    <mergeCell ref="L20:X20"/>
    <mergeCell ref="AB20:AE20"/>
    <mergeCell ref="C18:F18"/>
    <mergeCell ref="A10:D10"/>
    <mergeCell ref="O7:O8"/>
    <mergeCell ref="P7:P8"/>
    <mergeCell ref="Q7:Q8"/>
    <mergeCell ref="R7:R8"/>
    <mergeCell ref="Z6:Z8"/>
    <mergeCell ref="AA6:AA8"/>
    <mergeCell ref="AB6:AB8"/>
    <mergeCell ref="AC6:AC8"/>
    <mergeCell ref="AD6:AD8"/>
    <mergeCell ref="Y6:Y8"/>
    <mergeCell ref="K7:K8"/>
    <mergeCell ref="L7:L8"/>
    <mergeCell ref="M7:M8"/>
    <mergeCell ref="N7:N8"/>
    <mergeCell ref="U7:U8"/>
    <mergeCell ref="V7:V8"/>
    <mergeCell ref="W7:W8"/>
    <mergeCell ref="X7:X8"/>
    <mergeCell ref="S7:S8"/>
    <mergeCell ref="T7:T8"/>
    <mergeCell ref="A2:AE2"/>
    <mergeCell ref="A3:AE3"/>
    <mergeCell ref="A4:AE4"/>
    <mergeCell ref="A6:A8"/>
    <mergeCell ref="B6:B8"/>
    <mergeCell ref="C6:C8"/>
    <mergeCell ref="D6:D8"/>
    <mergeCell ref="E6:E8"/>
    <mergeCell ref="F6:F8"/>
    <mergeCell ref="G6:G8"/>
    <mergeCell ref="AE6:AE8"/>
    <mergeCell ref="H6:H8"/>
    <mergeCell ref="I6:I8"/>
    <mergeCell ref="J6:J8"/>
    <mergeCell ref="K6:P6"/>
    <mergeCell ref="S6:X6"/>
  </mergeCells>
  <printOptions horizontalCentered="1" verticalCentered="1"/>
  <pageMargins left="0" right="0" top="0.78740157480314965" bottom="0" header="0" footer="0"/>
  <pageSetup paperSize="5" scale="61" orientation="landscape" r:id="rId1"/>
  <headerFooter alignWithMargins="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ECAD5-089D-4BE3-9E91-52E78E4AF4A2}">
  <dimension ref="A1:F12"/>
  <sheetViews>
    <sheetView topLeftCell="A4" zoomScaleNormal="100" workbookViewId="0">
      <selection activeCell="C8" sqref="C8"/>
    </sheetView>
  </sheetViews>
  <sheetFormatPr baseColWidth="10" defaultRowHeight="10.199999999999999" x14ac:dyDescent="0.2"/>
  <cols>
    <col min="1" max="1" width="11.7109375" customWidth="1"/>
    <col min="2" max="2" width="51" bestFit="1" customWidth="1"/>
    <col min="3" max="3" width="27.85546875" bestFit="1" customWidth="1"/>
    <col min="4" max="5" width="26.28515625" bestFit="1" customWidth="1"/>
    <col min="6" max="6" width="46.42578125" bestFit="1" customWidth="1"/>
  </cols>
  <sheetData>
    <row r="1" spans="1:6" ht="24.6" x14ac:dyDescent="0.2">
      <c r="A1" s="1402" t="s">
        <v>147</v>
      </c>
      <c r="B1" s="1402"/>
      <c r="C1" s="1402"/>
      <c r="D1" s="1402"/>
      <c r="E1" s="1402"/>
      <c r="F1" s="1402"/>
    </row>
    <row r="2" spans="1:6" ht="24.6" x14ac:dyDescent="0.2">
      <c r="A2" s="1402" t="s">
        <v>470</v>
      </c>
      <c r="B2" s="1402"/>
      <c r="C2" s="1402"/>
      <c r="D2" s="1402"/>
      <c r="E2" s="1402"/>
      <c r="F2" s="1402"/>
    </row>
    <row r="3" spans="1:6" ht="24.6" x14ac:dyDescent="0.2">
      <c r="A3" s="1402" t="s">
        <v>287</v>
      </c>
      <c r="B3" s="1402"/>
      <c r="C3" s="1402"/>
      <c r="D3" s="1402"/>
      <c r="E3" s="1402"/>
      <c r="F3" s="1402"/>
    </row>
    <row r="4" spans="1:6" ht="23.4" thickBot="1" x14ac:dyDescent="0.25">
      <c r="A4" s="554"/>
      <c r="B4" s="555"/>
      <c r="C4" s="554"/>
      <c r="D4" s="554"/>
      <c r="E4" s="554"/>
      <c r="F4" s="554"/>
    </row>
    <row r="5" spans="1:6" x14ac:dyDescent="0.2">
      <c r="A5" s="1406" t="s">
        <v>71</v>
      </c>
      <c r="B5" s="1408" t="s">
        <v>6</v>
      </c>
      <c r="C5" s="1410" t="s">
        <v>388</v>
      </c>
      <c r="D5" s="1410" t="s">
        <v>114</v>
      </c>
      <c r="E5" s="1410" t="s">
        <v>73</v>
      </c>
      <c r="F5" s="1412" t="s">
        <v>38</v>
      </c>
    </row>
    <row r="6" spans="1:6" ht="61.5" customHeight="1" thickBot="1" x14ac:dyDescent="0.25">
      <c r="A6" s="1407"/>
      <c r="B6" s="1409"/>
      <c r="C6" s="1411"/>
      <c r="D6" s="1411"/>
      <c r="E6" s="1411"/>
      <c r="F6" s="1413"/>
    </row>
    <row r="7" spans="1:6" ht="36" thickTop="1" thickBot="1" x14ac:dyDescent="0.25">
      <c r="A7" s="558">
        <v>1</v>
      </c>
      <c r="B7" s="356" t="s">
        <v>297</v>
      </c>
      <c r="C7" s="559">
        <f>79*9</f>
        <v>711</v>
      </c>
      <c r="D7" s="559">
        <v>0</v>
      </c>
      <c r="E7" s="559">
        <f>+C7-D7</f>
        <v>711</v>
      </c>
      <c r="F7" s="559"/>
    </row>
    <row r="8" spans="1:6" ht="34.5" customHeight="1" thickTop="1" thickBot="1" x14ac:dyDescent="0.25">
      <c r="A8" s="558">
        <v>2</v>
      </c>
      <c r="B8" s="356" t="s">
        <v>298</v>
      </c>
      <c r="C8" s="559">
        <f>100*6</f>
        <v>600</v>
      </c>
      <c r="D8" s="559">
        <v>0</v>
      </c>
      <c r="E8" s="559">
        <f t="shared" ref="E8:E11" si="0">+C8-D8</f>
        <v>600</v>
      </c>
      <c r="F8" s="559"/>
    </row>
    <row r="9" spans="1:6" ht="36" thickTop="1" thickBot="1" x14ac:dyDescent="0.25">
      <c r="A9" s="925">
        <v>3</v>
      </c>
      <c r="B9" s="356" t="s">
        <v>330</v>
      </c>
      <c r="C9" s="559">
        <f>68*7</f>
        <v>476</v>
      </c>
      <c r="D9" s="559">
        <v>0</v>
      </c>
      <c r="E9" s="559">
        <f t="shared" si="0"/>
        <v>476</v>
      </c>
      <c r="F9" s="559"/>
    </row>
    <row r="10" spans="1:6" ht="30.75" customHeight="1" thickTop="1" thickBot="1" x14ac:dyDescent="0.25">
      <c r="A10" s="926">
        <v>4</v>
      </c>
      <c r="B10" s="356" t="s">
        <v>334</v>
      </c>
      <c r="C10" s="924">
        <f>90*9</f>
        <v>810</v>
      </c>
      <c r="D10" s="559">
        <v>0</v>
      </c>
      <c r="E10" s="559">
        <f t="shared" si="0"/>
        <v>810</v>
      </c>
      <c r="F10" s="559"/>
    </row>
    <row r="11" spans="1:6" ht="33" customHeight="1" thickTop="1" thickBot="1" x14ac:dyDescent="0.25">
      <c r="A11" s="927">
        <v>5</v>
      </c>
      <c r="B11" s="356" t="s">
        <v>338</v>
      </c>
      <c r="C11" s="924">
        <f>90*8</f>
        <v>720</v>
      </c>
      <c r="D11" s="559">
        <v>0</v>
      </c>
      <c r="E11" s="559">
        <f t="shared" si="0"/>
        <v>720</v>
      </c>
      <c r="F11" s="559"/>
    </row>
    <row r="12" spans="1:6" ht="25.2" thickTop="1" thickBot="1" x14ac:dyDescent="0.25">
      <c r="A12" s="1404" t="s">
        <v>140</v>
      </c>
      <c r="B12" s="1405"/>
      <c r="C12" s="333">
        <f>SUM(C7:C11)</f>
        <v>3317</v>
      </c>
      <c r="D12" s="333">
        <f t="shared" ref="D12:E12" si="1">SUM(D7:D11)</f>
        <v>0</v>
      </c>
      <c r="E12" s="333">
        <f t="shared" si="1"/>
        <v>3317</v>
      </c>
      <c r="F12" s="717" t="s">
        <v>288</v>
      </c>
    </row>
  </sheetData>
  <mergeCells count="10">
    <mergeCell ref="A12:B12"/>
    <mergeCell ref="D5:D6"/>
    <mergeCell ref="E5:E6"/>
    <mergeCell ref="A1:F1"/>
    <mergeCell ref="A2:F2"/>
    <mergeCell ref="A3:F3"/>
    <mergeCell ref="A5:A6"/>
    <mergeCell ref="B5:B6"/>
    <mergeCell ref="C5:C6"/>
    <mergeCell ref="F5:F6"/>
  </mergeCells>
  <pageMargins left="0.7" right="0.7" top="0.75" bottom="0.75" header="0.3" footer="0.3"/>
  <pageSetup paperSize="5" scale="80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E100D-AE94-4CCC-B5FE-BECFAFD3247B}">
  <dimension ref="A1"/>
  <sheetViews>
    <sheetView workbookViewId="0"/>
  </sheetViews>
  <sheetFormatPr baseColWidth="10" defaultRowHeight="10.199999999999999" x14ac:dyDescent="0.2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30">
    <tabColor theme="6"/>
    <pageSetUpPr fitToPage="1"/>
  </sheetPr>
  <dimension ref="A1:BD36"/>
  <sheetViews>
    <sheetView topLeftCell="AE4" zoomScale="73" zoomScaleNormal="73" workbookViewId="0">
      <selection activeCell="AO17" sqref="AO17"/>
    </sheetView>
  </sheetViews>
  <sheetFormatPr baseColWidth="10" defaultColWidth="12" defaultRowHeight="10.199999999999999" x14ac:dyDescent="0.2"/>
  <cols>
    <col min="1" max="1" width="9.140625" style="226" customWidth="1"/>
    <col min="2" max="2" width="27.7109375" style="226" customWidth="1"/>
    <col min="3" max="3" width="5.28515625" style="226" bestFit="1" customWidth="1"/>
    <col min="4" max="4" width="7" style="226" customWidth="1"/>
    <col min="5" max="5" width="10" style="226" customWidth="1"/>
    <col min="6" max="6" width="10.42578125" style="226" customWidth="1"/>
    <col min="7" max="7" width="11.85546875" style="226" customWidth="1"/>
    <col min="8" max="8" width="11.42578125" style="226" customWidth="1"/>
    <col min="9" max="9" width="11.7109375" style="226" customWidth="1"/>
    <col min="10" max="11" width="11.140625" style="226" customWidth="1"/>
    <col min="12" max="12" width="8.7109375" style="226" hidden="1" customWidth="1"/>
    <col min="13" max="13" width="4.7109375" style="226" customWidth="1"/>
    <col min="14" max="14" width="9.42578125" style="226" customWidth="1"/>
    <col min="15" max="15" width="10.28515625" style="226" customWidth="1"/>
    <col min="16" max="17" width="10.42578125" style="226" customWidth="1"/>
    <col min="18" max="18" width="10.7109375" style="226" bestFit="1" customWidth="1"/>
    <col min="19" max="19" width="10.7109375" style="226" customWidth="1"/>
    <col min="20" max="20" width="10.7109375" style="226" bestFit="1" customWidth="1"/>
    <col min="21" max="21" width="9.42578125" style="226" bestFit="1" customWidth="1"/>
    <col min="22" max="22" width="9.42578125" style="226" customWidth="1"/>
    <col min="23" max="23" width="7.85546875" style="226" hidden="1" customWidth="1"/>
    <col min="24" max="24" width="7.42578125" style="226" bestFit="1" customWidth="1"/>
    <col min="25" max="25" width="7.85546875" style="226" hidden="1" customWidth="1"/>
    <col min="26" max="26" width="3.85546875" style="226" hidden="1" customWidth="1"/>
    <col min="27" max="27" width="5" style="226" hidden="1" customWidth="1"/>
    <col min="28" max="28" width="7" style="226" customWidth="1"/>
    <col min="29" max="29" width="5" style="226" customWidth="1"/>
    <col min="30" max="30" width="4.140625" style="226" customWidth="1"/>
    <col min="31" max="31" width="6.140625" style="226" customWidth="1"/>
    <col min="32" max="32" width="12.28515625" style="226" customWidth="1"/>
    <col min="33" max="33" width="8.42578125" style="226" bestFit="1" customWidth="1"/>
    <col min="34" max="34" width="6.42578125" style="226" customWidth="1"/>
    <col min="35" max="35" width="11.140625" style="226" customWidth="1"/>
    <col min="36" max="36" width="13.140625" style="226" customWidth="1"/>
    <col min="37" max="37" width="10" style="226" bestFit="1" customWidth="1"/>
    <col min="38" max="38" width="11.7109375" style="226" customWidth="1"/>
    <col min="39" max="39" width="11" style="226" customWidth="1"/>
    <col min="40" max="40" width="6.42578125" style="226" customWidth="1"/>
    <col min="41" max="41" width="16.28515625" style="226" customWidth="1"/>
    <col min="42" max="42" width="6.85546875" style="226" customWidth="1"/>
    <col min="43" max="43" width="4.42578125" style="226" customWidth="1"/>
    <col min="44" max="44" width="16.85546875" style="226" customWidth="1"/>
    <col min="45" max="45" width="36.85546875" style="226" customWidth="1"/>
    <col min="46" max="46" width="10.42578125" style="226" hidden="1" customWidth="1"/>
    <col min="47" max="47" width="10.7109375" style="226" hidden="1" customWidth="1"/>
    <col min="48" max="48" width="13.42578125" style="226" customWidth="1"/>
    <col min="49" max="49" width="10" style="226" hidden="1" customWidth="1"/>
    <col min="50" max="50" width="11.7109375" style="226" customWidth="1"/>
    <col min="51" max="51" width="11.7109375" style="226" hidden="1" customWidth="1"/>
    <col min="52" max="52" width="8.42578125" style="226" hidden="1" customWidth="1"/>
    <col min="53" max="53" width="11.7109375" style="226" customWidth="1"/>
    <col min="54" max="54" width="11.42578125" style="226" customWidth="1"/>
    <col min="55" max="55" width="14" style="226" bestFit="1" customWidth="1"/>
    <col min="56" max="16384" width="12" style="226"/>
  </cols>
  <sheetData>
    <row r="1" spans="1:56" ht="22.2" customHeight="1" x14ac:dyDescent="0.3">
      <c r="A1" s="225"/>
      <c r="B1" s="1539"/>
      <c r="C1" s="1539"/>
      <c r="D1" s="1539"/>
      <c r="E1" s="1539"/>
      <c r="F1" s="1539"/>
      <c r="G1" s="1539"/>
      <c r="H1" s="1539"/>
      <c r="I1" s="1539"/>
      <c r="J1" s="1539"/>
      <c r="K1" s="1539"/>
      <c r="L1" s="1539"/>
      <c r="M1" s="1539"/>
      <c r="N1" s="1539"/>
      <c r="O1" s="1539"/>
      <c r="P1" s="1539"/>
      <c r="Q1" s="1539"/>
      <c r="R1" s="1539"/>
      <c r="S1" s="1539"/>
      <c r="T1" s="1539"/>
      <c r="U1" s="1539"/>
      <c r="V1" s="1539"/>
      <c r="W1" s="1539"/>
      <c r="X1" s="1539"/>
      <c r="Y1" s="1539"/>
      <c r="Z1" s="1539"/>
      <c r="AA1" s="1539"/>
      <c r="AB1" s="1539"/>
      <c r="AC1" s="1539"/>
      <c r="AD1" s="1539"/>
      <c r="AE1" s="1539"/>
      <c r="AF1" s="1539"/>
      <c r="AG1" s="1539"/>
      <c r="AH1" s="1539"/>
      <c r="AI1" s="1539"/>
      <c r="AJ1" s="1539"/>
      <c r="AK1" s="1539"/>
      <c r="AL1" s="1539"/>
      <c r="AM1" s="1539"/>
      <c r="AN1" s="1539"/>
      <c r="AO1" s="1539"/>
      <c r="AP1" s="1539"/>
      <c r="AQ1" s="1539"/>
      <c r="AR1" s="1539"/>
      <c r="AS1" s="1539"/>
      <c r="AT1" s="1539"/>
      <c r="AU1" s="1539"/>
      <c r="AV1" s="1539"/>
      <c r="AW1" s="1539"/>
      <c r="AX1" s="1539"/>
      <c r="AY1" s="1539"/>
      <c r="AZ1" s="1539"/>
      <c r="BA1" s="1539"/>
      <c r="BB1" s="1539"/>
      <c r="BC1" s="1539"/>
    </row>
    <row r="2" spans="1:56" ht="25.2" customHeight="1" x14ac:dyDescent="0.2">
      <c r="A2" s="227"/>
      <c r="B2" s="1540"/>
      <c r="C2" s="1540"/>
      <c r="D2" s="1540"/>
      <c r="E2" s="1540"/>
      <c r="F2" s="1540"/>
      <c r="G2" s="1540"/>
      <c r="H2" s="1540"/>
      <c r="I2" s="1540"/>
      <c r="J2" s="1540"/>
      <c r="K2" s="1540"/>
      <c r="L2" s="1540"/>
      <c r="M2" s="1540"/>
      <c r="N2" s="1540"/>
      <c r="O2" s="1540"/>
      <c r="P2" s="1540"/>
      <c r="Q2" s="1540"/>
      <c r="R2" s="1540"/>
      <c r="S2" s="1540"/>
      <c r="T2" s="1540"/>
      <c r="U2" s="1540"/>
      <c r="V2" s="1540"/>
      <c r="W2" s="1540"/>
      <c r="X2" s="1540"/>
      <c r="Y2" s="1540"/>
      <c r="Z2" s="1540"/>
      <c r="AA2" s="1540"/>
      <c r="AB2" s="1540"/>
      <c r="AC2" s="1540"/>
      <c r="AD2" s="1540"/>
      <c r="AE2" s="1540"/>
      <c r="AF2" s="1540"/>
      <c r="AG2" s="1540"/>
      <c r="AH2" s="1540"/>
      <c r="AI2" s="1540"/>
      <c r="AJ2" s="1540"/>
      <c r="AK2" s="1540"/>
      <c r="AL2" s="1540"/>
      <c r="AM2" s="1540"/>
      <c r="AN2" s="1540"/>
      <c r="AO2" s="1540"/>
      <c r="AP2" s="1540"/>
      <c r="AQ2" s="1540"/>
      <c r="AR2" s="1540"/>
      <c r="AS2" s="1540"/>
      <c r="AT2" s="1540"/>
      <c r="AU2" s="1540"/>
      <c r="AV2" s="1540"/>
      <c r="AW2" s="1540"/>
      <c r="AX2" s="1540"/>
      <c r="AY2" s="1540"/>
      <c r="AZ2" s="1540"/>
      <c r="BA2" s="1540"/>
      <c r="BB2" s="1540"/>
      <c r="BC2" s="1540"/>
      <c r="BD2" s="1540"/>
    </row>
    <row r="3" spans="1:56" ht="25.2" customHeight="1" x14ac:dyDescent="0.2">
      <c r="A3" s="227"/>
      <c r="B3" s="1540" t="s">
        <v>278</v>
      </c>
      <c r="C3" s="1540"/>
      <c r="D3" s="1540"/>
      <c r="E3" s="1540"/>
      <c r="F3" s="1540"/>
      <c r="G3" s="1540"/>
      <c r="H3" s="1540"/>
      <c r="I3" s="1540"/>
      <c r="J3" s="1540"/>
      <c r="K3" s="1540"/>
      <c r="L3" s="1540"/>
      <c r="M3" s="1540"/>
      <c r="N3" s="1540"/>
      <c r="O3" s="1540"/>
      <c r="P3" s="1540"/>
      <c r="Q3" s="1540"/>
      <c r="R3" s="1540"/>
      <c r="S3" s="1540"/>
      <c r="T3" s="1540"/>
      <c r="U3" s="1540"/>
      <c r="V3" s="1540"/>
      <c r="W3" s="1540"/>
      <c r="X3" s="1540"/>
      <c r="Y3" s="1540"/>
      <c r="Z3" s="1540"/>
      <c r="AA3" s="1540"/>
      <c r="AB3" s="1540"/>
      <c r="AC3" s="1540"/>
      <c r="AD3" s="1540"/>
      <c r="AE3" s="1540"/>
      <c r="AF3" s="1540"/>
      <c r="AG3" s="1540"/>
      <c r="AH3" s="1540"/>
      <c r="AI3" s="1540"/>
      <c r="AJ3" s="1540"/>
      <c r="AK3" s="1540"/>
      <c r="AL3" s="1540"/>
      <c r="AM3" s="1540"/>
      <c r="AN3" s="1540"/>
      <c r="AO3" s="1540"/>
      <c r="AP3" s="1540"/>
      <c r="AQ3" s="1540"/>
      <c r="AR3" s="1540"/>
      <c r="AS3" s="1540"/>
      <c r="AT3" s="1540"/>
      <c r="AU3" s="1540"/>
      <c r="AV3" s="1540"/>
      <c r="AW3" s="1540"/>
      <c r="AX3" s="1540"/>
      <c r="AY3" s="1540"/>
      <c r="AZ3" s="1540"/>
      <c r="BA3" s="1540"/>
      <c r="BB3" s="1540"/>
      <c r="BC3" s="1540"/>
      <c r="BD3" s="1540"/>
    </row>
    <row r="4" spans="1:56" ht="25.2" customHeight="1" x14ac:dyDescent="0.2">
      <c r="A4" s="227"/>
      <c r="B4" s="1540" t="s">
        <v>201</v>
      </c>
      <c r="C4" s="1540"/>
      <c r="D4" s="1540"/>
      <c r="E4" s="1540"/>
      <c r="F4" s="1540"/>
      <c r="G4" s="1540"/>
      <c r="H4" s="1540"/>
      <c r="I4" s="1540"/>
      <c r="J4" s="1540"/>
      <c r="K4" s="1540"/>
      <c r="L4" s="1540"/>
      <c r="M4" s="1540"/>
      <c r="N4" s="1540"/>
      <c r="O4" s="1540"/>
      <c r="P4" s="1540"/>
      <c r="Q4" s="1540"/>
      <c r="R4" s="1540"/>
      <c r="S4" s="1540"/>
      <c r="T4" s="1540"/>
      <c r="U4" s="1540"/>
      <c r="V4" s="1540"/>
      <c r="W4" s="1540"/>
      <c r="X4" s="1540"/>
      <c r="Y4" s="1540"/>
      <c r="Z4" s="1540"/>
      <c r="AA4" s="1540"/>
      <c r="AB4" s="1540"/>
      <c r="AC4" s="1540"/>
      <c r="AD4" s="1540"/>
      <c r="AE4" s="1540"/>
      <c r="AF4" s="1540"/>
      <c r="AG4" s="1540"/>
      <c r="AH4" s="1540"/>
      <c r="AI4" s="1540"/>
      <c r="AJ4" s="1540"/>
      <c r="AK4" s="1540"/>
      <c r="AL4" s="1540"/>
      <c r="AM4" s="1540"/>
      <c r="AN4" s="1540"/>
      <c r="AO4" s="1540"/>
      <c r="AP4" s="1540"/>
      <c r="AQ4" s="1540"/>
      <c r="AR4" s="1540"/>
      <c r="AS4" s="1540"/>
      <c r="AT4" s="1540"/>
      <c r="AU4" s="1540"/>
      <c r="AV4" s="1540"/>
      <c r="AW4" s="1540"/>
      <c r="AX4" s="1540"/>
      <c r="AY4" s="1540"/>
      <c r="AZ4" s="1540"/>
      <c r="BA4" s="1540"/>
      <c r="BB4" s="1540"/>
      <c r="BC4" s="1540"/>
      <c r="BD4" s="1540"/>
    </row>
    <row r="5" spans="1:56" ht="25.2" customHeight="1" x14ac:dyDescent="0.2">
      <c r="A5" s="228"/>
      <c r="B5" s="1540" t="str">
        <f>+Holman!A8</f>
        <v>QUINCENA DEL 16  AL 30  DE ABRIL - 2026</v>
      </c>
      <c r="C5" s="1540"/>
      <c r="D5" s="1540"/>
      <c r="E5" s="1540"/>
      <c r="F5" s="1540"/>
      <c r="G5" s="1540"/>
      <c r="H5" s="1540"/>
      <c r="I5" s="1540"/>
      <c r="J5" s="1540"/>
      <c r="K5" s="1540"/>
      <c r="L5" s="1540"/>
      <c r="M5" s="1540"/>
      <c r="N5" s="1540"/>
      <c r="O5" s="1540"/>
      <c r="P5" s="1540"/>
      <c r="Q5" s="1540"/>
      <c r="R5" s="1540"/>
      <c r="S5" s="1540"/>
      <c r="T5" s="1540"/>
      <c r="U5" s="1540"/>
      <c r="V5" s="1540"/>
      <c r="W5" s="1540"/>
      <c r="X5" s="1540"/>
      <c r="Y5" s="1540"/>
      <c r="Z5" s="1540"/>
      <c r="AA5" s="1540"/>
      <c r="AB5" s="1540"/>
      <c r="AC5" s="1540"/>
      <c r="AD5" s="1540"/>
      <c r="AE5" s="1540"/>
      <c r="AF5" s="1540"/>
      <c r="AG5" s="1540"/>
      <c r="AH5" s="1540"/>
      <c r="AI5" s="1540"/>
      <c r="AJ5" s="1540"/>
      <c r="AK5" s="1540"/>
      <c r="AL5" s="1540"/>
      <c r="AM5" s="1540"/>
      <c r="AN5" s="1540"/>
      <c r="AO5" s="1540"/>
      <c r="AP5" s="1540"/>
      <c r="AQ5" s="1540"/>
      <c r="AR5" s="1540"/>
      <c r="AS5" s="1540"/>
      <c r="AT5" s="1540"/>
      <c r="AU5" s="1540"/>
      <c r="AV5" s="1540"/>
      <c r="AW5" s="1540"/>
      <c r="AX5" s="1540"/>
      <c r="AY5" s="1540"/>
      <c r="AZ5" s="1540"/>
      <c r="BA5" s="1540"/>
      <c r="BB5" s="1540"/>
      <c r="BC5" s="1540"/>
      <c r="BD5" s="1540"/>
    </row>
    <row r="6" spans="1:56" ht="25.2" customHeight="1" x14ac:dyDescent="0.65">
      <c r="A6" s="228"/>
      <c r="B6" s="544"/>
      <c r="C6" s="544"/>
      <c r="D6" s="544"/>
      <c r="E6" s="544"/>
      <c r="F6" s="544"/>
      <c r="G6" s="544"/>
      <c r="H6" s="54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  <c r="AC6" s="544"/>
      <c r="AD6" s="544"/>
      <c r="AE6" s="544"/>
      <c r="AF6" s="544"/>
      <c r="AG6" s="544"/>
      <c r="AH6" s="544"/>
      <c r="AI6" s="544"/>
      <c r="AJ6" s="544"/>
      <c r="AK6" s="544"/>
      <c r="AL6" s="544"/>
      <c r="AM6" s="544"/>
      <c r="AN6" s="544"/>
      <c r="AO6" s="544"/>
      <c r="AP6" s="544"/>
      <c r="AQ6" s="544"/>
      <c r="AR6" s="544"/>
      <c r="AS6" s="544"/>
      <c r="AT6" s="544"/>
      <c r="AU6" s="544"/>
      <c r="AV6" s="544"/>
      <c r="AW6" s="544"/>
      <c r="AX6" s="544"/>
      <c r="AY6" s="544"/>
      <c r="AZ6" s="544"/>
      <c r="BA6" s="544"/>
      <c r="BB6" s="544"/>
      <c r="BC6" s="544"/>
      <c r="BD6" s="545"/>
    </row>
    <row r="7" spans="1:56" ht="30.6" x14ac:dyDescent="0.65">
      <c r="A7" s="228"/>
      <c r="B7" s="544"/>
      <c r="C7" s="544"/>
      <c r="D7" s="544"/>
      <c r="E7" s="544"/>
      <c r="F7" s="544"/>
      <c r="G7" s="544"/>
      <c r="H7" s="544"/>
      <c r="I7" s="544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  <c r="AC7" s="544"/>
      <c r="AD7" s="544"/>
      <c r="AE7" s="544"/>
      <c r="AF7" s="544"/>
      <c r="AG7" s="544"/>
      <c r="AH7" s="544"/>
      <c r="AI7" s="544"/>
      <c r="AJ7" s="544"/>
      <c r="AK7" s="544"/>
      <c r="AL7" s="544"/>
      <c r="AM7" s="544"/>
      <c r="AN7" s="544"/>
      <c r="AO7" s="544"/>
      <c r="AP7" s="544"/>
      <c r="AQ7" s="544"/>
      <c r="AR7" s="544"/>
      <c r="AS7" s="544"/>
      <c r="AT7" s="544"/>
      <c r="AU7" s="544"/>
      <c r="AV7" s="544"/>
      <c r="AW7" s="544"/>
      <c r="AX7" s="544"/>
      <c r="AY7" s="544"/>
      <c r="AZ7" s="544"/>
      <c r="BA7" s="544"/>
      <c r="BB7" s="544"/>
      <c r="BC7" s="544"/>
      <c r="BD7" s="545"/>
    </row>
    <row r="8" spans="1:56" ht="30.6" x14ac:dyDescent="0.65">
      <c r="A8" s="229"/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  <c r="R8" s="546"/>
      <c r="S8" s="546"/>
      <c r="T8" s="546"/>
      <c r="U8" s="546"/>
      <c r="V8" s="546"/>
      <c r="W8" s="546"/>
      <c r="X8" s="546"/>
      <c r="Y8" s="546"/>
      <c r="Z8" s="546"/>
      <c r="AA8" s="546"/>
      <c r="AB8" s="546"/>
      <c r="AC8" s="546"/>
      <c r="AD8" s="546"/>
      <c r="AE8" s="546"/>
      <c r="AF8" s="546"/>
      <c r="AG8" s="546"/>
      <c r="AH8" s="546"/>
      <c r="AI8" s="546"/>
      <c r="AJ8" s="546"/>
      <c r="AK8" s="546"/>
      <c r="AL8" s="546"/>
      <c r="AM8" s="546"/>
      <c r="AN8" s="546"/>
      <c r="AO8" s="546"/>
      <c r="AP8" s="546"/>
      <c r="AQ8" s="546"/>
      <c r="AR8" s="546"/>
      <c r="AS8" s="546"/>
      <c r="AT8" s="546"/>
      <c r="AU8" s="546"/>
      <c r="AV8" s="546"/>
      <c r="AW8" s="546"/>
      <c r="AX8" s="546"/>
      <c r="AY8" s="546"/>
      <c r="AZ8" s="546"/>
      <c r="BA8" s="546"/>
      <c r="BB8" s="546"/>
      <c r="BC8" s="546"/>
      <c r="BD8" s="545"/>
    </row>
    <row r="9" spans="1:56" ht="44.25" customHeight="1" x14ac:dyDescent="0.2">
      <c r="A9" s="1519" t="s">
        <v>47</v>
      </c>
      <c r="B9" s="1519" t="s">
        <v>46</v>
      </c>
      <c r="C9" s="1542" t="s">
        <v>82</v>
      </c>
      <c r="D9" s="1515" t="s">
        <v>45</v>
      </c>
      <c r="E9" s="1521">
        <v>16</v>
      </c>
      <c r="F9" s="1521">
        <v>17</v>
      </c>
      <c r="G9" s="1521">
        <v>18</v>
      </c>
      <c r="H9" s="1521">
        <v>19</v>
      </c>
      <c r="I9" s="1521">
        <v>20</v>
      </c>
      <c r="J9" s="1521">
        <v>21</v>
      </c>
      <c r="K9" s="1521">
        <v>22</v>
      </c>
      <c r="L9" s="1538" t="s">
        <v>170</v>
      </c>
      <c r="M9" s="1532" t="s">
        <v>98</v>
      </c>
      <c r="N9" s="1521">
        <v>23</v>
      </c>
      <c r="O9" s="1521">
        <v>24</v>
      </c>
      <c r="P9" s="1521">
        <v>25</v>
      </c>
      <c r="Q9" s="1521">
        <v>26</v>
      </c>
      <c r="R9" s="1521">
        <v>27</v>
      </c>
      <c r="S9" s="1521">
        <v>28</v>
      </c>
      <c r="T9" s="1521">
        <v>29</v>
      </c>
      <c r="U9" s="1521">
        <v>30</v>
      </c>
      <c r="V9" s="1521">
        <v>31</v>
      </c>
      <c r="W9" s="1531" t="s">
        <v>170</v>
      </c>
      <c r="X9" s="1532" t="s">
        <v>98</v>
      </c>
      <c r="Y9" s="1533" t="s">
        <v>170</v>
      </c>
      <c r="Z9" s="1534" t="s">
        <v>134</v>
      </c>
      <c r="AA9" s="1535" t="s">
        <v>208</v>
      </c>
      <c r="AB9" s="1523" t="s">
        <v>16</v>
      </c>
      <c r="AC9" s="1523" t="s">
        <v>107</v>
      </c>
      <c r="AD9" s="1522" t="s">
        <v>93</v>
      </c>
      <c r="AE9" s="1523" t="s">
        <v>106</v>
      </c>
      <c r="AF9" s="1515" t="s">
        <v>44</v>
      </c>
      <c r="AG9" s="1515" t="s">
        <v>43</v>
      </c>
      <c r="AH9" s="1524" t="s">
        <v>206</v>
      </c>
      <c r="AI9" s="1527" t="s">
        <v>205</v>
      </c>
      <c r="AJ9" s="1515" t="s">
        <v>192</v>
      </c>
      <c r="AK9" s="1530" t="s">
        <v>42</v>
      </c>
      <c r="AL9" s="1530" t="s">
        <v>41</v>
      </c>
      <c r="AM9" s="1515" t="s">
        <v>191</v>
      </c>
      <c r="AN9" s="1515" t="s">
        <v>59</v>
      </c>
      <c r="AO9" s="1520" t="s">
        <v>40</v>
      </c>
      <c r="AP9" s="1515" t="s">
        <v>31</v>
      </c>
      <c r="AQ9" s="1515" t="s">
        <v>180</v>
      </c>
      <c r="AR9" s="1520" t="s">
        <v>73</v>
      </c>
      <c r="AS9" s="1519" t="s">
        <v>38</v>
      </c>
      <c r="AT9" s="1521"/>
      <c r="AU9" s="1521"/>
      <c r="AV9" s="1515" t="s">
        <v>50</v>
      </c>
      <c r="AW9" s="1515"/>
      <c r="AX9" s="1515" t="s">
        <v>51</v>
      </c>
      <c r="AY9" s="1519" t="s">
        <v>199</v>
      </c>
      <c r="AZ9" s="1519" t="s">
        <v>53</v>
      </c>
      <c r="BA9" s="1515" t="s">
        <v>199</v>
      </c>
      <c r="BB9" s="1515" t="s">
        <v>53</v>
      </c>
      <c r="BC9" s="1515" t="s">
        <v>63</v>
      </c>
    </row>
    <row r="10" spans="1:56" s="225" customFormat="1" ht="15.6" customHeight="1" x14ac:dyDescent="0.2">
      <c r="A10" s="1519"/>
      <c r="B10" s="1519"/>
      <c r="C10" s="1542"/>
      <c r="D10" s="1515"/>
      <c r="E10" s="1521"/>
      <c r="F10" s="1521"/>
      <c r="G10" s="1521"/>
      <c r="H10" s="1521"/>
      <c r="I10" s="1521"/>
      <c r="J10" s="1521"/>
      <c r="K10" s="1521"/>
      <c r="L10" s="1538"/>
      <c r="M10" s="1532"/>
      <c r="N10" s="1521"/>
      <c r="O10" s="1521"/>
      <c r="P10" s="1521"/>
      <c r="Q10" s="1521"/>
      <c r="R10" s="1521"/>
      <c r="S10" s="1521"/>
      <c r="T10" s="1521"/>
      <c r="U10" s="1521"/>
      <c r="V10" s="1521"/>
      <c r="W10" s="1531"/>
      <c r="X10" s="1532"/>
      <c r="Y10" s="1533"/>
      <c r="Z10" s="1534"/>
      <c r="AA10" s="1536"/>
      <c r="AB10" s="1523"/>
      <c r="AC10" s="1523"/>
      <c r="AD10" s="1522"/>
      <c r="AE10" s="1523"/>
      <c r="AF10" s="1515"/>
      <c r="AG10" s="1515"/>
      <c r="AH10" s="1525"/>
      <c r="AI10" s="1528"/>
      <c r="AJ10" s="1515"/>
      <c r="AK10" s="1530"/>
      <c r="AL10" s="1530"/>
      <c r="AM10" s="1515"/>
      <c r="AN10" s="1515"/>
      <c r="AO10" s="1520"/>
      <c r="AP10" s="1515"/>
      <c r="AQ10" s="1515"/>
      <c r="AR10" s="1520"/>
      <c r="AS10" s="1519"/>
      <c r="AT10" s="1521"/>
      <c r="AU10" s="1521"/>
      <c r="AV10" s="1515"/>
      <c r="AW10" s="1515"/>
      <c r="AX10" s="1515"/>
      <c r="AY10" s="1519"/>
      <c r="AZ10" s="1519"/>
      <c r="BA10" s="1515"/>
      <c r="BB10" s="1515"/>
      <c r="BC10" s="1515"/>
    </row>
    <row r="11" spans="1:56" ht="34.950000000000003" customHeight="1" x14ac:dyDescent="0.2">
      <c r="A11" s="1541"/>
      <c r="B11" s="1541"/>
      <c r="C11" s="1542"/>
      <c r="D11" s="1515"/>
      <c r="E11" s="277" t="s">
        <v>34</v>
      </c>
      <c r="F11" s="277" t="s">
        <v>37</v>
      </c>
      <c r="G11" s="277" t="s">
        <v>33</v>
      </c>
      <c r="H11" s="277" t="s">
        <v>32</v>
      </c>
      <c r="I11" s="277" t="s">
        <v>32</v>
      </c>
      <c r="J11" s="277" t="s">
        <v>36</v>
      </c>
      <c r="K11" s="277" t="s">
        <v>35</v>
      </c>
      <c r="L11" s="1538"/>
      <c r="M11" s="1532"/>
      <c r="N11" s="277" t="s">
        <v>34</v>
      </c>
      <c r="O11" s="277" t="s">
        <v>37</v>
      </c>
      <c r="P11" s="277" t="s">
        <v>33</v>
      </c>
      <c r="Q11" s="277" t="s">
        <v>32</v>
      </c>
      <c r="R11" s="277" t="s">
        <v>32</v>
      </c>
      <c r="S11" s="277" t="s">
        <v>36</v>
      </c>
      <c r="T11" s="277" t="s">
        <v>35</v>
      </c>
      <c r="U11" s="277" t="s">
        <v>34</v>
      </c>
      <c r="V11" s="277" t="s">
        <v>37</v>
      </c>
      <c r="W11" s="1531"/>
      <c r="X11" s="1532"/>
      <c r="Y11" s="1533"/>
      <c r="Z11" s="1534"/>
      <c r="AA11" s="1537"/>
      <c r="AB11" s="1523"/>
      <c r="AC11" s="1523"/>
      <c r="AD11" s="1522"/>
      <c r="AE11" s="1523"/>
      <c r="AF11" s="1515"/>
      <c r="AG11" s="1515"/>
      <c r="AH11" s="1526"/>
      <c r="AI11" s="1529"/>
      <c r="AJ11" s="1515"/>
      <c r="AK11" s="1530"/>
      <c r="AL11" s="1530"/>
      <c r="AM11" s="1515"/>
      <c r="AN11" s="1515"/>
      <c r="AO11" s="1520"/>
      <c r="AP11" s="1515"/>
      <c r="AQ11" s="1515"/>
      <c r="AR11" s="1520"/>
      <c r="AS11" s="1519"/>
      <c r="AT11" s="1521"/>
      <c r="AU11" s="1521"/>
      <c r="AV11" s="1515"/>
      <c r="AW11" s="1515"/>
      <c r="AX11" s="1515"/>
      <c r="AY11" s="1519"/>
      <c r="AZ11" s="1519"/>
      <c r="BA11" s="1515"/>
      <c r="BB11" s="1515"/>
      <c r="BC11" s="1515"/>
    </row>
    <row r="12" spans="1:56" ht="72" customHeight="1" x14ac:dyDescent="0.2">
      <c r="A12" s="314">
        <v>7305067</v>
      </c>
      <c r="B12" s="315" t="s">
        <v>186</v>
      </c>
      <c r="C12" s="360">
        <v>200</v>
      </c>
      <c r="D12" s="372" t="s">
        <v>251</v>
      </c>
      <c r="E12" s="361">
        <v>173.21</v>
      </c>
      <c r="F12" s="361">
        <v>0</v>
      </c>
      <c r="G12" s="361">
        <v>173.21</v>
      </c>
      <c r="H12" s="361">
        <v>173.21</v>
      </c>
      <c r="I12" s="361">
        <v>173.21</v>
      </c>
      <c r="J12" s="361">
        <v>173.21</v>
      </c>
      <c r="K12" s="361">
        <v>173.21</v>
      </c>
      <c r="L12" s="361">
        <f>+COUNTIF(E12:K12,173.21)</f>
        <v>6</v>
      </c>
      <c r="M12" s="542">
        <f>+COUNTIF(L12,6)</f>
        <v>1</v>
      </c>
      <c r="N12" s="361">
        <v>173.21</v>
      </c>
      <c r="O12" s="361">
        <v>0</v>
      </c>
      <c r="P12" s="361">
        <v>173.21</v>
      </c>
      <c r="Q12" s="361">
        <v>173.21</v>
      </c>
      <c r="R12" s="361">
        <v>173.21</v>
      </c>
      <c r="S12" s="361">
        <v>173.21</v>
      </c>
      <c r="T12" s="361">
        <v>173.21</v>
      </c>
      <c r="U12" s="361">
        <v>173.21</v>
      </c>
      <c r="V12" s="361">
        <v>0</v>
      </c>
      <c r="W12" s="361">
        <f>+COUNTIF(N12:V12,173.21)</f>
        <v>7</v>
      </c>
      <c r="X12" s="542">
        <f>+COUNTIF(W12,6)</f>
        <v>0</v>
      </c>
      <c r="Y12" s="362">
        <v>2</v>
      </c>
      <c r="Z12" s="362">
        <v>18</v>
      </c>
      <c r="AA12" s="362">
        <f>+Z12+Y12</f>
        <v>20</v>
      </c>
      <c r="AB12" s="362">
        <v>0</v>
      </c>
      <c r="AC12" s="363">
        <v>0</v>
      </c>
      <c r="AD12" s="363">
        <v>0</v>
      </c>
      <c r="AE12" s="364">
        <f>+O12+F12+V12</f>
        <v>0</v>
      </c>
      <c r="AF12" s="365">
        <f>+Z12*C12</f>
        <v>3600</v>
      </c>
      <c r="AG12" s="366">
        <f>+Y12*C12</f>
        <v>400</v>
      </c>
      <c r="AH12" s="366">
        <f>+AC12*C12</f>
        <v>0</v>
      </c>
      <c r="AI12" s="366">
        <f>+AE12*C12</f>
        <v>0</v>
      </c>
      <c r="AJ12" s="576">
        <f>+AG12+AF12+AH12+AI12</f>
        <v>4000</v>
      </c>
      <c r="AK12" s="374">
        <v>0</v>
      </c>
      <c r="AL12" s="374">
        <v>0</v>
      </c>
      <c r="AM12" s="374">
        <f>+AJ12*5%</f>
        <v>200</v>
      </c>
      <c r="AN12" s="367">
        <v>0</v>
      </c>
      <c r="AO12" s="368">
        <v>0</v>
      </c>
      <c r="AP12" s="368">
        <v>0</v>
      </c>
      <c r="AQ12" s="369">
        <v>0</v>
      </c>
      <c r="AR12" s="524">
        <f>+AQ12+AO12</f>
        <v>0</v>
      </c>
      <c r="AS12" s="230"/>
      <c r="AT12" s="232">
        <v>0.16</v>
      </c>
      <c r="AU12" s="233">
        <f>AO12-AL12</f>
        <v>0</v>
      </c>
      <c r="AV12" s="370">
        <f>AJ12*AT12</f>
        <v>640</v>
      </c>
      <c r="AW12" s="371">
        <v>0.02</v>
      </c>
      <c r="AX12" s="370">
        <f>AO12*AW12</f>
        <v>0</v>
      </c>
      <c r="AY12" s="370"/>
      <c r="AZ12" s="370"/>
      <c r="BA12" s="370">
        <f>+AJ12/12</f>
        <v>333.33333333333331</v>
      </c>
      <c r="BB12" s="370">
        <f>+BA12</f>
        <v>333.33333333333331</v>
      </c>
      <c r="BC12" s="365">
        <f>AR12+AV12+AX12</f>
        <v>640</v>
      </c>
    </row>
    <row r="13" spans="1:56" ht="72" customHeight="1" x14ac:dyDescent="0.2">
      <c r="A13" s="314">
        <v>36922907</v>
      </c>
      <c r="B13" s="315" t="s">
        <v>253</v>
      </c>
      <c r="C13" s="360">
        <v>200</v>
      </c>
      <c r="D13" s="372" t="s">
        <v>250</v>
      </c>
      <c r="E13" s="361">
        <v>173.21</v>
      </c>
      <c r="F13" s="361">
        <v>0</v>
      </c>
      <c r="G13" s="361">
        <v>173.21</v>
      </c>
      <c r="H13" s="361">
        <v>173.21</v>
      </c>
      <c r="I13" s="361">
        <v>173.21</v>
      </c>
      <c r="J13" s="361">
        <v>173.21</v>
      </c>
      <c r="K13" s="361">
        <v>173.21</v>
      </c>
      <c r="L13" s="361">
        <f>+COUNTIF(E13:K13,173.21)</f>
        <v>6</v>
      </c>
      <c r="M13" s="542">
        <f>+COUNTIF(L13,6)</f>
        <v>1</v>
      </c>
      <c r="N13" s="361">
        <v>173.21</v>
      </c>
      <c r="O13" s="361">
        <v>0</v>
      </c>
      <c r="P13" s="361">
        <v>173.21</v>
      </c>
      <c r="Q13" s="361">
        <v>173.21</v>
      </c>
      <c r="R13" s="361">
        <v>173.21</v>
      </c>
      <c r="S13" s="361">
        <v>173.21</v>
      </c>
      <c r="T13" s="361">
        <v>173.21</v>
      </c>
      <c r="U13" s="361">
        <v>173.21</v>
      </c>
      <c r="V13" s="361">
        <v>0</v>
      </c>
      <c r="W13" s="361">
        <f>+COUNTIF(N13:V13,173.21)</f>
        <v>7</v>
      </c>
      <c r="X13" s="542">
        <f>+COUNTIF(W13,6)</f>
        <v>0</v>
      </c>
      <c r="Y13" s="362">
        <v>2</v>
      </c>
      <c r="Z13" s="362">
        <v>18</v>
      </c>
      <c r="AA13" s="362">
        <f>+Z13+Y13</f>
        <v>20</v>
      </c>
      <c r="AB13" s="362">
        <v>0</v>
      </c>
      <c r="AC13" s="363">
        <v>0</v>
      </c>
      <c r="AD13" s="363">
        <v>0</v>
      </c>
      <c r="AE13" s="364">
        <f>+O13+F13+V13</f>
        <v>0</v>
      </c>
      <c r="AF13" s="365">
        <f>+Z13*C13</f>
        <v>3600</v>
      </c>
      <c r="AG13" s="366">
        <f>+Y13*C13</f>
        <v>400</v>
      </c>
      <c r="AH13" s="366">
        <f>+AC13*C13</f>
        <v>0</v>
      </c>
      <c r="AI13" s="366">
        <f>+AE13*C13</f>
        <v>0</v>
      </c>
      <c r="AJ13" s="576">
        <f>+AG13+AF13+AH13+AI13</f>
        <v>4000</v>
      </c>
      <c r="AK13" s="374">
        <f>+AF13/12</f>
        <v>300</v>
      </c>
      <c r="AL13" s="374">
        <f>+AK13</f>
        <v>300</v>
      </c>
      <c r="AM13" s="374">
        <f>+AJ13*5%</f>
        <v>200</v>
      </c>
      <c r="AN13" s="367">
        <v>0</v>
      </c>
      <c r="AO13" s="368">
        <v>0</v>
      </c>
      <c r="AP13" s="368">
        <v>0</v>
      </c>
      <c r="AQ13" s="369">
        <v>0</v>
      </c>
      <c r="AR13" s="524">
        <f>+AQ13+AO13</f>
        <v>0</v>
      </c>
      <c r="AS13" s="230"/>
      <c r="AT13" s="232">
        <v>0.16</v>
      </c>
      <c r="AU13" s="233">
        <f>AO13-AL13</f>
        <v>-300</v>
      </c>
      <c r="AV13" s="370">
        <f>AJ13*AT13</f>
        <v>640</v>
      </c>
      <c r="AW13" s="371">
        <v>0.02</v>
      </c>
      <c r="AX13" s="370">
        <f>AO13*AW13</f>
        <v>0</v>
      </c>
      <c r="AY13" s="370"/>
      <c r="AZ13" s="370"/>
      <c r="BA13" s="370">
        <v>0</v>
      </c>
      <c r="BB13" s="370">
        <f>+BA13</f>
        <v>0</v>
      </c>
      <c r="BC13" s="365">
        <f>AR13+AV13+AX13</f>
        <v>640</v>
      </c>
    </row>
    <row r="14" spans="1:56" s="236" customFormat="1" ht="62.25" customHeight="1" x14ac:dyDescent="0.2">
      <c r="A14" s="1516" t="s">
        <v>100</v>
      </c>
      <c r="B14" s="1516"/>
      <c r="C14" s="1517"/>
      <c r="D14" s="1517"/>
      <c r="E14" s="230">
        <f t="shared" ref="E14:AN14" si="0">SUM(E12:E13)</f>
        <v>346.42</v>
      </c>
      <c r="F14" s="230">
        <f t="shared" si="0"/>
        <v>0</v>
      </c>
      <c r="G14" s="230">
        <f t="shared" si="0"/>
        <v>346.42</v>
      </c>
      <c r="H14" s="230">
        <f t="shared" si="0"/>
        <v>346.42</v>
      </c>
      <c r="I14" s="230">
        <f t="shared" si="0"/>
        <v>346.42</v>
      </c>
      <c r="J14" s="230">
        <f t="shared" si="0"/>
        <v>346.42</v>
      </c>
      <c r="K14" s="230">
        <f t="shared" si="0"/>
        <v>346.42</v>
      </c>
      <c r="L14" s="230">
        <f t="shared" si="0"/>
        <v>12</v>
      </c>
      <c r="M14" s="230">
        <f t="shared" si="0"/>
        <v>2</v>
      </c>
      <c r="N14" s="230">
        <f t="shared" si="0"/>
        <v>346.42</v>
      </c>
      <c r="O14" s="230">
        <f t="shared" si="0"/>
        <v>0</v>
      </c>
      <c r="P14" s="230">
        <f t="shared" si="0"/>
        <v>346.42</v>
      </c>
      <c r="Q14" s="230">
        <f t="shared" si="0"/>
        <v>346.42</v>
      </c>
      <c r="R14" s="230">
        <f t="shared" si="0"/>
        <v>346.42</v>
      </c>
      <c r="S14" s="230">
        <f t="shared" si="0"/>
        <v>346.42</v>
      </c>
      <c r="T14" s="230">
        <f t="shared" si="0"/>
        <v>346.42</v>
      </c>
      <c r="U14" s="230">
        <f t="shared" si="0"/>
        <v>346.42</v>
      </c>
      <c r="V14" s="230">
        <f t="shared" si="0"/>
        <v>0</v>
      </c>
      <c r="W14" s="230">
        <f t="shared" si="0"/>
        <v>14</v>
      </c>
      <c r="X14" s="230">
        <f t="shared" si="0"/>
        <v>0</v>
      </c>
      <c r="Y14" s="230">
        <f t="shared" si="0"/>
        <v>4</v>
      </c>
      <c r="Z14" s="230">
        <f t="shared" si="0"/>
        <v>36</v>
      </c>
      <c r="AA14" s="230">
        <f t="shared" si="0"/>
        <v>40</v>
      </c>
      <c r="AB14" s="230">
        <f t="shared" si="0"/>
        <v>0</v>
      </c>
      <c r="AC14" s="230">
        <f t="shared" si="0"/>
        <v>0</v>
      </c>
      <c r="AD14" s="230">
        <f t="shared" si="0"/>
        <v>0</v>
      </c>
      <c r="AE14" s="230">
        <f t="shared" si="0"/>
        <v>0</v>
      </c>
      <c r="AF14" s="231">
        <f t="shared" si="0"/>
        <v>7200</v>
      </c>
      <c r="AG14" s="234">
        <f t="shared" si="0"/>
        <v>800</v>
      </c>
      <c r="AH14" s="234">
        <f t="shared" si="0"/>
        <v>0</v>
      </c>
      <c r="AI14" s="234">
        <f t="shared" si="0"/>
        <v>0</v>
      </c>
      <c r="AJ14" s="231">
        <f>SUM(AJ12:AJ13)</f>
        <v>8000</v>
      </c>
      <c r="AK14" s="231">
        <f>SUM(AK12:AK13)</f>
        <v>300</v>
      </c>
      <c r="AL14" s="231">
        <f>SUM(AL12:AL13)</f>
        <v>300</v>
      </c>
      <c r="AM14" s="234">
        <f>SUM(AM12:AM13)</f>
        <v>400</v>
      </c>
      <c r="AN14" s="231">
        <f t="shared" si="0"/>
        <v>0</v>
      </c>
      <c r="AO14" s="231">
        <f>SUM(AO12:AO13)</f>
        <v>0</v>
      </c>
      <c r="AP14" s="231"/>
      <c r="AQ14" s="234">
        <v>0</v>
      </c>
      <c r="AR14" s="525">
        <f>SUM(AR12:AR13)</f>
        <v>0</v>
      </c>
      <c r="AS14" s="235" t="s">
        <v>105</v>
      </c>
      <c r="AT14" s="231" t="e">
        <f>SUM(#REF!)</f>
        <v>#REF!</v>
      </c>
      <c r="AU14" s="231" t="e">
        <f>SUM(#REF!)</f>
        <v>#REF!</v>
      </c>
      <c r="AV14" s="231">
        <f>SUM(AV12:AW13)</f>
        <v>1280.04</v>
      </c>
      <c r="AW14" s="231">
        <f>SUM(AW12:AX13)</f>
        <v>0.04</v>
      </c>
      <c r="AX14" s="234">
        <f t="shared" ref="AX14:BB14" si="1">SUM(AX12:AX13)</f>
        <v>0</v>
      </c>
      <c r="AY14" s="234">
        <f t="shared" si="1"/>
        <v>0</v>
      </c>
      <c r="AZ14" s="234">
        <f t="shared" si="1"/>
        <v>0</v>
      </c>
      <c r="BA14" s="234">
        <f t="shared" si="1"/>
        <v>333.33333333333331</v>
      </c>
      <c r="BB14" s="234">
        <f t="shared" si="1"/>
        <v>333.33333333333331</v>
      </c>
      <c r="BC14" s="231">
        <f>SUM(BC12:BC13)</f>
        <v>1280</v>
      </c>
    </row>
    <row r="15" spans="1:56" x14ac:dyDescent="0.2">
      <c r="A15" s="237"/>
      <c r="B15" s="237"/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7"/>
      <c r="BB15" s="237"/>
      <c r="BC15" s="237"/>
    </row>
    <row r="16" spans="1:56" x14ac:dyDescent="0.2">
      <c r="A16" s="237"/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7"/>
    </row>
    <row r="17" spans="1:55" x14ac:dyDescent="0.2">
      <c r="A17" s="237"/>
      <c r="B17" s="237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</row>
    <row r="18" spans="1:55" x14ac:dyDescent="0.2">
      <c r="A18" s="237"/>
      <c r="B18" s="237"/>
      <c r="C18" s="237"/>
      <c r="D18" s="237"/>
      <c r="E18" s="237"/>
      <c r="F18" s="237"/>
      <c r="G18" s="237"/>
      <c r="H18" s="237"/>
      <c r="I18" s="237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</row>
    <row r="19" spans="1:55" x14ac:dyDescent="0.2">
      <c r="A19" s="237"/>
      <c r="B19" s="237"/>
      <c r="C19" s="237"/>
      <c r="D19" s="237"/>
      <c r="E19" s="237"/>
      <c r="F19" s="237"/>
      <c r="G19" s="237"/>
      <c r="H19" s="237"/>
      <c r="I19" s="237"/>
      <c r="J19" s="237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</row>
    <row r="20" spans="1:55" x14ac:dyDescent="0.2">
      <c r="A20" s="237"/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</row>
    <row r="21" spans="1:55" x14ac:dyDescent="0.2">
      <c r="A21" s="237"/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</row>
    <row r="22" spans="1:55" x14ac:dyDescent="0.2">
      <c r="A22" s="237"/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</row>
    <row r="23" spans="1:55" x14ac:dyDescent="0.2">
      <c r="A23" s="237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</row>
    <row r="24" spans="1:55" x14ac:dyDescent="0.2">
      <c r="A24" s="237"/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</row>
    <row r="25" spans="1:55" x14ac:dyDescent="0.2">
      <c r="A25" s="237"/>
      <c r="B25" s="237"/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</row>
    <row r="26" spans="1:55" x14ac:dyDescent="0.2">
      <c r="A26" s="237"/>
      <c r="B26" s="237"/>
      <c r="C26" s="237"/>
      <c r="D26" s="237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</row>
    <row r="27" spans="1:55" x14ac:dyDescent="0.2">
      <c r="A27" s="237"/>
      <c r="B27" s="237"/>
      <c r="C27" s="237"/>
      <c r="D27" s="237"/>
      <c r="E27" s="237"/>
      <c r="F27" s="237"/>
      <c r="G27" s="237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  <c r="AB27" s="237"/>
      <c r="AC27" s="237"/>
      <c r="AD27" s="237"/>
      <c r="AE27" s="237"/>
      <c r="AF27" s="237"/>
      <c r="AG27" s="237"/>
      <c r="AH27" s="237"/>
      <c r="AI27" s="237"/>
      <c r="AJ27" s="237"/>
      <c r="AK27" s="237"/>
      <c r="AL27" s="237"/>
      <c r="AM27" s="237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237"/>
      <c r="BB27" s="237"/>
      <c r="BC27" s="237"/>
    </row>
    <row r="28" spans="1:55" x14ac:dyDescent="0.2">
      <c r="A28" s="237"/>
      <c r="B28" s="237"/>
      <c r="C28" s="1250"/>
      <c r="D28" s="1250"/>
      <c r="E28" s="1250"/>
      <c r="F28" s="1250"/>
      <c r="G28" s="1250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7"/>
      <c r="S28" s="1250"/>
      <c r="T28" s="1250"/>
      <c r="U28" s="1250"/>
      <c r="V28" s="1250"/>
      <c r="W28" s="1250"/>
      <c r="X28" s="1250"/>
      <c r="Y28" s="1250"/>
      <c r="Z28" s="1250"/>
      <c r="AA28" s="1250"/>
      <c r="AB28" s="1250"/>
      <c r="AC28" s="1250"/>
      <c r="AD28" s="1250"/>
      <c r="AE28" s="1250"/>
      <c r="AF28" s="1250"/>
      <c r="AG28" s="237"/>
      <c r="AH28" s="237"/>
      <c r="AI28" s="237"/>
      <c r="AJ28" s="237"/>
      <c r="AK28" s="237"/>
      <c r="AL28" s="237"/>
      <c r="AM28" s="237"/>
      <c r="AN28" s="237"/>
      <c r="AO28" s="1250"/>
      <c r="AP28" s="1250"/>
      <c r="AQ28" s="1250"/>
      <c r="AR28" s="1250"/>
      <c r="AS28" s="237"/>
      <c r="AT28" s="237"/>
      <c r="AU28" s="237"/>
      <c r="AV28" s="237"/>
      <c r="AW28" s="237"/>
      <c r="AX28" s="237"/>
      <c r="AY28" s="237"/>
      <c r="AZ28" s="237"/>
      <c r="BA28" s="237"/>
      <c r="BB28" s="237"/>
      <c r="BC28" s="237"/>
    </row>
    <row r="29" spans="1:55" ht="19.95" customHeight="1" x14ac:dyDescent="0.2">
      <c r="A29" s="237"/>
      <c r="B29" s="1518" t="s">
        <v>101</v>
      </c>
      <c r="C29" s="1518"/>
      <c r="D29" s="1518"/>
      <c r="E29" s="1518"/>
      <c r="F29" s="1518"/>
      <c r="G29" s="1518"/>
      <c r="H29" s="1518"/>
      <c r="I29" s="1518"/>
      <c r="J29" s="237"/>
      <c r="K29" s="237"/>
      <c r="L29" s="237"/>
      <c r="M29" s="237"/>
      <c r="N29" s="237"/>
      <c r="O29" s="237"/>
      <c r="P29" s="237"/>
      <c r="Q29" s="237"/>
      <c r="R29" s="1518" t="s">
        <v>102</v>
      </c>
      <c r="S29" s="1518"/>
      <c r="T29" s="1518"/>
      <c r="U29" s="1518"/>
      <c r="V29" s="1518"/>
      <c r="W29" s="1518"/>
      <c r="X29" s="1518"/>
      <c r="Y29" s="1518"/>
      <c r="Z29" s="1518"/>
      <c r="AA29" s="1518"/>
      <c r="AB29" s="1518"/>
      <c r="AC29" s="1518"/>
      <c r="AD29" s="1518"/>
      <c r="AE29" s="1518"/>
      <c r="AF29" s="1518"/>
      <c r="AG29" s="1518"/>
      <c r="AH29" s="273"/>
      <c r="AI29" s="273"/>
      <c r="AJ29" s="273"/>
      <c r="AK29" s="237"/>
      <c r="AL29" s="237"/>
      <c r="AM29" s="237"/>
      <c r="AN29" s="1518" t="s">
        <v>103</v>
      </c>
      <c r="AO29" s="1518"/>
      <c r="AP29" s="1518"/>
      <c r="AQ29" s="1518"/>
      <c r="AR29" s="1518"/>
      <c r="AS29" s="1518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</row>
    <row r="30" spans="1:55" ht="19.95" customHeight="1" x14ac:dyDescent="0.2">
      <c r="A30" s="237"/>
      <c r="B30" s="1514" t="s">
        <v>293</v>
      </c>
      <c r="C30" s="1514"/>
      <c r="D30" s="1514"/>
      <c r="E30" s="1514"/>
      <c r="F30" s="1514"/>
      <c r="G30" s="1514"/>
      <c r="H30" s="1514"/>
      <c r="I30" s="1514"/>
      <c r="J30" s="237"/>
      <c r="K30" s="237"/>
      <c r="L30" s="237"/>
      <c r="M30" s="237"/>
      <c r="N30" s="237"/>
      <c r="O30" s="237"/>
      <c r="P30" s="237"/>
      <c r="Q30" s="237"/>
      <c r="R30" s="1514" t="s">
        <v>269</v>
      </c>
      <c r="S30" s="1514"/>
      <c r="T30" s="1514"/>
      <c r="U30" s="1514"/>
      <c r="V30" s="1514"/>
      <c r="W30" s="1514"/>
      <c r="X30" s="1514"/>
      <c r="Y30" s="1514"/>
      <c r="Z30" s="1514"/>
      <c r="AA30" s="1514"/>
      <c r="AB30" s="1514"/>
      <c r="AC30" s="1514"/>
      <c r="AD30" s="1514"/>
      <c r="AE30" s="1514"/>
      <c r="AF30" s="1514"/>
      <c r="AG30" s="1514"/>
      <c r="AH30" s="273"/>
      <c r="AI30" s="273"/>
      <c r="AJ30" s="273"/>
      <c r="AK30" s="237"/>
      <c r="AL30" s="237"/>
      <c r="AM30" s="237"/>
      <c r="AN30" s="1514" t="s">
        <v>285</v>
      </c>
      <c r="AO30" s="1514"/>
      <c r="AP30" s="1514"/>
      <c r="AQ30" s="1514"/>
      <c r="AR30" s="1514"/>
      <c r="AS30" s="1514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</row>
    <row r="31" spans="1:55" x14ac:dyDescent="0.2">
      <c r="A31" s="238"/>
      <c r="B31" s="238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AK31" s="238"/>
      <c r="AL31" s="238"/>
      <c r="AM31" s="238"/>
      <c r="AN31" s="238"/>
      <c r="AO31" s="238"/>
      <c r="AP31" s="238"/>
      <c r="AQ31" s="238"/>
      <c r="AR31" s="238"/>
      <c r="AS31" s="238"/>
      <c r="AT31" s="238"/>
      <c r="AU31" s="238"/>
      <c r="AV31" s="238"/>
      <c r="AW31" s="238"/>
      <c r="AX31" s="238"/>
      <c r="AY31" s="238"/>
      <c r="AZ31" s="238"/>
      <c r="BA31" s="238"/>
      <c r="BB31" s="238"/>
      <c r="BC31" s="238"/>
    </row>
    <row r="32" spans="1:55" x14ac:dyDescent="0.2">
      <c r="A32" s="238"/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</row>
    <row r="33" spans="1:55" x14ac:dyDescent="0.2">
      <c r="A33" s="238"/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238"/>
    </row>
    <row r="34" spans="1:55" x14ac:dyDescent="0.2">
      <c r="A34" s="238"/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8"/>
      <c r="AY34" s="238"/>
      <c r="AZ34" s="238"/>
      <c r="BA34" s="238"/>
      <c r="BB34" s="238"/>
      <c r="BC34" s="238"/>
    </row>
    <row r="35" spans="1:55" x14ac:dyDescent="0.2">
      <c r="A35" s="238"/>
      <c r="B35" s="238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38"/>
      <c r="AS35" s="238"/>
      <c r="AT35" s="238"/>
      <c r="AU35" s="238"/>
      <c r="AV35" s="238"/>
      <c r="AW35" s="238"/>
      <c r="AX35" s="238"/>
      <c r="AY35" s="238"/>
      <c r="AZ35" s="238"/>
      <c r="BA35" s="238"/>
      <c r="BB35" s="238"/>
      <c r="BC35" s="238"/>
    </row>
    <row r="36" spans="1:55" x14ac:dyDescent="0.2">
      <c r="A36" s="238"/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8"/>
      <c r="Q36" s="238"/>
      <c r="R36" s="238"/>
      <c r="S36" s="238"/>
      <c r="T36" s="238"/>
      <c r="U36" s="238"/>
      <c r="V36" s="238"/>
      <c r="W36" s="238"/>
      <c r="X36" s="238"/>
      <c r="Y36" s="238"/>
      <c r="Z36" s="238"/>
      <c r="AA36" s="238"/>
      <c r="AB36" s="238"/>
      <c r="AC36" s="238"/>
      <c r="AD36" s="238"/>
      <c r="AE36" s="238"/>
      <c r="AF36" s="238"/>
      <c r="AG36" s="238"/>
      <c r="AH36" s="238"/>
      <c r="AI36" s="238"/>
      <c r="AJ36" s="238"/>
      <c r="AK36" s="238"/>
      <c r="AL36" s="238"/>
      <c r="AM36" s="238"/>
      <c r="AN36" s="238"/>
      <c r="AO36" s="238"/>
      <c r="AP36" s="238"/>
      <c r="AQ36" s="238"/>
      <c r="AR36" s="238"/>
      <c r="AS36" s="238"/>
      <c r="AT36" s="238"/>
      <c r="AU36" s="238"/>
      <c r="AV36" s="238"/>
      <c r="AW36" s="238"/>
      <c r="AX36" s="238"/>
      <c r="AY36" s="238"/>
      <c r="AZ36" s="238"/>
      <c r="BA36" s="238"/>
      <c r="BB36" s="238"/>
      <c r="BC36" s="238"/>
    </row>
  </sheetData>
  <mergeCells count="70">
    <mergeCell ref="A9:A11"/>
    <mergeCell ref="B9:B11"/>
    <mergeCell ref="C9:C11"/>
    <mergeCell ref="D9:D11"/>
    <mergeCell ref="E9:E10"/>
    <mergeCell ref="B1:BC1"/>
    <mergeCell ref="B2:BD2"/>
    <mergeCell ref="B3:BD3"/>
    <mergeCell ref="B4:BD4"/>
    <mergeCell ref="B5:BD5"/>
    <mergeCell ref="Q9:Q10"/>
    <mergeCell ref="F9:F10"/>
    <mergeCell ref="G9:G10"/>
    <mergeCell ref="H9:H10"/>
    <mergeCell ref="I9:I10"/>
    <mergeCell ref="J9:J10"/>
    <mergeCell ref="K9:K10"/>
    <mergeCell ref="L9:L11"/>
    <mergeCell ref="M9:M11"/>
    <mergeCell ref="N9:N10"/>
    <mergeCell ref="O9:O10"/>
    <mergeCell ref="P9:P10"/>
    <mergeCell ref="AC9:AC11"/>
    <mergeCell ref="R9:R10"/>
    <mergeCell ref="S9:S10"/>
    <mergeCell ref="T9:T10"/>
    <mergeCell ref="U9:U10"/>
    <mergeCell ref="V9:V10"/>
    <mergeCell ref="W9:W11"/>
    <mergeCell ref="X9:X11"/>
    <mergeCell ref="Y9:Y11"/>
    <mergeCell ref="Z9:Z11"/>
    <mergeCell ref="AA9:AA11"/>
    <mergeCell ref="AB9:AB11"/>
    <mergeCell ref="AO9:AO11"/>
    <mergeCell ref="AD9:AD11"/>
    <mergeCell ref="AE9:AE11"/>
    <mergeCell ref="AF9:AF11"/>
    <mergeCell ref="AG9:AG11"/>
    <mergeCell ref="AH9:AH11"/>
    <mergeCell ref="AI9:AI11"/>
    <mergeCell ref="AJ9:AJ11"/>
    <mergeCell ref="AK9:AK11"/>
    <mergeCell ref="AL9:AL11"/>
    <mergeCell ref="AM9:AM11"/>
    <mergeCell ref="AN9:AN11"/>
    <mergeCell ref="BB9:BB11"/>
    <mergeCell ref="AP9:AP11"/>
    <mergeCell ref="AQ9:AQ11"/>
    <mergeCell ref="AR9:AR11"/>
    <mergeCell ref="AS9:AS11"/>
    <mergeCell ref="AT9:AT11"/>
    <mergeCell ref="AU9:AU11"/>
    <mergeCell ref="AW9:AW11"/>
    <mergeCell ref="B30:I30"/>
    <mergeCell ref="R30:AG30"/>
    <mergeCell ref="AN30:AS30"/>
    <mergeCell ref="BC9:BC11"/>
    <mergeCell ref="A14:D14"/>
    <mergeCell ref="C28:G28"/>
    <mergeCell ref="S28:AF28"/>
    <mergeCell ref="AO28:AR28"/>
    <mergeCell ref="B29:I29"/>
    <mergeCell ref="R29:AG29"/>
    <mergeCell ref="AN29:AS29"/>
    <mergeCell ref="AV9:AV11"/>
    <mergeCell ref="AX9:AX11"/>
    <mergeCell ref="AY9:AY11"/>
    <mergeCell ref="AZ9:AZ11"/>
    <mergeCell ref="BA9:BA11"/>
  </mergeCells>
  <printOptions verticalCentered="1"/>
  <pageMargins left="0" right="0" top="0.74803149606299213" bottom="0.74803149606299213" header="0.31496062992125984" footer="0.31496062992125984"/>
  <pageSetup paperSize="5" scale="3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22">
    <tabColor theme="5" tint="0.39997558519241921"/>
    <pageSetUpPr fitToPage="1"/>
  </sheetPr>
  <dimension ref="A2:CB45"/>
  <sheetViews>
    <sheetView zoomScale="115" zoomScaleNormal="115" zoomScaleSheetLayoutView="145" workbookViewId="0">
      <selection activeCell="AE9" sqref="AE9"/>
    </sheetView>
  </sheetViews>
  <sheetFormatPr baseColWidth="10" defaultColWidth="11.7109375" defaultRowHeight="12" x14ac:dyDescent="0.25"/>
  <cols>
    <col min="1" max="1" width="3.85546875" style="426" bestFit="1" customWidth="1"/>
    <col min="2" max="2" width="8.85546875" style="426" hidden="1" customWidth="1"/>
    <col min="3" max="3" width="30" style="521" bestFit="1" customWidth="1"/>
    <col min="4" max="4" width="14.85546875" style="194" hidden="1" customWidth="1"/>
    <col min="5" max="5" width="3.85546875" style="194" customWidth="1"/>
    <col min="6" max="6" width="3.42578125" style="427" customWidth="1"/>
    <col min="7" max="7" width="6.7109375" style="427" customWidth="1"/>
    <col min="8" max="8" width="7.42578125" style="194" customWidth="1"/>
    <col min="9" max="9" width="7.140625" style="194" customWidth="1"/>
    <col min="10" max="10" width="7.85546875" style="194" customWidth="1"/>
    <col min="11" max="11" width="3" style="194" customWidth="1"/>
    <col min="12" max="12" width="7.140625" style="194" customWidth="1"/>
    <col min="13" max="13" width="7.28515625" style="194" customWidth="1"/>
    <col min="14" max="14" width="7" style="194" customWidth="1"/>
    <col min="15" max="15" width="3.42578125" style="194" hidden="1" customWidth="1"/>
    <col min="16" max="16" width="3.42578125" style="194" customWidth="1"/>
    <col min="17" max="17" width="7.42578125" style="194" customWidth="1"/>
    <col min="18" max="18" width="7.28515625" style="194" customWidth="1"/>
    <col min="19" max="19" width="7.42578125" style="194" customWidth="1"/>
    <col min="20" max="20" width="4.28515625" style="194" customWidth="1"/>
    <col min="21" max="21" width="7.7109375" style="375" customWidth="1"/>
    <col min="22" max="22" width="7.140625" style="375" customWidth="1"/>
    <col min="23" max="23" width="6.42578125" style="375" hidden="1" customWidth="1"/>
    <col min="24" max="24" width="6.28515625" style="375" customWidth="1"/>
    <col min="25" max="25" width="3.42578125" style="375" hidden="1" customWidth="1"/>
    <col min="26" max="26" width="4.140625" style="375" customWidth="1"/>
    <col min="27" max="27" width="18" style="375" hidden="1" customWidth="1"/>
    <col min="28" max="28" width="13.140625" style="375" hidden="1" customWidth="1"/>
    <col min="29" max="29" width="1.85546875" style="375" hidden="1" customWidth="1"/>
    <col min="30" max="30" width="6" style="375" customWidth="1"/>
    <col min="31" max="31" width="3.42578125" style="375" customWidth="1"/>
    <col min="32" max="32" width="6.42578125" style="375" hidden="1" customWidth="1"/>
    <col min="33" max="33" width="8.85546875" style="375" hidden="1" customWidth="1"/>
    <col min="34" max="34" width="2.7109375" style="431" customWidth="1"/>
    <col min="35" max="35" width="5" style="375" customWidth="1"/>
    <col min="36" max="36" width="8" style="375" customWidth="1"/>
    <col min="37" max="37" width="7" style="432" hidden="1" customWidth="1"/>
    <col min="38" max="38" width="7.28515625" style="432" hidden="1" customWidth="1"/>
    <col min="39" max="39" width="7.140625" style="433" customWidth="1"/>
    <col min="40" max="40" width="13" style="434" hidden="1" customWidth="1"/>
    <col min="41" max="41" width="9.140625" style="434" hidden="1" customWidth="1"/>
    <col min="42" max="42" width="12.7109375" style="434" hidden="1" customWidth="1"/>
    <col min="43" max="43" width="9.7109375" style="434" hidden="1" customWidth="1"/>
    <col min="44" max="44" width="12" style="434" hidden="1" customWidth="1"/>
    <col min="45" max="45" width="6" style="435" customWidth="1"/>
    <col min="46" max="46" width="8.140625" style="435" customWidth="1"/>
    <col min="47" max="56" width="8.140625" style="434" hidden="1" customWidth="1"/>
    <col min="57" max="57" width="6.85546875" style="434" customWidth="1"/>
    <col min="58" max="58" width="6.42578125" style="436" customWidth="1"/>
    <col min="59" max="59" width="6.85546875" style="463" customWidth="1"/>
    <col min="60" max="60" width="6.85546875" style="375" customWidth="1"/>
    <col min="61" max="61" width="9" style="464" customWidth="1"/>
    <col min="62" max="62" width="13.42578125" style="436" hidden="1" customWidth="1"/>
    <col min="63" max="63" width="7" style="375" hidden="1" customWidth="1"/>
    <col min="64" max="64" width="6.28515625" style="431" hidden="1" customWidth="1"/>
    <col min="65" max="65" width="8.42578125" style="431" hidden="1" customWidth="1"/>
    <col min="66" max="66" width="7.28515625" style="437" hidden="1" customWidth="1"/>
    <col min="67" max="67" width="4.85546875" style="431" customWidth="1"/>
    <col min="68" max="68" width="8.28515625" style="431" hidden="1" customWidth="1"/>
    <col min="69" max="69" width="7.7109375" style="431" customWidth="1"/>
    <col min="70" max="70" width="4.42578125" style="431" hidden="1" customWidth="1"/>
    <col min="71" max="71" width="7.42578125" style="437" customWidth="1"/>
    <col min="72" max="72" width="7.7109375" style="437" customWidth="1"/>
    <col min="73" max="73" width="17.42578125" style="431" customWidth="1"/>
    <col min="74" max="74" width="37.42578125" style="438" customWidth="1"/>
    <col min="75" max="75" width="4.42578125" style="495" hidden="1" customWidth="1"/>
    <col min="76" max="76" width="12.85546875" style="495" hidden="1" customWidth="1"/>
    <col min="77" max="77" width="9.28515625" style="496" hidden="1" customWidth="1"/>
    <col min="78" max="78" width="7.7109375" style="495" hidden="1" customWidth="1"/>
    <col min="79" max="79" width="6.42578125" style="496" hidden="1" customWidth="1"/>
    <col min="80" max="80" width="9.85546875" style="495" hidden="1" customWidth="1"/>
    <col min="81" max="16384" width="11.7109375" style="375"/>
  </cols>
  <sheetData>
    <row r="2" spans="1:80" ht="22.2" customHeight="1" x14ac:dyDescent="0.2">
      <c r="A2" s="1543" t="s">
        <v>276</v>
      </c>
      <c r="B2" s="1543"/>
      <c r="C2" s="1543"/>
      <c r="D2" s="1543"/>
      <c r="E2" s="1543"/>
      <c r="F2" s="1543"/>
      <c r="G2" s="1543"/>
      <c r="H2" s="1543"/>
      <c r="I2" s="1543"/>
      <c r="J2" s="1543"/>
      <c r="K2" s="1543"/>
      <c r="L2" s="1543"/>
      <c r="M2" s="1543"/>
      <c r="N2" s="1543"/>
      <c r="O2" s="1543"/>
      <c r="P2" s="1543"/>
      <c r="Q2" s="1543"/>
      <c r="R2" s="1543"/>
      <c r="S2" s="1543"/>
      <c r="T2" s="1543"/>
      <c r="U2" s="1543"/>
      <c r="V2" s="1543"/>
      <c r="W2" s="1543"/>
      <c r="X2" s="1543"/>
      <c r="Y2" s="1543"/>
      <c r="Z2" s="1543"/>
      <c r="AA2" s="1543"/>
      <c r="AB2" s="1543"/>
      <c r="AC2" s="1543"/>
      <c r="AD2" s="1543"/>
      <c r="AE2" s="1543"/>
      <c r="AF2" s="1543"/>
      <c r="AG2" s="1543"/>
      <c r="AH2" s="1543"/>
      <c r="AI2" s="1543"/>
      <c r="AJ2" s="1543"/>
      <c r="AK2" s="1543"/>
      <c r="AL2" s="1543"/>
      <c r="AM2" s="1543"/>
      <c r="AN2" s="1543"/>
      <c r="AO2" s="1543"/>
      <c r="AP2" s="1543"/>
      <c r="AQ2" s="1543"/>
      <c r="AR2" s="1543"/>
      <c r="AS2" s="1543"/>
      <c r="AT2" s="1543"/>
      <c r="AU2" s="1543"/>
      <c r="AV2" s="1543"/>
      <c r="AW2" s="1543"/>
      <c r="AX2" s="1543"/>
      <c r="AY2" s="1543"/>
      <c r="AZ2" s="1543"/>
      <c r="BA2" s="1543"/>
      <c r="BB2" s="1543"/>
      <c r="BC2" s="1543"/>
      <c r="BD2" s="1543"/>
      <c r="BE2" s="1543"/>
      <c r="BF2" s="1543"/>
      <c r="BG2" s="1543"/>
      <c r="BH2" s="1543"/>
      <c r="BI2" s="1543"/>
      <c r="BJ2" s="1543"/>
      <c r="BK2" s="1543"/>
      <c r="BL2" s="1543"/>
      <c r="BM2" s="1543"/>
      <c r="BN2" s="1543"/>
      <c r="BO2" s="1543"/>
      <c r="BP2" s="375"/>
      <c r="BQ2" s="375"/>
      <c r="BR2" s="375"/>
      <c r="BS2" s="375"/>
      <c r="BT2" s="375"/>
      <c r="BU2" s="375"/>
      <c r="BV2" s="375"/>
      <c r="BW2" s="375"/>
      <c r="BX2" s="375"/>
      <c r="BY2" s="375"/>
      <c r="BZ2" s="375"/>
      <c r="CA2" s="375"/>
      <c r="CB2" s="375"/>
    </row>
    <row r="3" spans="1:80" ht="22.2" customHeight="1" x14ac:dyDescent="0.2">
      <c r="A3" s="1543" t="s">
        <v>275</v>
      </c>
      <c r="B3" s="1543"/>
      <c r="C3" s="1543"/>
      <c r="D3" s="1543"/>
      <c r="E3" s="1543"/>
      <c r="F3" s="1543"/>
      <c r="G3" s="1543"/>
      <c r="H3" s="1543"/>
      <c r="I3" s="1543"/>
      <c r="J3" s="1543"/>
      <c r="K3" s="1543"/>
      <c r="L3" s="1543"/>
      <c r="M3" s="1543"/>
      <c r="N3" s="1543"/>
      <c r="O3" s="1543"/>
      <c r="P3" s="1543"/>
      <c r="Q3" s="1543"/>
      <c r="R3" s="1543"/>
      <c r="S3" s="1543"/>
      <c r="T3" s="1543"/>
      <c r="U3" s="1543"/>
      <c r="V3" s="1543"/>
      <c r="W3" s="1543"/>
      <c r="X3" s="1543"/>
      <c r="Y3" s="1543"/>
      <c r="Z3" s="1543"/>
      <c r="AA3" s="1543"/>
      <c r="AB3" s="1543"/>
      <c r="AC3" s="1543"/>
      <c r="AD3" s="1543"/>
      <c r="AE3" s="1543"/>
      <c r="AF3" s="1543"/>
      <c r="AG3" s="1543"/>
      <c r="AH3" s="1543"/>
      <c r="AI3" s="1543"/>
      <c r="AJ3" s="1543"/>
      <c r="AK3" s="1543"/>
      <c r="AL3" s="1543"/>
      <c r="AM3" s="1543"/>
      <c r="AN3" s="1543"/>
      <c r="AO3" s="1543"/>
      <c r="AP3" s="1543"/>
      <c r="AQ3" s="1543"/>
      <c r="AR3" s="1543"/>
      <c r="AS3" s="1543"/>
      <c r="AT3" s="1543"/>
      <c r="AU3" s="1543"/>
      <c r="AV3" s="1543"/>
      <c r="AW3" s="1543"/>
      <c r="AX3" s="1543"/>
      <c r="AY3" s="1543"/>
      <c r="AZ3" s="1543"/>
      <c r="BA3" s="1543"/>
      <c r="BB3" s="1543"/>
      <c r="BC3" s="1543"/>
      <c r="BD3" s="1543"/>
      <c r="BE3" s="1543"/>
      <c r="BF3" s="1543"/>
      <c r="BG3" s="1543"/>
      <c r="BH3" s="1543"/>
      <c r="BI3" s="1543"/>
      <c r="BJ3" s="1543"/>
      <c r="BK3" s="1543"/>
      <c r="BL3" s="1543"/>
      <c r="BM3" s="1543"/>
      <c r="BN3" s="1543"/>
      <c r="BO3" s="1543"/>
      <c r="BP3" s="375"/>
      <c r="BQ3" s="375"/>
      <c r="BR3" s="375"/>
      <c r="BS3" s="375"/>
      <c r="BT3" s="375"/>
      <c r="BU3" s="375"/>
      <c r="BV3" s="375"/>
      <c r="BW3" s="375"/>
      <c r="BX3" s="375"/>
      <c r="BY3" s="375"/>
      <c r="BZ3" s="375"/>
      <c r="CA3" s="375"/>
      <c r="CB3" s="375"/>
    </row>
    <row r="4" spans="1:80" ht="22.2" customHeight="1" x14ac:dyDescent="0.3">
      <c r="A4" s="1544" t="str">
        <f>+'ADMON COM. '!A5:AC5</f>
        <v>QUINCENA DEL 16  AL 30  DE ABRIL - 2026</v>
      </c>
      <c r="B4" s="1544"/>
      <c r="C4" s="1544"/>
      <c r="D4" s="1544"/>
      <c r="E4" s="1544"/>
      <c r="F4" s="1544"/>
      <c r="G4" s="1544"/>
      <c r="H4" s="1544"/>
      <c r="I4" s="1544"/>
      <c r="J4" s="1544"/>
      <c r="K4" s="1544"/>
      <c r="L4" s="1544"/>
      <c r="M4" s="1544"/>
      <c r="N4" s="1544"/>
      <c r="O4" s="1544"/>
      <c r="P4" s="1544"/>
      <c r="Q4" s="1544"/>
      <c r="R4" s="1544"/>
      <c r="S4" s="1544"/>
      <c r="T4" s="1544"/>
      <c r="U4" s="1544"/>
      <c r="V4" s="1544"/>
      <c r="W4" s="1544"/>
      <c r="X4" s="1544"/>
      <c r="Y4" s="1544"/>
      <c r="Z4" s="1544"/>
      <c r="AA4" s="1544"/>
      <c r="AB4" s="1544"/>
      <c r="AC4" s="1544"/>
      <c r="AD4" s="1544"/>
      <c r="AE4" s="1544"/>
      <c r="AF4" s="1544"/>
      <c r="AG4" s="1544"/>
      <c r="AH4" s="1544"/>
      <c r="AI4" s="1544"/>
      <c r="AJ4" s="1544"/>
      <c r="AK4" s="1544"/>
      <c r="AL4" s="1544"/>
      <c r="AM4" s="1544"/>
      <c r="AN4" s="1544"/>
      <c r="AO4" s="1544"/>
      <c r="AP4" s="1544"/>
      <c r="AQ4" s="1544"/>
      <c r="AR4" s="1544"/>
      <c r="AS4" s="1544"/>
      <c r="AT4" s="1544"/>
      <c r="AU4" s="1544"/>
      <c r="AV4" s="1544"/>
      <c r="AW4" s="1544"/>
      <c r="AX4" s="1544"/>
      <c r="AY4" s="1544"/>
      <c r="AZ4" s="1544"/>
      <c r="BA4" s="1544"/>
      <c r="BB4" s="1544"/>
      <c r="BC4" s="1544"/>
      <c r="BD4" s="1544"/>
      <c r="BE4" s="1544"/>
      <c r="BF4" s="1544"/>
      <c r="BG4" s="1544"/>
      <c r="BH4" s="1544"/>
      <c r="BI4" s="1544"/>
      <c r="BJ4" s="1544"/>
      <c r="BK4" s="1544"/>
      <c r="BL4" s="1544"/>
      <c r="BM4" s="1544"/>
      <c r="BN4" s="1544"/>
      <c r="BO4" s="1544"/>
      <c r="BP4" s="375"/>
      <c r="BQ4" s="375"/>
      <c r="BR4" s="375"/>
      <c r="BS4" s="375"/>
      <c r="BT4" s="375"/>
      <c r="BU4" s="375"/>
      <c r="BV4" s="375"/>
      <c r="BW4" s="375"/>
      <c r="BX4" s="375"/>
      <c r="BY4" s="375"/>
      <c r="BZ4" s="375"/>
      <c r="CA4" s="375"/>
      <c r="CB4" s="375"/>
    </row>
    <row r="5" spans="1:80" ht="17.399999999999999" x14ac:dyDescent="0.3">
      <c r="A5" s="103"/>
      <c r="B5" s="103"/>
      <c r="C5" s="517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375"/>
      <c r="BQ5" s="375"/>
      <c r="BR5" s="375"/>
      <c r="BS5" s="375"/>
      <c r="BT5" s="375"/>
      <c r="BU5" s="375"/>
      <c r="BV5" s="375"/>
      <c r="BW5" s="375"/>
      <c r="BX5" s="375"/>
      <c r="BY5" s="375"/>
      <c r="BZ5" s="375"/>
      <c r="CA5" s="375"/>
      <c r="CB5" s="375"/>
    </row>
    <row r="6" spans="1:80" s="378" customFormat="1" ht="15.75" customHeight="1" x14ac:dyDescent="0.25">
      <c r="A6" s="1608" t="s">
        <v>71</v>
      </c>
      <c r="B6" s="1611" t="s">
        <v>128</v>
      </c>
      <c r="C6" s="1612" t="s">
        <v>6</v>
      </c>
      <c r="D6" s="1586" t="s">
        <v>82</v>
      </c>
      <c r="E6" s="1586" t="s">
        <v>187</v>
      </c>
      <c r="F6" s="1586" t="s">
        <v>45</v>
      </c>
      <c r="G6" s="1601">
        <v>16</v>
      </c>
      <c r="H6" s="1601">
        <v>17</v>
      </c>
      <c r="I6" s="1601">
        <v>18</v>
      </c>
      <c r="J6" s="1601">
        <v>19</v>
      </c>
      <c r="K6" s="1601">
        <v>20</v>
      </c>
      <c r="L6" s="1601">
        <v>21</v>
      </c>
      <c r="M6" s="1601">
        <v>22</v>
      </c>
      <c r="N6" s="1601">
        <v>23</v>
      </c>
      <c r="O6" s="1602" t="s">
        <v>129</v>
      </c>
      <c r="P6" s="1605" t="s">
        <v>83</v>
      </c>
      <c r="Q6" s="1593">
        <v>24</v>
      </c>
      <c r="R6" s="1593">
        <v>25</v>
      </c>
      <c r="S6" s="1593">
        <v>26</v>
      </c>
      <c r="T6" s="1593">
        <v>27</v>
      </c>
      <c r="U6" s="1593">
        <v>28</v>
      </c>
      <c r="V6" s="1593">
        <v>29</v>
      </c>
      <c r="W6" s="1593"/>
      <c r="X6" s="1593">
        <v>30</v>
      </c>
      <c r="Y6" s="1602" t="s">
        <v>130</v>
      </c>
      <c r="Z6" s="1594" t="s">
        <v>83</v>
      </c>
      <c r="AA6" s="1595" t="s">
        <v>131</v>
      </c>
      <c r="AB6" s="1595" t="s">
        <v>132</v>
      </c>
      <c r="AC6" s="515"/>
      <c r="AD6" s="1586" t="s">
        <v>76</v>
      </c>
      <c r="AE6" s="1586" t="s">
        <v>84</v>
      </c>
      <c r="AF6" s="1596" t="s">
        <v>255</v>
      </c>
      <c r="AG6" s="1596" t="s">
        <v>256</v>
      </c>
      <c r="AH6" s="1599" t="s">
        <v>78</v>
      </c>
      <c r="AI6" s="1600" t="s">
        <v>117</v>
      </c>
      <c r="AJ6" s="1600" t="s">
        <v>80</v>
      </c>
      <c r="AK6" s="1579" t="s">
        <v>133</v>
      </c>
      <c r="AL6" s="1579" t="s">
        <v>133</v>
      </c>
      <c r="AM6" s="1588" t="s">
        <v>81</v>
      </c>
      <c r="AN6" s="376" t="s">
        <v>70</v>
      </c>
      <c r="AO6" s="376" t="s">
        <v>70</v>
      </c>
      <c r="AP6" s="376" t="s">
        <v>69</v>
      </c>
      <c r="AQ6" s="376" t="s">
        <v>68</v>
      </c>
      <c r="AR6" s="376" t="s">
        <v>67</v>
      </c>
      <c r="AS6" s="1589" t="s">
        <v>66</v>
      </c>
      <c r="AT6" s="1590" t="s">
        <v>29</v>
      </c>
      <c r="AU6" s="1579" t="s">
        <v>194</v>
      </c>
      <c r="AV6" s="1579" t="s">
        <v>134</v>
      </c>
      <c r="AW6" s="1579" t="s">
        <v>257</v>
      </c>
      <c r="AX6" s="1579" t="s">
        <v>258</v>
      </c>
      <c r="AY6" s="1579" t="s">
        <v>259</v>
      </c>
      <c r="AZ6" s="1579" t="s">
        <v>260</v>
      </c>
      <c r="BA6" s="1579" t="s">
        <v>261</v>
      </c>
      <c r="BB6" s="1579" t="s">
        <v>58</v>
      </c>
      <c r="BC6" s="1579" t="s">
        <v>118</v>
      </c>
      <c r="BD6" s="1579" t="s">
        <v>262</v>
      </c>
      <c r="BE6" s="1582" t="s">
        <v>160</v>
      </c>
      <c r="BF6" s="1585" t="s">
        <v>89</v>
      </c>
      <c r="BG6" s="1586" t="s">
        <v>52</v>
      </c>
      <c r="BH6" s="1586" t="s">
        <v>53</v>
      </c>
      <c r="BI6" s="1587" t="s">
        <v>65</v>
      </c>
      <c r="BJ6" s="1552" t="s">
        <v>39</v>
      </c>
      <c r="BK6" s="1552"/>
      <c r="BL6" s="1553" t="s">
        <v>92</v>
      </c>
      <c r="BM6" s="1553" t="s">
        <v>65</v>
      </c>
      <c r="BN6" s="1554">
        <v>0.4</v>
      </c>
      <c r="BO6" s="1557" t="s">
        <v>263</v>
      </c>
      <c r="BP6" s="1576" t="s">
        <v>196</v>
      </c>
      <c r="BQ6" s="1563" t="s">
        <v>31</v>
      </c>
      <c r="BR6" s="377"/>
      <c r="BS6" s="1564" t="s">
        <v>99</v>
      </c>
      <c r="BT6" s="1564" t="s">
        <v>114</v>
      </c>
      <c r="BU6" s="1567" t="s">
        <v>73</v>
      </c>
      <c r="BV6" s="1568" t="s">
        <v>38</v>
      </c>
      <c r="BW6" s="1560" t="s">
        <v>118</v>
      </c>
      <c r="BX6" s="1560" t="s">
        <v>119</v>
      </c>
      <c r="BY6" s="1573" t="s">
        <v>64</v>
      </c>
      <c r="BZ6" s="1560" t="s">
        <v>55</v>
      </c>
      <c r="CA6" s="1570" t="s">
        <v>51</v>
      </c>
      <c r="CB6" s="1560" t="s">
        <v>63</v>
      </c>
    </row>
    <row r="7" spans="1:80" s="378" customFormat="1" ht="10.5" customHeight="1" x14ac:dyDescent="0.25">
      <c r="A7" s="1609"/>
      <c r="B7" s="1611"/>
      <c r="C7" s="1612"/>
      <c r="D7" s="1586"/>
      <c r="E7" s="1586"/>
      <c r="F7" s="1586"/>
      <c r="G7" s="1601"/>
      <c r="H7" s="1601"/>
      <c r="I7" s="1601"/>
      <c r="J7" s="1601"/>
      <c r="K7" s="1601"/>
      <c r="L7" s="1601"/>
      <c r="M7" s="1601"/>
      <c r="N7" s="1601"/>
      <c r="O7" s="1603"/>
      <c r="P7" s="1606"/>
      <c r="Q7" s="1593"/>
      <c r="R7" s="1593"/>
      <c r="S7" s="1593"/>
      <c r="T7" s="1593"/>
      <c r="U7" s="1593"/>
      <c r="V7" s="1593"/>
      <c r="W7" s="1593"/>
      <c r="X7" s="1593"/>
      <c r="Y7" s="1603"/>
      <c r="Z7" s="1594"/>
      <c r="AA7" s="1595"/>
      <c r="AB7" s="1595"/>
      <c r="AC7" s="515"/>
      <c r="AD7" s="1586"/>
      <c r="AE7" s="1586"/>
      <c r="AF7" s="1597"/>
      <c r="AG7" s="1597"/>
      <c r="AH7" s="1599"/>
      <c r="AI7" s="1600"/>
      <c r="AJ7" s="1600"/>
      <c r="AK7" s="1580"/>
      <c r="AL7" s="1580"/>
      <c r="AM7" s="1588"/>
      <c r="AN7" s="376" t="s">
        <v>62</v>
      </c>
      <c r="AO7" s="376" t="s">
        <v>61</v>
      </c>
      <c r="AP7" s="376" t="s">
        <v>60</v>
      </c>
      <c r="AQ7" s="376" t="s">
        <v>59</v>
      </c>
      <c r="AR7" s="376" t="s">
        <v>58</v>
      </c>
      <c r="AS7" s="1589"/>
      <c r="AT7" s="1591"/>
      <c r="AU7" s="1580"/>
      <c r="AV7" s="1580"/>
      <c r="AW7" s="1580"/>
      <c r="AX7" s="1580"/>
      <c r="AY7" s="1580"/>
      <c r="AZ7" s="1580"/>
      <c r="BA7" s="1580"/>
      <c r="BB7" s="1580"/>
      <c r="BC7" s="1580"/>
      <c r="BD7" s="1580"/>
      <c r="BE7" s="1583"/>
      <c r="BF7" s="1585"/>
      <c r="BG7" s="1586"/>
      <c r="BH7" s="1586"/>
      <c r="BI7" s="1587"/>
      <c r="BJ7" s="1552"/>
      <c r="BK7" s="1552"/>
      <c r="BL7" s="1553"/>
      <c r="BM7" s="1553"/>
      <c r="BN7" s="1555"/>
      <c r="BO7" s="1558"/>
      <c r="BP7" s="1577"/>
      <c r="BQ7" s="1563"/>
      <c r="BR7" s="379"/>
      <c r="BS7" s="1565"/>
      <c r="BT7" s="1565"/>
      <c r="BU7" s="1567"/>
      <c r="BV7" s="1568"/>
      <c r="BW7" s="1561"/>
      <c r="BX7" s="1561"/>
      <c r="BY7" s="1574"/>
      <c r="BZ7" s="1561"/>
      <c r="CA7" s="1571"/>
      <c r="CB7" s="1561"/>
    </row>
    <row r="8" spans="1:80" s="378" customFormat="1" ht="29.4" customHeight="1" thickBot="1" x14ac:dyDescent="0.3">
      <c r="A8" s="1610"/>
      <c r="B8" s="1611"/>
      <c r="C8" s="1612"/>
      <c r="D8" s="1586"/>
      <c r="E8" s="1586"/>
      <c r="F8" s="1586"/>
      <c r="G8" s="380" t="s">
        <v>36</v>
      </c>
      <c r="H8" s="380" t="s">
        <v>35</v>
      </c>
      <c r="I8" s="380" t="s">
        <v>34</v>
      </c>
      <c r="J8" s="380" t="s">
        <v>37</v>
      </c>
      <c r="K8" s="381" t="s">
        <v>33</v>
      </c>
      <c r="L8" s="380" t="s">
        <v>32</v>
      </c>
      <c r="M8" s="380" t="s">
        <v>32</v>
      </c>
      <c r="N8" s="380" t="s">
        <v>36</v>
      </c>
      <c r="O8" s="1604"/>
      <c r="P8" s="1607"/>
      <c r="Q8" s="380" t="s">
        <v>35</v>
      </c>
      <c r="R8" s="380" t="s">
        <v>34</v>
      </c>
      <c r="S8" s="380" t="s">
        <v>37</v>
      </c>
      <c r="T8" s="381" t="s">
        <v>33</v>
      </c>
      <c r="U8" s="380" t="s">
        <v>32</v>
      </c>
      <c r="V8" s="380" t="s">
        <v>32</v>
      </c>
      <c r="W8" s="380" t="s">
        <v>33</v>
      </c>
      <c r="X8" s="380" t="s">
        <v>36</v>
      </c>
      <c r="Y8" s="1604"/>
      <c r="Z8" s="1594"/>
      <c r="AA8" s="1595"/>
      <c r="AB8" s="1595"/>
      <c r="AC8" s="515"/>
      <c r="AD8" s="1586"/>
      <c r="AE8" s="1586"/>
      <c r="AF8" s="1598"/>
      <c r="AG8" s="1598"/>
      <c r="AH8" s="1599"/>
      <c r="AI8" s="1600"/>
      <c r="AJ8" s="1600"/>
      <c r="AK8" s="1581"/>
      <c r="AL8" s="1581"/>
      <c r="AM8" s="1588"/>
      <c r="AN8" s="376" t="s">
        <v>57</v>
      </c>
      <c r="AO8" s="376" t="s">
        <v>56</v>
      </c>
      <c r="AP8" s="376"/>
      <c r="AQ8" s="376"/>
      <c r="AR8" s="376"/>
      <c r="AS8" s="1589"/>
      <c r="AT8" s="1592"/>
      <c r="AU8" s="1581"/>
      <c r="AV8" s="1581"/>
      <c r="AW8" s="1581"/>
      <c r="AX8" s="1581"/>
      <c r="AY8" s="1581"/>
      <c r="AZ8" s="1581"/>
      <c r="BA8" s="1581"/>
      <c r="BB8" s="1581"/>
      <c r="BC8" s="1581"/>
      <c r="BD8" s="1581"/>
      <c r="BE8" s="1584"/>
      <c r="BF8" s="1585"/>
      <c r="BG8" s="1586"/>
      <c r="BH8" s="1586"/>
      <c r="BI8" s="1587"/>
      <c r="BJ8" s="382" t="s">
        <v>120</v>
      </c>
      <c r="BK8" s="383" t="s">
        <v>118</v>
      </c>
      <c r="BL8" s="1553"/>
      <c r="BM8" s="1553"/>
      <c r="BN8" s="1556"/>
      <c r="BO8" s="1559"/>
      <c r="BP8" s="1578"/>
      <c r="BQ8" s="1563"/>
      <c r="BR8" s="384"/>
      <c r="BS8" s="1566"/>
      <c r="BT8" s="1566"/>
      <c r="BU8" s="1567"/>
      <c r="BV8" s="1569"/>
      <c r="BW8" s="1562"/>
      <c r="BX8" s="1562"/>
      <c r="BY8" s="1575"/>
      <c r="BZ8" s="1562"/>
      <c r="CA8" s="1572"/>
      <c r="CB8" s="1562"/>
    </row>
    <row r="9" spans="1:80" s="378" customFormat="1" ht="60" customHeight="1" thickTop="1" thickBot="1" x14ac:dyDescent="0.3">
      <c r="A9" s="543">
        <v>1</v>
      </c>
      <c r="B9" s="513">
        <v>270</v>
      </c>
      <c r="C9" s="518" t="s">
        <v>301</v>
      </c>
      <c r="D9" s="387">
        <v>157.46</v>
      </c>
      <c r="E9" s="387" t="s">
        <v>32</v>
      </c>
      <c r="F9" s="482" t="s">
        <v>251</v>
      </c>
      <c r="G9" s="655">
        <v>173.21</v>
      </c>
      <c r="H9" s="655">
        <v>173.21</v>
      </c>
      <c r="I9" s="655">
        <v>173.21</v>
      </c>
      <c r="J9" s="655">
        <v>173.21</v>
      </c>
      <c r="K9" s="469">
        <v>0</v>
      </c>
      <c r="L9" s="655">
        <v>173.21</v>
      </c>
      <c r="M9" s="655">
        <v>173.21</v>
      </c>
      <c r="N9" s="655">
        <v>173.21</v>
      </c>
      <c r="O9" s="470">
        <f>COUNTIF(G9:N9,157.46)</f>
        <v>0</v>
      </c>
      <c r="P9" s="388">
        <f>COUNTIF(O9,7)</f>
        <v>0</v>
      </c>
      <c r="Q9" s="655">
        <v>173.21</v>
      </c>
      <c r="R9" s="655">
        <v>173.21</v>
      </c>
      <c r="S9" s="655">
        <v>173.21</v>
      </c>
      <c r="T9" s="469">
        <v>0</v>
      </c>
      <c r="U9" s="655">
        <v>173.21</v>
      </c>
      <c r="V9" s="655">
        <v>173.21</v>
      </c>
      <c r="W9" s="655">
        <v>173.21</v>
      </c>
      <c r="X9" s="655">
        <v>173.21</v>
      </c>
      <c r="Y9" s="470">
        <f>COUNTIF(Q9:X9,157.46)</f>
        <v>0</v>
      </c>
      <c r="Z9" s="469">
        <f>+COUNTIF(Y9,5)</f>
        <v>0</v>
      </c>
      <c r="AA9" s="390">
        <f>+Z9+P9</f>
        <v>0</v>
      </c>
      <c r="AB9" s="390">
        <f>COUNTIF(G9:Z9,157.46)</f>
        <v>0</v>
      </c>
      <c r="AC9" s="390">
        <f>+AB9+AA9</f>
        <v>0</v>
      </c>
      <c r="AD9" s="393">
        <v>0</v>
      </c>
      <c r="AE9" s="402">
        <v>0</v>
      </c>
      <c r="AF9" s="392">
        <f>+B9/8</f>
        <v>33.75</v>
      </c>
      <c r="AG9" s="392">
        <f>+AH9*AF9</f>
        <v>0</v>
      </c>
      <c r="AH9" s="389">
        <v>0</v>
      </c>
      <c r="AI9" s="390">
        <f>+K9+T9</f>
        <v>0</v>
      </c>
      <c r="AJ9" s="483">
        <f>+AB9*D9</f>
        <v>0</v>
      </c>
      <c r="AK9" s="394">
        <f>+D9*P9</f>
        <v>0</v>
      </c>
      <c r="AL9" s="394">
        <f>+D9*Z9</f>
        <v>0</v>
      </c>
      <c r="AM9" s="395">
        <f>+AK9+AL9</f>
        <v>0</v>
      </c>
      <c r="AN9" s="396">
        <f>+D9</f>
        <v>157.46</v>
      </c>
      <c r="AO9" s="396">
        <f>+D9/8</f>
        <v>19.682500000000001</v>
      </c>
      <c r="AP9" s="396">
        <f>+AN9*AI9</f>
        <v>0</v>
      </c>
      <c r="AQ9" s="396">
        <f>+AO9*AH9</f>
        <v>0</v>
      </c>
      <c r="AR9" s="396">
        <f>+AE9*D9</f>
        <v>0</v>
      </c>
      <c r="AS9" s="395">
        <f>+AR9+AQ9+AP9</f>
        <v>0</v>
      </c>
      <c r="AT9" s="397">
        <f>+AM9+AJ9+AP9+AQ9+AR9</f>
        <v>0</v>
      </c>
      <c r="AU9" s="391">
        <f>+AW9*AB9</f>
        <v>0</v>
      </c>
      <c r="AV9" s="391">
        <f>+AD9</f>
        <v>0</v>
      </c>
      <c r="AW9" s="391">
        <f>+B9</f>
        <v>270</v>
      </c>
      <c r="AX9" s="391">
        <f>+AW9*AV9</f>
        <v>0</v>
      </c>
      <c r="AY9" s="391">
        <f>+AW9*AI9</f>
        <v>0</v>
      </c>
      <c r="AZ9" s="391">
        <f>+B9/8</f>
        <v>33.75</v>
      </c>
      <c r="BA9" s="391">
        <f>+AZ9*AH9</f>
        <v>0</v>
      </c>
      <c r="BB9" s="391">
        <f>+B9*AE9</f>
        <v>0</v>
      </c>
      <c r="BC9" s="398">
        <v>7.02</v>
      </c>
      <c r="BD9" s="391">
        <f>+BI9*7.15%</f>
        <v>0</v>
      </c>
      <c r="BE9" s="391">
        <f>+BF9-AT9+AG9</f>
        <v>0</v>
      </c>
      <c r="BF9" s="399">
        <f>+BI9-BH9-BG9</f>
        <v>0</v>
      </c>
      <c r="BG9" s="400">
        <f>+BH9</f>
        <v>0</v>
      </c>
      <c r="BH9" s="395">
        <f>+BD9</f>
        <v>0</v>
      </c>
      <c r="BI9" s="401">
        <f>+AX9+BA9</f>
        <v>0</v>
      </c>
      <c r="BJ9" s="402">
        <f>+BI9-BH9</f>
        <v>0</v>
      </c>
      <c r="BK9" s="403">
        <v>0.05</v>
      </c>
      <c r="BL9" s="395">
        <v>0</v>
      </c>
      <c r="BM9" s="399">
        <f>+BI9-BL9</f>
        <v>0</v>
      </c>
      <c r="BN9" s="404">
        <f>+B9*60%</f>
        <v>162</v>
      </c>
      <c r="BO9" s="399">
        <v>0</v>
      </c>
      <c r="BP9" s="484">
        <f>+BO9*BN9</f>
        <v>0</v>
      </c>
      <c r="BQ9" s="484">
        <v>0</v>
      </c>
      <c r="BR9" s="406"/>
      <c r="BS9" s="407">
        <v>0</v>
      </c>
      <c r="BT9" s="407">
        <v>0</v>
      </c>
      <c r="BU9" s="523">
        <f>+BM9-BS9-BT9</f>
        <v>0</v>
      </c>
      <c r="BV9" s="408">
        <f>+A9</f>
        <v>1</v>
      </c>
      <c r="BW9" s="485">
        <v>0.13</v>
      </c>
      <c r="BX9" s="486">
        <f>+BI9-BH9</f>
        <v>0</v>
      </c>
      <c r="BY9" s="487">
        <f>BI9*BW9</f>
        <v>0</v>
      </c>
      <c r="BZ9" s="488">
        <v>0.02</v>
      </c>
      <c r="CA9" s="487">
        <f>BM9*BZ9</f>
        <v>0</v>
      </c>
      <c r="CB9" s="489">
        <f>+BU9+BY9+CA9</f>
        <v>0</v>
      </c>
    </row>
    <row r="10" spans="1:80" s="378" customFormat="1" ht="37.5" customHeight="1" thickTop="1" thickBot="1" x14ac:dyDescent="0.3">
      <c r="A10" s="410"/>
      <c r="B10" s="410"/>
      <c r="C10" s="519">
        <v>1</v>
      </c>
      <c r="D10" s="412" t="s">
        <v>95</v>
      </c>
      <c r="E10" s="412"/>
      <c r="F10" s="480" t="s">
        <v>95</v>
      </c>
      <c r="G10" s="400">
        <f t="shared" ref="G10:N10" si="0">SUM(G9:G9)</f>
        <v>173.21</v>
      </c>
      <c r="H10" s="400">
        <f t="shared" si="0"/>
        <v>173.21</v>
      </c>
      <c r="I10" s="400">
        <f t="shared" si="0"/>
        <v>173.21</v>
      </c>
      <c r="J10" s="400">
        <f t="shared" si="0"/>
        <v>173.21</v>
      </c>
      <c r="K10" s="469">
        <v>0</v>
      </c>
      <c r="L10" s="400">
        <f t="shared" si="0"/>
        <v>173.21</v>
      </c>
      <c r="M10" s="400">
        <f t="shared" si="0"/>
        <v>173.21</v>
      </c>
      <c r="N10" s="400">
        <f t="shared" si="0"/>
        <v>173.21</v>
      </c>
      <c r="O10" s="400">
        <f t="shared" ref="O10:AA10" si="1">SUM(O9:O9)</f>
        <v>0</v>
      </c>
      <c r="P10" s="469">
        <f t="shared" ref="P10:X10" si="2">SUM(P9:P9)</f>
        <v>0</v>
      </c>
      <c r="Q10" s="400">
        <f t="shared" si="2"/>
        <v>173.21</v>
      </c>
      <c r="R10" s="400">
        <f t="shared" si="2"/>
        <v>173.21</v>
      </c>
      <c r="S10" s="400">
        <f t="shared" si="2"/>
        <v>173.21</v>
      </c>
      <c r="T10" s="469">
        <v>0</v>
      </c>
      <c r="U10" s="400">
        <f t="shared" si="2"/>
        <v>173.21</v>
      </c>
      <c r="V10" s="400">
        <f t="shared" si="2"/>
        <v>173.21</v>
      </c>
      <c r="W10" s="400">
        <f t="shared" si="2"/>
        <v>173.21</v>
      </c>
      <c r="X10" s="400">
        <f t="shared" si="2"/>
        <v>173.21</v>
      </c>
      <c r="Y10" s="400">
        <f t="shared" si="1"/>
        <v>0</v>
      </c>
      <c r="Z10" s="469">
        <f>SUM(Z9:Z9)</f>
        <v>0</v>
      </c>
      <c r="AA10" s="400">
        <f t="shared" si="1"/>
        <v>0</v>
      </c>
      <c r="AB10" s="473">
        <f>SUM(AB9)</f>
        <v>0</v>
      </c>
      <c r="AC10" s="473"/>
      <c r="AD10" s="413">
        <f t="shared" ref="AD10:BU10" si="3">SUM(AD9:AD9)</f>
        <v>0</v>
      </c>
      <c r="AE10" s="413">
        <f t="shared" si="3"/>
        <v>0</v>
      </c>
      <c r="AF10" s="413">
        <f t="shared" si="3"/>
        <v>33.75</v>
      </c>
      <c r="AG10" s="413">
        <f t="shared" si="3"/>
        <v>0</v>
      </c>
      <c r="AH10" s="413">
        <f t="shared" si="3"/>
        <v>0</v>
      </c>
      <c r="AI10" s="413">
        <f t="shared" si="3"/>
        <v>0</v>
      </c>
      <c r="AJ10" s="476">
        <f t="shared" si="3"/>
        <v>0</v>
      </c>
      <c r="AK10" s="476">
        <f t="shared" si="3"/>
        <v>0</v>
      </c>
      <c r="AL10" s="476">
        <f t="shared" si="3"/>
        <v>0</v>
      </c>
      <c r="AM10" s="476">
        <f t="shared" si="3"/>
        <v>0</v>
      </c>
      <c r="AN10" s="476">
        <f t="shared" si="3"/>
        <v>157.46</v>
      </c>
      <c r="AO10" s="476">
        <f t="shared" si="3"/>
        <v>19.682500000000001</v>
      </c>
      <c r="AP10" s="476">
        <f t="shared" si="3"/>
        <v>0</v>
      </c>
      <c r="AQ10" s="476">
        <f t="shared" si="3"/>
        <v>0</v>
      </c>
      <c r="AR10" s="476">
        <f t="shared" si="3"/>
        <v>0</v>
      </c>
      <c r="AS10" s="400">
        <f t="shared" si="3"/>
        <v>0</v>
      </c>
      <c r="AT10" s="476">
        <f t="shared" si="3"/>
        <v>0</v>
      </c>
      <c r="AU10" s="476">
        <f t="shared" si="3"/>
        <v>0</v>
      </c>
      <c r="AV10" s="476">
        <f t="shared" si="3"/>
        <v>0</v>
      </c>
      <c r="AW10" s="476">
        <f t="shared" si="3"/>
        <v>270</v>
      </c>
      <c r="AX10" s="476">
        <f t="shared" si="3"/>
        <v>0</v>
      </c>
      <c r="AY10" s="476">
        <f t="shared" si="3"/>
        <v>0</v>
      </c>
      <c r="AZ10" s="476">
        <f t="shared" si="3"/>
        <v>33.75</v>
      </c>
      <c r="BA10" s="476">
        <f t="shared" si="3"/>
        <v>0</v>
      </c>
      <c r="BB10" s="476">
        <f t="shared" si="3"/>
        <v>0</v>
      </c>
      <c r="BC10" s="476">
        <f t="shared" si="3"/>
        <v>7.02</v>
      </c>
      <c r="BD10" s="476">
        <f t="shared" si="3"/>
        <v>0</v>
      </c>
      <c r="BE10" s="400">
        <f t="shared" si="3"/>
        <v>0</v>
      </c>
      <c r="BF10" s="400">
        <f t="shared" si="3"/>
        <v>0</v>
      </c>
      <c r="BG10" s="476">
        <f t="shared" si="3"/>
        <v>0</v>
      </c>
      <c r="BH10" s="476">
        <f t="shared" si="3"/>
        <v>0</v>
      </c>
      <c r="BI10" s="476">
        <f t="shared" si="3"/>
        <v>0</v>
      </c>
      <c r="BJ10" s="476">
        <f t="shared" si="3"/>
        <v>0</v>
      </c>
      <c r="BK10" s="476">
        <f t="shared" si="3"/>
        <v>0.05</v>
      </c>
      <c r="BL10" s="476">
        <f t="shared" si="3"/>
        <v>0</v>
      </c>
      <c r="BM10" s="476">
        <f t="shared" si="3"/>
        <v>0</v>
      </c>
      <c r="BN10" s="476">
        <f t="shared" si="3"/>
        <v>162</v>
      </c>
      <c r="BO10" s="476">
        <f t="shared" si="3"/>
        <v>0</v>
      </c>
      <c r="BP10" s="476">
        <f t="shared" si="3"/>
        <v>0</v>
      </c>
      <c r="BQ10" s="476">
        <f t="shared" si="3"/>
        <v>0</v>
      </c>
      <c r="BR10" s="476">
        <f t="shared" si="3"/>
        <v>0</v>
      </c>
      <c r="BS10" s="476">
        <f t="shared" si="3"/>
        <v>0</v>
      </c>
      <c r="BT10" s="476">
        <f t="shared" si="3"/>
        <v>0</v>
      </c>
      <c r="BU10" s="522">
        <f t="shared" si="3"/>
        <v>0</v>
      </c>
      <c r="BV10" s="87" t="s">
        <v>105</v>
      </c>
      <c r="BW10" s="490"/>
      <c r="BX10" s="491">
        <f>SUM(BX9)</f>
        <v>0</v>
      </c>
      <c r="BY10" s="491">
        <f t="shared" ref="BY10:CB10" si="4">SUM(BY9)</f>
        <v>0</v>
      </c>
      <c r="BZ10" s="491">
        <f t="shared" si="4"/>
        <v>0.02</v>
      </c>
      <c r="CA10" s="491">
        <f t="shared" si="4"/>
        <v>0</v>
      </c>
      <c r="CB10" s="491">
        <f t="shared" si="4"/>
        <v>0</v>
      </c>
    </row>
    <row r="11" spans="1:80" s="378" customFormat="1" ht="31.5" customHeight="1" thickTop="1" x14ac:dyDescent="0.25">
      <c r="A11" s="416"/>
      <c r="B11" s="416"/>
      <c r="C11" s="521"/>
      <c r="D11" s="418"/>
      <c r="E11" s="418"/>
      <c r="F11" s="418"/>
      <c r="G11" s="418"/>
      <c r="H11" s="419"/>
      <c r="I11" s="419"/>
      <c r="J11" s="419"/>
      <c r="K11" s="419"/>
      <c r="L11" s="419"/>
      <c r="M11" s="419"/>
      <c r="N11" s="419"/>
      <c r="O11" s="419"/>
      <c r="P11" s="419"/>
      <c r="Q11" s="419"/>
      <c r="R11" s="419"/>
      <c r="S11" s="419"/>
      <c r="T11" s="419"/>
      <c r="U11" s="419"/>
      <c r="V11" s="419"/>
      <c r="W11" s="419"/>
      <c r="X11" s="419"/>
      <c r="Y11" s="419"/>
      <c r="Z11" s="419"/>
      <c r="AA11" s="419"/>
      <c r="AB11" s="419"/>
      <c r="AC11" s="419"/>
      <c r="AD11" s="419"/>
      <c r="AE11" s="419"/>
      <c r="AF11" s="419"/>
      <c r="AG11" s="419"/>
      <c r="AH11" s="419"/>
      <c r="AI11" s="420"/>
      <c r="AJ11" s="420"/>
      <c r="AK11" s="420"/>
      <c r="AL11" s="420"/>
      <c r="AM11" s="421"/>
      <c r="AN11" s="420"/>
      <c r="AO11" s="420"/>
      <c r="AP11" s="420"/>
      <c r="AQ11" s="420"/>
      <c r="AR11" s="420"/>
      <c r="AS11" s="421"/>
      <c r="AT11" s="420"/>
      <c r="AU11" s="420"/>
      <c r="AV11" s="420"/>
      <c r="AW11" s="420"/>
      <c r="AX11" s="420"/>
      <c r="AY11" s="420"/>
      <c r="AZ11" s="420"/>
      <c r="BA11" s="420"/>
      <c r="BB11" s="420"/>
      <c r="BC11" s="420"/>
      <c r="BD11" s="420"/>
      <c r="BE11" s="420"/>
      <c r="BF11" s="420"/>
      <c r="BG11" s="420"/>
      <c r="BH11" s="420"/>
      <c r="BI11" s="420"/>
      <c r="BJ11" s="420"/>
      <c r="BK11" s="420"/>
      <c r="BL11" s="422"/>
      <c r="BM11" s="420"/>
      <c r="BN11" s="420"/>
      <c r="BO11" s="420"/>
      <c r="BP11" s="420"/>
      <c r="BQ11" s="420"/>
      <c r="BR11" s="420"/>
      <c r="BS11" s="423"/>
      <c r="BT11" s="423"/>
      <c r="BU11" s="424"/>
      <c r="BV11" s="425"/>
      <c r="BW11" s="492"/>
      <c r="BX11" s="493"/>
      <c r="BY11" s="493"/>
      <c r="BZ11" s="493"/>
      <c r="CA11" s="493"/>
      <c r="CB11" s="494"/>
    </row>
    <row r="12" spans="1:80" s="378" customFormat="1" ht="31.5" customHeight="1" x14ac:dyDescent="0.25">
      <c r="A12" s="416"/>
      <c r="B12" s="416"/>
      <c r="C12" s="521"/>
      <c r="D12" s="418"/>
      <c r="E12" s="418"/>
      <c r="F12" s="418"/>
      <c r="G12" s="418"/>
      <c r="H12" s="419"/>
      <c r="I12" s="419"/>
      <c r="J12" s="419"/>
      <c r="K12" s="419"/>
      <c r="L12" s="419"/>
      <c r="M12" s="419"/>
      <c r="N12" s="419"/>
      <c r="O12" s="419"/>
      <c r="P12" s="419"/>
      <c r="Q12" s="419"/>
      <c r="R12" s="419"/>
      <c r="S12" s="419"/>
      <c r="T12" s="419"/>
      <c r="U12" s="419"/>
      <c r="V12" s="419"/>
      <c r="W12" s="419"/>
      <c r="X12" s="419"/>
      <c r="Y12" s="419"/>
      <c r="Z12" s="419"/>
      <c r="AA12" s="419"/>
      <c r="AB12" s="419"/>
      <c r="AC12" s="419"/>
      <c r="AD12" s="419"/>
      <c r="AE12" s="419"/>
      <c r="AF12" s="419"/>
      <c r="AG12" s="419"/>
      <c r="AH12" s="419"/>
      <c r="AI12" s="420"/>
      <c r="AJ12" s="420"/>
      <c r="AK12" s="420"/>
      <c r="AL12" s="420"/>
      <c r="AM12" s="421"/>
      <c r="AN12" s="420"/>
      <c r="AO12" s="420"/>
      <c r="AP12" s="420"/>
      <c r="AQ12" s="420"/>
      <c r="AR12" s="420"/>
      <c r="AS12" s="421"/>
      <c r="AT12" s="420"/>
      <c r="AU12" s="420"/>
      <c r="AV12" s="420"/>
      <c r="AW12" s="420"/>
      <c r="AX12" s="420"/>
      <c r="AY12" s="420"/>
      <c r="AZ12" s="420"/>
      <c r="BA12" s="420"/>
      <c r="BB12" s="420"/>
      <c r="BC12" s="420"/>
      <c r="BD12" s="420"/>
      <c r="BE12" s="420"/>
      <c r="BF12" s="420"/>
      <c r="BG12" s="420"/>
      <c r="BH12" s="420"/>
      <c r="BI12" s="420"/>
      <c r="BJ12" s="420"/>
      <c r="BK12" s="420"/>
      <c r="BL12" s="422"/>
      <c r="BM12" s="420"/>
      <c r="BN12" s="420"/>
      <c r="BO12" s="420"/>
      <c r="BP12" s="420"/>
      <c r="BQ12" s="420"/>
      <c r="BR12" s="420"/>
      <c r="BS12" s="423"/>
      <c r="BT12" s="423"/>
      <c r="BU12" s="424"/>
      <c r="BV12" s="425"/>
      <c r="BW12" s="492"/>
      <c r="BX12" s="493"/>
      <c r="BY12" s="493"/>
      <c r="BZ12" s="493"/>
      <c r="CA12" s="493"/>
      <c r="CB12" s="494"/>
    </row>
    <row r="13" spans="1:80" s="378" customFormat="1" ht="31.5" customHeight="1" x14ac:dyDescent="0.25">
      <c r="A13" s="416"/>
      <c r="B13" s="416"/>
      <c r="C13" s="521"/>
      <c r="D13" s="418"/>
      <c r="E13" s="418"/>
      <c r="F13" s="418"/>
      <c r="G13" s="418"/>
      <c r="H13" s="419"/>
      <c r="I13" s="419"/>
      <c r="J13" s="419"/>
      <c r="K13" s="419"/>
      <c r="L13" s="419"/>
      <c r="M13" s="419"/>
      <c r="N13" s="419"/>
      <c r="O13" s="419"/>
      <c r="P13" s="419"/>
      <c r="Q13" s="419"/>
      <c r="R13" s="419"/>
      <c r="S13" s="419"/>
      <c r="T13" s="419"/>
      <c r="U13" s="419"/>
      <c r="V13" s="419"/>
      <c r="W13" s="419"/>
      <c r="X13" s="419"/>
      <c r="Y13" s="419"/>
      <c r="Z13" s="419"/>
      <c r="AA13" s="419"/>
      <c r="AB13" s="419"/>
      <c r="AC13" s="419"/>
      <c r="AD13" s="419"/>
      <c r="AE13" s="419"/>
      <c r="AF13" s="419"/>
      <c r="AG13" s="419"/>
      <c r="AH13" s="419"/>
      <c r="AI13" s="420"/>
      <c r="AJ13" s="420"/>
      <c r="AK13" s="420"/>
      <c r="AL13" s="420"/>
      <c r="AM13" s="421"/>
      <c r="AN13" s="420"/>
      <c r="AO13" s="420"/>
      <c r="AP13" s="420"/>
      <c r="AQ13" s="420"/>
      <c r="AR13" s="420"/>
      <c r="AS13" s="421"/>
      <c r="AT13" s="420"/>
      <c r="AU13" s="420"/>
      <c r="AV13" s="420"/>
      <c r="AW13" s="420"/>
      <c r="AX13" s="420"/>
      <c r="AY13" s="420"/>
      <c r="AZ13" s="420"/>
      <c r="BA13" s="420"/>
      <c r="BB13" s="420"/>
      <c r="BC13" s="420"/>
      <c r="BD13" s="420"/>
      <c r="BE13" s="420"/>
      <c r="BF13" s="420"/>
      <c r="BG13" s="420"/>
      <c r="BH13" s="420"/>
      <c r="BI13" s="420"/>
      <c r="BJ13" s="420"/>
      <c r="BK13" s="420"/>
      <c r="BL13" s="422"/>
      <c r="BM13" s="420"/>
      <c r="BN13" s="420"/>
      <c r="BO13" s="420"/>
      <c r="BP13" s="420"/>
      <c r="BQ13" s="420"/>
      <c r="BR13" s="420"/>
      <c r="BS13" s="423"/>
      <c r="BT13" s="423"/>
      <c r="BU13" s="424"/>
      <c r="BV13" s="425"/>
      <c r="BW13" s="492"/>
      <c r="BX13" s="493"/>
      <c r="BY13" s="493"/>
      <c r="BZ13" s="493"/>
      <c r="CA13" s="493"/>
      <c r="CB13" s="494"/>
    </row>
    <row r="14" spans="1:80" s="378" customFormat="1" ht="13.2" x14ac:dyDescent="0.25">
      <c r="A14" s="426"/>
      <c r="B14" s="426"/>
      <c r="C14" s="521"/>
      <c r="D14" s="194"/>
      <c r="E14" s="194"/>
      <c r="F14" s="427"/>
      <c r="G14" s="427"/>
      <c r="H14" s="194"/>
      <c r="I14" s="194"/>
      <c r="J14" s="194"/>
      <c r="K14" s="194"/>
      <c r="L14" s="194"/>
      <c r="M14" s="194"/>
      <c r="N14" s="194"/>
      <c r="O14" s="428"/>
      <c r="P14" s="194"/>
      <c r="Q14" s="194"/>
      <c r="R14" s="194"/>
      <c r="S14" s="194"/>
      <c r="T14" s="194"/>
      <c r="U14" s="99"/>
      <c r="V14" s="375"/>
      <c r="W14" s="375"/>
      <c r="X14" s="375"/>
      <c r="Y14" s="375"/>
      <c r="Z14" s="375"/>
      <c r="AA14" s="429"/>
      <c r="AB14" s="430"/>
      <c r="AC14" s="430"/>
      <c r="AD14" s="98"/>
      <c r="AE14" s="375"/>
      <c r="AF14" s="375"/>
      <c r="AG14" s="375"/>
      <c r="AH14" s="431"/>
      <c r="AI14" s="375"/>
      <c r="AJ14" s="375"/>
      <c r="AK14" s="432"/>
      <c r="AL14" s="432"/>
      <c r="AM14" s="433"/>
      <c r="AN14" s="434"/>
      <c r="AO14" s="434"/>
      <c r="AP14" s="434"/>
      <c r="AQ14" s="434"/>
      <c r="AR14" s="434"/>
      <c r="AS14" s="435"/>
      <c r="AT14" s="435"/>
      <c r="AU14" s="434"/>
      <c r="AV14" s="434"/>
      <c r="AW14" s="434"/>
      <c r="AX14" s="434"/>
      <c r="AY14" s="434"/>
      <c r="AZ14" s="434"/>
      <c r="BA14" s="434"/>
      <c r="BB14" s="434"/>
      <c r="BC14" s="434"/>
      <c r="BD14" s="434"/>
      <c r="BE14" s="436"/>
      <c r="BF14" s="375"/>
      <c r="BG14" s="431"/>
      <c r="BH14" s="431"/>
      <c r="BI14" s="436"/>
      <c r="BJ14" s="375"/>
      <c r="BK14" s="431"/>
      <c r="BL14" s="431"/>
      <c r="BM14" s="437"/>
      <c r="BN14" s="431"/>
      <c r="BO14" s="431"/>
      <c r="BP14" s="431"/>
      <c r="BQ14" s="431"/>
      <c r="BR14" s="431"/>
      <c r="BS14" s="437"/>
      <c r="BT14" s="437"/>
      <c r="BU14" s="438"/>
      <c r="BV14" s="431"/>
      <c r="BW14" s="495"/>
      <c r="BX14" s="496"/>
      <c r="BY14" s="495"/>
      <c r="BZ14" s="496"/>
      <c r="CA14" s="495"/>
      <c r="CB14" s="494"/>
    </row>
    <row r="15" spans="1:80" s="378" customFormat="1" ht="13.2" x14ac:dyDescent="0.25">
      <c r="A15" s="426"/>
      <c r="B15" s="426"/>
      <c r="C15" s="520"/>
      <c r="D15" s="1546" t="s">
        <v>171</v>
      </c>
      <c r="E15" s="1546"/>
      <c r="F15" s="1546"/>
      <c r="G15" s="1546"/>
      <c r="H15" s="1546"/>
      <c r="I15" s="1546"/>
      <c r="J15" s="1546"/>
      <c r="K15" s="1546"/>
      <c r="L15" s="1546"/>
      <c r="M15" s="1546"/>
      <c r="N15" s="1546"/>
      <c r="O15" s="434"/>
      <c r="P15" s="434"/>
      <c r="Q15" s="434"/>
      <c r="R15" s="434"/>
      <c r="S15" s="434"/>
      <c r="T15" s="434"/>
      <c r="U15" s="1547"/>
      <c r="V15" s="1547"/>
      <c r="W15" s="1547"/>
      <c r="X15" s="1547"/>
      <c r="Y15" s="1547"/>
      <c r="Z15" s="1547"/>
      <c r="AA15" s="1547"/>
      <c r="AB15" s="1547"/>
      <c r="AC15" s="1547"/>
      <c r="AD15" s="1547"/>
      <c r="AE15" s="1547"/>
      <c r="AF15" s="1547"/>
      <c r="AG15" s="1547"/>
      <c r="AH15" s="1547"/>
      <c r="AI15" s="1547"/>
      <c r="AJ15" s="434"/>
      <c r="AK15" s="434"/>
      <c r="AL15" s="434"/>
      <c r="AM15" s="435"/>
      <c r="AN15" s="435"/>
      <c r="AO15" s="434"/>
      <c r="AP15" s="434"/>
      <c r="AQ15" s="434"/>
      <c r="AR15" s="434"/>
      <c r="AS15" s="434"/>
      <c r="AT15" s="434"/>
      <c r="AU15" s="434"/>
      <c r="AV15" s="434"/>
      <c r="AW15" s="434"/>
      <c r="AX15" s="434"/>
      <c r="AY15" s="434"/>
      <c r="AZ15" s="434"/>
      <c r="BA15" s="457"/>
      <c r="BB15" s="446"/>
      <c r="BC15" s="444"/>
      <c r="BD15" s="434"/>
      <c r="BE15" s="434"/>
      <c r="BF15" s="1548" t="s">
        <v>121</v>
      </c>
      <c r="BG15" s="1548"/>
      <c r="BH15" s="1548"/>
      <c r="BI15" s="1548"/>
      <c r="BJ15" s="1548"/>
      <c r="BK15" s="1548"/>
      <c r="BL15" s="1548"/>
      <c r="BM15" s="458"/>
      <c r="BN15" s="451"/>
      <c r="BO15" s="451"/>
      <c r="BP15" s="452"/>
      <c r="BQ15" s="452"/>
      <c r="BR15" s="452"/>
      <c r="BS15" s="459"/>
      <c r="BT15" s="459"/>
      <c r="BU15" s="452"/>
      <c r="BV15" s="451"/>
      <c r="BW15" s="494"/>
      <c r="BX15" s="494"/>
      <c r="BY15" s="494"/>
      <c r="BZ15" s="494"/>
      <c r="CA15" s="494"/>
      <c r="CB15" s="494"/>
    </row>
    <row r="16" spans="1:80" s="378" customFormat="1" ht="13.2" x14ac:dyDescent="0.25">
      <c r="A16" s="426"/>
      <c r="B16" s="426"/>
      <c r="C16" s="521"/>
      <c r="D16" s="1549"/>
      <c r="E16" s="1549"/>
      <c r="F16" s="1549"/>
      <c r="G16" s="375"/>
      <c r="H16" s="1549" t="s">
        <v>101</v>
      </c>
      <c r="I16" s="1549"/>
      <c r="J16" s="1549"/>
      <c r="K16" s="1549"/>
      <c r="L16" s="1549"/>
      <c r="M16" s="375"/>
      <c r="N16" s="375"/>
      <c r="O16" s="375"/>
      <c r="P16" s="375"/>
      <c r="Q16" s="375"/>
      <c r="R16" s="375"/>
      <c r="S16" s="375"/>
      <c r="T16" s="375"/>
      <c r="U16" s="1550" t="s">
        <v>172</v>
      </c>
      <c r="V16" s="1550"/>
      <c r="W16" s="1550"/>
      <c r="X16" s="1550"/>
      <c r="Y16" s="1550"/>
      <c r="Z16" s="1550"/>
      <c r="AA16" s="1550"/>
      <c r="AB16" s="1550"/>
      <c r="AC16" s="1550"/>
      <c r="AD16" s="1550"/>
      <c r="AE16" s="1550"/>
      <c r="AF16" s="1550"/>
      <c r="AG16" s="1550"/>
      <c r="AH16" s="1550"/>
      <c r="AI16" s="1550"/>
      <c r="AJ16" s="375"/>
      <c r="AK16" s="460"/>
      <c r="AL16" s="460"/>
      <c r="AM16" s="433"/>
      <c r="AN16" s="435"/>
      <c r="AO16" s="434"/>
      <c r="AP16" s="434"/>
      <c r="AQ16" s="434"/>
      <c r="AR16" s="434"/>
      <c r="AS16" s="434"/>
      <c r="AT16" s="434"/>
      <c r="AU16" s="434"/>
      <c r="AV16" s="434"/>
      <c r="AW16" s="434"/>
      <c r="AX16" s="434"/>
      <c r="AY16" s="434"/>
      <c r="AZ16" s="375"/>
      <c r="BA16" s="461"/>
      <c r="BB16" s="462"/>
      <c r="BC16" s="105"/>
      <c r="BD16" s="194"/>
      <c r="BE16" s="194"/>
      <c r="BF16" s="1551" t="s">
        <v>103</v>
      </c>
      <c r="BG16" s="1551"/>
      <c r="BH16" s="1551"/>
      <c r="BI16" s="1551"/>
      <c r="BJ16" s="1551"/>
      <c r="BK16" s="1551"/>
      <c r="BL16" s="1551"/>
      <c r="BM16" s="438"/>
      <c r="BN16" s="431"/>
      <c r="BO16" s="431"/>
      <c r="BP16" s="439"/>
      <c r="BQ16" s="439"/>
      <c r="BR16" s="439"/>
      <c r="BS16" s="437"/>
      <c r="BT16" s="437"/>
      <c r="BU16" s="439"/>
      <c r="BV16" s="431"/>
      <c r="BW16" s="494"/>
      <c r="BX16" s="494"/>
      <c r="BY16" s="494"/>
      <c r="BZ16" s="494"/>
      <c r="CA16" s="494"/>
      <c r="CB16" s="494"/>
    </row>
    <row r="17" spans="1:80" s="378" customFormat="1" ht="13.2" x14ac:dyDescent="0.25">
      <c r="A17" s="426"/>
      <c r="B17" s="426"/>
      <c r="C17" s="521"/>
      <c r="D17" s="1545"/>
      <c r="E17" s="1545"/>
      <c r="F17" s="1545"/>
      <c r="G17" s="471"/>
      <c r="H17" s="1549" t="s">
        <v>198</v>
      </c>
      <c r="I17" s="1549"/>
      <c r="J17" s="1549"/>
      <c r="K17" s="1549"/>
      <c r="L17" s="1549"/>
      <c r="M17" s="194"/>
      <c r="N17" s="194"/>
      <c r="O17" s="194"/>
      <c r="P17" s="194"/>
      <c r="Q17" s="194"/>
      <c r="R17" s="194"/>
      <c r="S17" s="194"/>
      <c r="T17" s="1549" t="s">
        <v>269</v>
      </c>
      <c r="U17" s="1549"/>
      <c r="V17" s="1549"/>
      <c r="W17" s="1549"/>
      <c r="X17" s="1549"/>
      <c r="Y17" s="1549"/>
      <c r="Z17" s="1549"/>
      <c r="AA17" s="1549"/>
      <c r="AB17" s="1549"/>
      <c r="AC17" s="1549"/>
      <c r="AD17" s="1549"/>
      <c r="AE17" s="1549"/>
      <c r="AF17" s="1549"/>
      <c r="AG17" s="1549"/>
      <c r="AH17" s="1549"/>
      <c r="AI17" s="1549"/>
      <c r="AJ17" s="514"/>
      <c r="AK17" s="514"/>
      <c r="AL17" s="432"/>
      <c r="AM17" s="433"/>
      <c r="AN17" s="435"/>
      <c r="AO17" s="434"/>
      <c r="AP17" s="434"/>
      <c r="AQ17" s="434"/>
      <c r="AR17" s="434"/>
      <c r="AS17" s="434"/>
      <c r="AT17" s="1551" t="s">
        <v>270</v>
      </c>
      <c r="AU17" s="1551"/>
      <c r="AV17" s="1551"/>
      <c r="AW17" s="1551"/>
      <c r="AX17" s="1551"/>
      <c r="AY17" s="1551"/>
      <c r="AZ17" s="1551"/>
      <c r="BA17" s="1551"/>
      <c r="BB17" s="1551"/>
      <c r="BC17" s="1551"/>
      <c r="BD17" s="1551"/>
      <c r="BE17" s="1551"/>
      <c r="BF17" s="1551"/>
      <c r="BG17" s="1551"/>
      <c r="BH17" s="1551"/>
      <c r="BI17" s="1551"/>
      <c r="BJ17" s="1551"/>
      <c r="BK17" s="1551"/>
      <c r="BL17" s="1551"/>
      <c r="BM17" s="1551"/>
      <c r="BN17" s="1551"/>
      <c r="BO17" s="1551"/>
      <c r="BP17" s="439"/>
      <c r="BQ17" s="439"/>
      <c r="BR17" s="439"/>
      <c r="BS17" s="437"/>
      <c r="BT17" s="437"/>
      <c r="BU17" s="439"/>
      <c r="BV17" s="431"/>
      <c r="BW17" s="494"/>
      <c r="BX17" s="494"/>
      <c r="BY17" s="494"/>
      <c r="BZ17" s="494"/>
      <c r="CA17" s="494"/>
      <c r="CB17" s="494"/>
    </row>
    <row r="18" spans="1:80" s="378" customFormat="1" ht="13.2" x14ac:dyDescent="0.25">
      <c r="A18" s="426"/>
      <c r="B18" s="426"/>
      <c r="C18" s="521"/>
      <c r="D18" s="194"/>
      <c r="E18" s="194"/>
      <c r="F18" s="427"/>
      <c r="G18" s="427"/>
      <c r="H18" s="194"/>
      <c r="I18" s="194"/>
      <c r="J18" s="194"/>
      <c r="K18" s="194"/>
      <c r="L18" s="194"/>
      <c r="M18" s="194"/>
      <c r="N18" s="194"/>
      <c r="O18" s="194"/>
      <c r="P18" s="194"/>
      <c r="Q18" s="194"/>
      <c r="R18" s="194"/>
      <c r="S18" s="194"/>
      <c r="T18" s="194"/>
      <c r="U18" s="375"/>
      <c r="V18" s="375"/>
      <c r="W18" s="375"/>
      <c r="X18" s="375"/>
      <c r="Y18" s="375"/>
      <c r="Z18" s="375"/>
      <c r="AA18" s="375"/>
      <c r="AB18" s="375"/>
      <c r="AC18" s="375"/>
      <c r="AD18" s="375"/>
      <c r="AE18" s="375"/>
      <c r="AF18" s="375"/>
      <c r="AG18" s="375"/>
      <c r="AH18" s="431"/>
      <c r="AI18" s="375"/>
      <c r="AJ18" s="375"/>
      <c r="AK18" s="432"/>
      <c r="AL18" s="432"/>
      <c r="AM18" s="433"/>
      <c r="AN18" s="435"/>
      <c r="AO18" s="434"/>
      <c r="AP18" s="434"/>
      <c r="AQ18" s="434"/>
      <c r="AR18" s="434"/>
      <c r="AS18" s="434"/>
      <c r="AT18" s="434"/>
      <c r="AU18" s="434"/>
      <c r="AV18" s="434"/>
      <c r="AW18" s="434"/>
      <c r="AX18" s="434"/>
      <c r="AY18" s="434"/>
      <c r="AZ18" s="436"/>
      <c r="BA18" s="463"/>
      <c r="BB18" s="375"/>
      <c r="BC18" s="464"/>
      <c r="BD18" s="436"/>
      <c r="BE18" s="375"/>
      <c r="BF18" s="431"/>
      <c r="BG18" s="431"/>
      <c r="BH18" s="437"/>
      <c r="BI18" s="431"/>
      <c r="BJ18" s="431"/>
      <c r="BK18" s="431"/>
      <c r="BL18" s="431"/>
      <c r="BM18" s="438"/>
      <c r="BN18" s="431"/>
      <c r="BO18" s="431"/>
      <c r="BP18" s="439"/>
      <c r="BQ18" s="439"/>
      <c r="BR18" s="439"/>
      <c r="BS18" s="437"/>
      <c r="BT18" s="437"/>
      <c r="BU18" s="439"/>
      <c r="BV18" s="431"/>
      <c r="BW18" s="497"/>
      <c r="BX18" s="494"/>
      <c r="BY18" s="494"/>
      <c r="BZ18" s="494"/>
      <c r="CA18" s="494"/>
      <c r="CB18" s="494"/>
    </row>
    <row r="19" spans="1:80" s="378" customFormat="1" ht="13.2" x14ac:dyDescent="0.25">
      <c r="A19" s="426"/>
      <c r="B19" s="426"/>
      <c r="C19" s="521"/>
      <c r="D19" s="194"/>
      <c r="E19" s="194"/>
      <c r="F19" s="427"/>
      <c r="G19" s="427"/>
      <c r="H19" s="194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375"/>
      <c r="V19" s="375"/>
      <c r="W19" s="375"/>
      <c r="X19" s="375"/>
      <c r="Y19" s="375"/>
      <c r="Z19" s="375"/>
      <c r="AA19" s="375"/>
      <c r="AB19" s="375"/>
      <c r="AC19" s="375"/>
      <c r="AD19" s="375"/>
      <c r="AE19" s="375"/>
      <c r="AF19" s="375"/>
      <c r="AG19" s="375"/>
      <c r="AH19" s="431"/>
      <c r="AI19" s="375"/>
      <c r="AJ19" s="375"/>
      <c r="AK19" s="432"/>
      <c r="AL19" s="432"/>
      <c r="AM19" s="433"/>
      <c r="AN19" s="435"/>
      <c r="AO19" s="434"/>
      <c r="AP19" s="434"/>
      <c r="AQ19" s="434"/>
      <c r="AR19" s="434"/>
      <c r="AS19" s="434"/>
      <c r="AT19" s="434"/>
      <c r="AU19" s="434"/>
      <c r="AV19" s="434"/>
      <c r="AW19" s="434"/>
      <c r="AX19" s="434"/>
      <c r="AY19" s="434"/>
      <c r="AZ19" s="436"/>
      <c r="BA19" s="463"/>
      <c r="BB19" s="375"/>
      <c r="BC19" s="464"/>
      <c r="BD19" s="436"/>
      <c r="BE19" s="375"/>
      <c r="BF19" s="431"/>
      <c r="BG19" s="431"/>
      <c r="BH19" s="437"/>
      <c r="BI19" s="431"/>
      <c r="BJ19" s="431"/>
      <c r="BK19" s="431"/>
      <c r="BL19" s="431"/>
      <c r="BM19" s="438"/>
      <c r="BN19" s="431"/>
      <c r="BO19" s="431"/>
      <c r="BP19" s="439"/>
      <c r="BQ19" s="439"/>
      <c r="BR19" s="439"/>
      <c r="BS19" s="437"/>
      <c r="BT19" s="437"/>
      <c r="BU19" s="439"/>
      <c r="BV19" s="431"/>
      <c r="BW19" s="494"/>
      <c r="BX19" s="494"/>
      <c r="BY19" s="494"/>
      <c r="BZ19" s="494"/>
      <c r="CA19" s="494"/>
      <c r="CB19" s="494"/>
    </row>
    <row r="20" spans="1:80" s="378" customFormat="1" ht="13.2" x14ac:dyDescent="0.25">
      <c r="A20" s="426"/>
      <c r="B20" s="426"/>
      <c r="C20" s="521"/>
      <c r="D20" s="194"/>
      <c r="E20" s="194"/>
      <c r="F20" s="427"/>
      <c r="G20" s="427"/>
      <c r="H20" s="194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375"/>
      <c r="V20" s="375"/>
      <c r="W20" s="375"/>
      <c r="X20" s="375"/>
      <c r="Y20" s="375"/>
      <c r="Z20" s="375"/>
      <c r="AA20" s="375"/>
      <c r="AB20" s="375"/>
      <c r="AC20" s="375"/>
      <c r="AD20" s="375"/>
      <c r="AE20" s="375"/>
      <c r="AF20" s="375"/>
      <c r="AG20" s="375"/>
      <c r="AH20" s="431"/>
      <c r="AI20" s="375"/>
      <c r="AJ20" s="375"/>
      <c r="AK20" s="432"/>
      <c r="AL20" s="432"/>
      <c r="AM20" s="433"/>
      <c r="AN20" s="435"/>
      <c r="AO20" s="434"/>
      <c r="AP20" s="434"/>
      <c r="AQ20" s="434"/>
      <c r="AR20" s="434"/>
      <c r="AS20" s="434"/>
      <c r="AT20" s="434"/>
      <c r="AU20" s="434"/>
      <c r="AV20" s="434"/>
      <c r="AW20" s="434"/>
      <c r="AX20" s="434"/>
      <c r="AY20" s="434"/>
      <c r="AZ20" s="436"/>
      <c r="BA20" s="463"/>
      <c r="BB20" s="375"/>
      <c r="BC20" s="464"/>
      <c r="BD20" s="436"/>
      <c r="BE20" s="375"/>
      <c r="BF20" s="431"/>
      <c r="BG20" s="431"/>
      <c r="BH20" s="437"/>
      <c r="BI20" s="431"/>
      <c r="BJ20" s="431"/>
      <c r="BK20" s="431"/>
      <c r="BL20" s="431"/>
      <c r="BM20" s="438"/>
      <c r="BN20" s="431"/>
      <c r="BO20" s="431"/>
      <c r="BP20" s="439"/>
      <c r="BQ20" s="439"/>
      <c r="BR20" s="439"/>
      <c r="BS20" s="437"/>
      <c r="BT20" s="437"/>
      <c r="BU20" s="439"/>
      <c r="BV20" s="431"/>
      <c r="BW20" s="494"/>
      <c r="BX20" s="494"/>
      <c r="BY20" s="494"/>
      <c r="BZ20" s="494"/>
      <c r="CA20" s="494"/>
      <c r="CB20" s="494"/>
    </row>
    <row r="21" spans="1:80" s="378" customFormat="1" ht="13.2" x14ac:dyDescent="0.25">
      <c r="A21" s="426"/>
      <c r="B21" s="426"/>
      <c r="C21" s="521"/>
      <c r="D21" s="194"/>
      <c r="E21" s="194"/>
      <c r="F21" s="427"/>
      <c r="G21" s="427"/>
      <c r="H21" s="194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375"/>
      <c r="V21" s="375"/>
      <c r="W21" s="375"/>
      <c r="X21" s="375"/>
      <c r="Y21" s="375"/>
      <c r="Z21" s="375"/>
      <c r="AA21" s="375"/>
      <c r="AB21" s="375"/>
      <c r="AC21" s="375"/>
      <c r="AD21" s="375"/>
      <c r="AE21" s="375"/>
      <c r="AF21" s="375"/>
      <c r="AG21" s="375"/>
      <c r="AH21" s="431"/>
      <c r="AI21" s="375"/>
      <c r="AJ21" s="375"/>
      <c r="AK21" s="432"/>
      <c r="AL21" s="432"/>
      <c r="AM21" s="433"/>
      <c r="AN21" s="435"/>
      <c r="AO21" s="434"/>
      <c r="AP21" s="434"/>
      <c r="AQ21" s="434"/>
      <c r="AR21" s="434"/>
      <c r="AS21" s="434"/>
      <c r="AT21" s="434"/>
      <c r="AU21" s="434"/>
      <c r="AV21" s="434"/>
      <c r="AW21" s="434"/>
      <c r="AX21" s="434"/>
      <c r="AY21" s="434"/>
      <c r="AZ21" s="436"/>
      <c r="BA21" s="463"/>
      <c r="BB21" s="375"/>
      <c r="BC21" s="464"/>
      <c r="BD21" s="436"/>
      <c r="BE21" s="375"/>
      <c r="BF21" s="431"/>
      <c r="BG21" s="431"/>
      <c r="BH21" s="437"/>
      <c r="BI21" s="431"/>
      <c r="BJ21" s="431"/>
      <c r="BK21" s="431"/>
      <c r="BL21" s="431"/>
      <c r="BM21" s="438"/>
      <c r="BN21" s="431"/>
      <c r="BO21" s="431"/>
      <c r="BP21" s="439"/>
      <c r="BQ21" s="439"/>
      <c r="BR21" s="439"/>
      <c r="BS21" s="437"/>
      <c r="BT21" s="437"/>
      <c r="BU21" s="439"/>
      <c r="BV21" s="431"/>
      <c r="BW21" s="494"/>
      <c r="BX21" s="494"/>
      <c r="BY21" s="494"/>
      <c r="BZ21" s="494"/>
      <c r="CA21" s="494"/>
      <c r="CB21" s="494"/>
    </row>
    <row r="22" spans="1:80" s="378" customFormat="1" ht="13.2" x14ac:dyDescent="0.25">
      <c r="A22" s="426"/>
      <c r="B22" s="426"/>
      <c r="C22" s="521"/>
      <c r="D22" s="194"/>
      <c r="E22" s="194"/>
      <c r="F22" s="427"/>
      <c r="G22" s="427"/>
      <c r="H22" s="194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375"/>
      <c r="V22" s="375"/>
      <c r="W22" s="375"/>
      <c r="X22" s="375"/>
      <c r="Y22" s="375"/>
      <c r="Z22" s="375"/>
      <c r="AA22" s="375"/>
      <c r="AB22" s="375"/>
      <c r="AC22" s="375"/>
      <c r="AD22" s="375"/>
      <c r="AE22" s="375"/>
      <c r="AF22" s="375"/>
      <c r="AG22" s="375"/>
      <c r="AH22" s="431"/>
      <c r="AI22" s="375"/>
      <c r="AJ22" s="375"/>
      <c r="AK22" s="432"/>
      <c r="AL22" s="432"/>
      <c r="AM22" s="433"/>
      <c r="AN22" s="435"/>
      <c r="AO22" s="434"/>
      <c r="AP22" s="434"/>
      <c r="AQ22" s="434"/>
      <c r="AR22" s="434"/>
      <c r="AS22" s="434"/>
      <c r="AT22" s="434"/>
      <c r="AU22" s="434"/>
      <c r="AV22" s="434"/>
      <c r="AW22" s="434"/>
      <c r="AX22" s="434"/>
      <c r="AY22" s="434"/>
      <c r="AZ22" s="436"/>
      <c r="BA22" s="463"/>
      <c r="BB22" s="375"/>
      <c r="BC22" s="464"/>
      <c r="BD22" s="436"/>
      <c r="BE22" s="375"/>
      <c r="BF22" s="431"/>
      <c r="BG22" s="431"/>
      <c r="BH22" s="437"/>
      <c r="BI22" s="431"/>
      <c r="BJ22" s="431"/>
      <c r="BK22" s="431"/>
      <c r="BL22" s="431"/>
      <c r="BM22" s="438"/>
      <c r="BN22" s="431"/>
      <c r="BO22" s="431"/>
      <c r="BP22" s="439"/>
      <c r="BQ22" s="439"/>
      <c r="BR22" s="439"/>
      <c r="BS22" s="437"/>
      <c r="BT22" s="437"/>
      <c r="BU22" s="439"/>
      <c r="BV22" s="431"/>
      <c r="BW22" s="494"/>
      <c r="BX22" s="494"/>
      <c r="BY22" s="494"/>
      <c r="BZ22" s="494"/>
      <c r="CA22" s="494"/>
      <c r="CB22" s="494"/>
    </row>
    <row r="23" spans="1:80" s="378" customFormat="1" ht="13.2" x14ac:dyDescent="0.25">
      <c r="A23" s="426"/>
      <c r="B23" s="426"/>
      <c r="C23" s="521"/>
      <c r="D23" s="194"/>
      <c r="E23" s="194"/>
      <c r="F23" s="427"/>
      <c r="G23" s="427"/>
      <c r="H23" s="194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375"/>
      <c r="V23" s="375"/>
      <c r="W23" s="375"/>
      <c r="X23" s="375"/>
      <c r="Y23" s="375"/>
      <c r="Z23" s="375"/>
      <c r="AA23" s="375"/>
      <c r="AB23" s="375"/>
      <c r="AC23" s="375"/>
      <c r="AD23" s="375"/>
      <c r="AE23" s="375"/>
      <c r="AF23" s="375"/>
      <c r="AG23" s="375"/>
      <c r="AH23" s="431"/>
      <c r="AI23" s="375"/>
      <c r="AJ23" s="375"/>
      <c r="AK23" s="432"/>
      <c r="AL23" s="432"/>
      <c r="AM23" s="433"/>
      <c r="AN23" s="435"/>
      <c r="AO23" s="434"/>
      <c r="AP23" s="434"/>
      <c r="AQ23" s="434"/>
      <c r="AR23" s="434"/>
      <c r="AS23" s="434"/>
      <c r="AT23" s="434"/>
      <c r="AU23" s="434"/>
      <c r="AV23" s="434"/>
      <c r="AW23" s="434"/>
      <c r="AX23" s="434"/>
      <c r="AY23" s="434"/>
      <c r="AZ23" s="436"/>
      <c r="BA23" s="463"/>
      <c r="BB23" s="375"/>
      <c r="BC23" s="464"/>
      <c r="BD23" s="436"/>
      <c r="BE23" s="375"/>
      <c r="BF23" s="431"/>
      <c r="BG23" s="431"/>
      <c r="BH23" s="437"/>
      <c r="BI23" s="431"/>
      <c r="BJ23" s="431"/>
      <c r="BK23" s="431"/>
      <c r="BL23" s="431"/>
      <c r="BM23" s="438"/>
      <c r="BN23" s="431"/>
      <c r="BO23" s="431"/>
      <c r="BP23" s="439"/>
      <c r="BQ23" s="439"/>
      <c r="BR23" s="439"/>
      <c r="BS23" s="437"/>
      <c r="BT23" s="437"/>
      <c r="BU23" s="439"/>
      <c r="BV23" s="431"/>
      <c r="BW23" s="494"/>
      <c r="BX23" s="494"/>
      <c r="BY23" s="494"/>
      <c r="BZ23" s="494"/>
      <c r="CA23" s="494"/>
      <c r="CB23" s="494"/>
    </row>
    <row r="24" spans="1:80" s="378" customFormat="1" ht="13.2" x14ac:dyDescent="0.25">
      <c r="A24" s="426"/>
      <c r="B24" s="426"/>
      <c r="C24" s="521"/>
      <c r="D24" s="194"/>
      <c r="E24" s="194"/>
      <c r="F24" s="427"/>
      <c r="G24" s="427"/>
      <c r="H24" s="194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375"/>
      <c r="V24" s="375"/>
      <c r="W24" s="375"/>
      <c r="X24" s="375"/>
      <c r="Y24" s="375"/>
      <c r="Z24" s="375"/>
      <c r="AA24" s="375"/>
      <c r="AB24" s="375"/>
      <c r="AC24" s="375"/>
      <c r="AD24" s="375"/>
      <c r="AE24" s="375"/>
      <c r="AF24" s="375"/>
      <c r="AG24" s="375"/>
      <c r="AH24" s="431"/>
      <c r="AI24" s="375"/>
      <c r="AJ24" s="375"/>
      <c r="AK24" s="432"/>
      <c r="AL24" s="432"/>
      <c r="AM24" s="433"/>
      <c r="AN24" s="435"/>
      <c r="AO24" s="434"/>
      <c r="AP24" s="434"/>
      <c r="AQ24" s="434"/>
      <c r="AR24" s="434"/>
      <c r="AS24" s="434"/>
      <c r="AT24" s="434"/>
      <c r="AU24" s="434"/>
      <c r="AV24" s="434"/>
      <c r="AW24" s="434"/>
      <c r="AX24" s="434"/>
      <c r="AY24" s="434"/>
      <c r="AZ24" s="436"/>
      <c r="BA24" s="463"/>
      <c r="BB24" s="375"/>
      <c r="BC24" s="464"/>
      <c r="BD24" s="436"/>
      <c r="BE24" s="375"/>
      <c r="BF24" s="431"/>
      <c r="BG24" s="431"/>
      <c r="BH24" s="437"/>
      <c r="BI24" s="431"/>
      <c r="BJ24" s="431"/>
      <c r="BK24" s="431"/>
      <c r="BL24" s="431"/>
      <c r="BM24" s="438"/>
      <c r="BN24" s="431"/>
      <c r="BO24" s="431"/>
      <c r="BP24" s="439"/>
      <c r="BQ24" s="439"/>
      <c r="BR24" s="439"/>
      <c r="BS24" s="437"/>
      <c r="BT24" s="437"/>
      <c r="BU24" s="439"/>
      <c r="BV24" s="431"/>
      <c r="BW24" s="494"/>
      <c r="BX24" s="494"/>
      <c r="BY24" s="494"/>
      <c r="BZ24" s="494"/>
      <c r="CA24" s="494"/>
      <c r="CB24" s="494"/>
    </row>
    <row r="25" spans="1:80" s="378" customFormat="1" ht="13.2" x14ac:dyDescent="0.25">
      <c r="A25" s="426"/>
      <c r="B25" s="426"/>
      <c r="C25" s="521"/>
      <c r="D25" s="194"/>
      <c r="E25" s="194"/>
      <c r="F25" s="427"/>
      <c r="G25" s="427"/>
      <c r="H25" s="194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375"/>
      <c r="V25" s="375"/>
      <c r="W25" s="375"/>
      <c r="X25" s="375"/>
      <c r="Y25" s="375"/>
      <c r="Z25" s="375"/>
      <c r="AA25" s="375"/>
      <c r="AB25" s="375"/>
      <c r="AC25" s="375"/>
      <c r="AD25" s="375"/>
      <c r="AE25" s="375"/>
      <c r="AF25" s="375"/>
      <c r="AG25" s="375"/>
      <c r="AH25" s="431"/>
      <c r="AI25" s="375"/>
      <c r="AJ25" s="375"/>
      <c r="AK25" s="432"/>
      <c r="AL25" s="432"/>
      <c r="AM25" s="433"/>
      <c r="AN25" s="435"/>
      <c r="AO25" s="434"/>
      <c r="AP25" s="434"/>
      <c r="AQ25" s="434"/>
      <c r="AR25" s="434"/>
      <c r="AS25" s="434"/>
      <c r="AT25" s="434"/>
      <c r="AU25" s="434"/>
      <c r="AV25" s="434"/>
      <c r="AW25" s="434"/>
      <c r="AX25" s="434"/>
      <c r="AY25" s="434"/>
      <c r="AZ25" s="436"/>
      <c r="BA25" s="463"/>
      <c r="BB25" s="375"/>
      <c r="BC25" s="464"/>
      <c r="BD25" s="436"/>
      <c r="BE25" s="375"/>
      <c r="BF25" s="431"/>
      <c r="BG25" s="431"/>
      <c r="BH25" s="437"/>
      <c r="BI25" s="431"/>
      <c r="BJ25" s="431"/>
      <c r="BK25" s="431"/>
      <c r="BL25" s="431"/>
      <c r="BM25" s="438"/>
      <c r="BN25" s="431"/>
      <c r="BO25" s="431"/>
      <c r="BP25" s="439"/>
      <c r="BQ25" s="439"/>
      <c r="BR25" s="439"/>
      <c r="BS25" s="437"/>
      <c r="BT25" s="437"/>
      <c r="BU25" s="439"/>
      <c r="BV25" s="431"/>
      <c r="BW25" s="494"/>
      <c r="BX25" s="494"/>
      <c r="BY25" s="494"/>
      <c r="BZ25" s="494"/>
      <c r="CA25" s="494"/>
      <c r="CB25" s="494"/>
    </row>
    <row r="26" spans="1:80" s="378" customFormat="1" ht="13.2" x14ac:dyDescent="0.25">
      <c r="A26" s="426"/>
      <c r="B26" s="426"/>
      <c r="C26" s="521"/>
      <c r="D26" s="194"/>
      <c r="E26" s="194"/>
      <c r="F26" s="427"/>
      <c r="G26" s="427"/>
      <c r="H26" s="194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375"/>
      <c r="V26" s="375"/>
      <c r="W26" s="375"/>
      <c r="X26" s="375"/>
      <c r="Y26" s="375"/>
      <c r="Z26" s="375"/>
      <c r="AA26" s="375"/>
      <c r="AB26" s="375"/>
      <c r="AC26" s="375"/>
      <c r="AD26" s="375"/>
      <c r="AE26" s="375"/>
      <c r="AF26" s="375"/>
      <c r="AG26" s="375"/>
      <c r="AH26" s="431"/>
      <c r="AI26" s="375"/>
      <c r="AJ26" s="375"/>
      <c r="AK26" s="432"/>
      <c r="AL26" s="432"/>
      <c r="AM26" s="433"/>
      <c r="AN26" s="435"/>
      <c r="AO26" s="434"/>
      <c r="AP26" s="434"/>
      <c r="AQ26" s="434"/>
      <c r="AR26" s="434"/>
      <c r="AS26" s="434"/>
      <c r="AT26" s="434"/>
      <c r="AU26" s="434"/>
      <c r="AV26" s="434"/>
      <c r="AW26" s="434"/>
      <c r="AX26" s="434"/>
      <c r="AY26" s="434"/>
      <c r="AZ26" s="436"/>
      <c r="BA26" s="463"/>
      <c r="BB26" s="375"/>
      <c r="BC26" s="464"/>
      <c r="BD26" s="436"/>
      <c r="BE26" s="375"/>
      <c r="BF26" s="431"/>
      <c r="BG26" s="431"/>
      <c r="BH26" s="437"/>
      <c r="BI26" s="431"/>
      <c r="BJ26" s="431"/>
      <c r="BK26" s="431"/>
      <c r="BL26" s="431"/>
      <c r="BM26" s="438"/>
      <c r="BN26" s="431"/>
      <c r="BO26" s="431"/>
      <c r="BP26" s="439"/>
      <c r="BQ26" s="439"/>
      <c r="BR26" s="439"/>
      <c r="BS26" s="437"/>
      <c r="BT26" s="437"/>
      <c r="BU26" s="439"/>
      <c r="BV26" s="431"/>
      <c r="BW26" s="494"/>
      <c r="BX26" s="494"/>
      <c r="BY26" s="494"/>
      <c r="BZ26" s="494"/>
      <c r="CA26" s="494"/>
      <c r="CB26" s="494"/>
    </row>
    <row r="27" spans="1:80" s="378" customFormat="1" ht="13.2" x14ac:dyDescent="0.25">
      <c r="A27" s="426"/>
      <c r="B27" s="426"/>
      <c r="C27" s="521"/>
      <c r="D27" s="194"/>
      <c r="E27" s="194"/>
      <c r="F27" s="427"/>
      <c r="G27" s="427"/>
      <c r="H27" s="194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375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431"/>
      <c r="AI27" s="375"/>
      <c r="AJ27" s="375"/>
      <c r="AK27" s="432"/>
      <c r="AL27" s="432"/>
      <c r="AM27" s="433"/>
      <c r="AN27" s="435"/>
      <c r="AO27" s="434"/>
      <c r="AP27" s="434"/>
      <c r="AQ27" s="434"/>
      <c r="AR27" s="434"/>
      <c r="AS27" s="434"/>
      <c r="AT27" s="434"/>
      <c r="AU27" s="434"/>
      <c r="AV27" s="434"/>
      <c r="AW27" s="434"/>
      <c r="AX27" s="434"/>
      <c r="AY27" s="434"/>
      <c r="AZ27" s="436"/>
      <c r="BA27" s="463"/>
      <c r="BB27" s="375"/>
      <c r="BC27" s="464"/>
      <c r="BD27" s="436"/>
      <c r="BE27" s="375"/>
      <c r="BF27" s="431"/>
      <c r="BG27" s="431"/>
      <c r="BH27" s="437"/>
      <c r="BI27" s="431"/>
      <c r="BJ27" s="431"/>
      <c r="BK27" s="431"/>
      <c r="BL27" s="431"/>
      <c r="BM27" s="438"/>
      <c r="BN27" s="431"/>
      <c r="BO27" s="431"/>
      <c r="BP27" s="439"/>
      <c r="BQ27" s="439"/>
      <c r="BR27" s="439"/>
      <c r="BS27" s="437"/>
      <c r="BT27" s="437"/>
      <c r="BU27" s="439"/>
      <c r="BV27" s="431"/>
      <c r="BW27" s="494"/>
      <c r="BX27" s="494"/>
      <c r="BY27" s="494"/>
      <c r="BZ27" s="494"/>
      <c r="CA27" s="494"/>
      <c r="CB27" s="494"/>
    </row>
    <row r="28" spans="1:80" s="378" customFormat="1" ht="13.2" x14ac:dyDescent="0.25">
      <c r="A28" s="426"/>
      <c r="B28" s="426"/>
      <c r="C28" s="521"/>
      <c r="D28" s="194"/>
      <c r="E28" s="194"/>
      <c r="F28" s="427"/>
      <c r="G28" s="427"/>
      <c r="H28" s="194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375"/>
      <c r="V28" s="375"/>
      <c r="W28" s="375"/>
      <c r="X28" s="375"/>
      <c r="Y28" s="375"/>
      <c r="Z28" s="375"/>
      <c r="AA28" s="375"/>
      <c r="AB28" s="375"/>
      <c r="AC28" s="375"/>
      <c r="AD28" s="375"/>
      <c r="AE28" s="375"/>
      <c r="AF28" s="375"/>
      <c r="AG28" s="375"/>
      <c r="AH28" s="431"/>
      <c r="AI28" s="375"/>
      <c r="AJ28" s="375"/>
      <c r="AK28" s="432"/>
      <c r="AL28" s="432"/>
      <c r="AM28" s="433"/>
      <c r="AN28" s="435"/>
      <c r="AO28" s="434"/>
      <c r="AP28" s="434"/>
      <c r="AQ28" s="434"/>
      <c r="AR28" s="434"/>
      <c r="AS28" s="434"/>
      <c r="AT28" s="434"/>
      <c r="AU28" s="434"/>
      <c r="AV28" s="434"/>
      <c r="AW28" s="434"/>
      <c r="AX28" s="434"/>
      <c r="AY28" s="434"/>
      <c r="AZ28" s="436"/>
      <c r="BA28" s="463"/>
      <c r="BB28" s="375"/>
      <c r="BC28" s="464"/>
      <c r="BD28" s="436"/>
      <c r="BE28" s="375"/>
      <c r="BF28" s="431"/>
      <c r="BG28" s="431"/>
      <c r="BH28" s="437"/>
      <c r="BI28" s="431"/>
      <c r="BJ28" s="431"/>
      <c r="BK28" s="431"/>
      <c r="BL28" s="431"/>
      <c r="BM28" s="438"/>
      <c r="BN28" s="431"/>
      <c r="BO28" s="431"/>
      <c r="BP28" s="439"/>
      <c r="BQ28" s="439"/>
      <c r="BR28" s="439"/>
      <c r="BS28" s="437"/>
      <c r="BT28" s="437"/>
      <c r="BU28" s="439"/>
      <c r="BV28" s="431"/>
      <c r="BW28" s="494"/>
      <c r="BX28" s="494"/>
      <c r="BY28" s="494"/>
      <c r="BZ28" s="494"/>
      <c r="CA28" s="494"/>
      <c r="CB28" s="494"/>
    </row>
    <row r="29" spans="1:80" s="378" customFormat="1" ht="13.2" x14ac:dyDescent="0.25">
      <c r="A29" s="426"/>
      <c r="B29" s="426"/>
      <c r="C29" s="521"/>
      <c r="D29" s="194"/>
      <c r="E29" s="194"/>
      <c r="F29" s="427"/>
      <c r="G29" s="427"/>
      <c r="H29" s="194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375"/>
      <c r="V29" s="375"/>
      <c r="W29" s="375"/>
      <c r="X29" s="375"/>
      <c r="Y29" s="375"/>
      <c r="Z29" s="375"/>
      <c r="AA29" s="375"/>
      <c r="AB29" s="375"/>
      <c r="AC29" s="375"/>
      <c r="AD29" s="375"/>
      <c r="AE29" s="375"/>
      <c r="AF29" s="375"/>
      <c r="AG29" s="375"/>
      <c r="AH29" s="431"/>
      <c r="AI29" s="375"/>
      <c r="AJ29" s="375"/>
      <c r="AK29" s="432"/>
      <c r="AL29" s="432"/>
      <c r="AM29" s="433"/>
      <c r="AN29" s="435"/>
      <c r="AO29" s="434"/>
      <c r="AP29" s="434"/>
      <c r="AQ29" s="434"/>
      <c r="AR29" s="434"/>
      <c r="AS29" s="434"/>
      <c r="AT29" s="434"/>
      <c r="AU29" s="434"/>
      <c r="AV29" s="434"/>
      <c r="AW29" s="434"/>
      <c r="AX29" s="434"/>
      <c r="AY29" s="434"/>
      <c r="AZ29" s="436"/>
      <c r="BA29" s="463"/>
      <c r="BB29" s="375"/>
      <c r="BC29" s="464"/>
      <c r="BD29" s="436"/>
      <c r="BE29" s="375"/>
      <c r="BF29" s="431"/>
      <c r="BG29" s="431"/>
      <c r="BH29" s="437"/>
      <c r="BI29" s="431"/>
      <c r="BJ29" s="431"/>
      <c r="BK29" s="431"/>
      <c r="BL29" s="431"/>
      <c r="BM29" s="438"/>
      <c r="BN29" s="431"/>
      <c r="BO29" s="431"/>
      <c r="BP29" s="439"/>
      <c r="BQ29" s="439"/>
      <c r="BR29" s="439"/>
      <c r="BS29" s="437"/>
      <c r="BT29" s="437"/>
      <c r="BU29" s="439"/>
      <c r="BV29" s="431"/>
      <c r="BW29" s="498"/>
      <c r="BX29" s="498"/>
      <c r="BY29" s="494"/>
      <c r="BZ29" s="494"/>
      <c r="CA29" s="494"/>
      <c r="CB29" s="494"/>
    </row>
    <row r="30" spans="1:80" s="378" customFormat="1" ht="13.2" x14ac:dyDescent="0.25">
      <c r="A30" s="426"/>
      <c r="B30" s="426"/>
      <c r="C30" s="521"/>
      <c r="D30" s="194"/>
      <c r="E30" s="194"/>
      <c r="F30" s="427"/>
      <c r="G30" s="427"/>
      <c r="H30" s="194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375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431"/>
      <c r="AI30" s="375"/>
      <c r="AJ30" s="375"/>
      <c r="AK30" s="432"/>
      <c r="AL30" s="432"/>
      <c r="AM30" s="433"/>
      <c r="AN30" s="435"/>
      <c r="AO30" s="434"/>
      <c r="AP30" s="434"/>
      <c r="AQ30" s="434"/>
      <c r="AR30" s="434"/>
      <c r="AS30" s="434"/>
      <c r="AT30" s="434"/>
      <c r="AU30" s="434"/>
      <c r="AV30" s="434"/>
      <c r="AW30" s="434"/>
      <c r="AX30" s="434"/>
      <c r="AY30" s="434"/>
      <c r="AZ30" s="436"/>
      <c r="BA30" s="463"/>
      <c r="BB30" s="375"/>
      <c r="BC30" s="464"/>
      <c r="BD30" s="436"/>
      <c r="BE30" s="375"/>
      <c r="BF30" s="431"/>
      <c r="BG30" s="431"/>
      <c r="BH30" s="437"/>
      <c r="BI30" s="431"/>
      <c r="BJ30" s="431"/>
      <c r="BK30" s="431"/>
      <c r="BL30" s="431"/>
      <c r="BM30" s="438"/>
      <c r="BN30" s="431"/>
      <c r="BO30" s="431"/>
      <c r="BP30" s="439"/>
      <c r="BQ30" s="439"/>
      <c r="BR30" s="439"/>
      <c r="BS30" s="437"/>
      <c r="BT30" s="437"/>
      <c r="BU30" s="439"/>
      <c r="BV30" s="431"/>
      <c r="BW30" s="494"/>
      <c r="BX30" s="494"/>
      <c r="BY30" s="494"/>
      <c r="BZ30" s="494"/>
      <c r="CA30" s="494"/>
      <c r="CB30" s="494"/>
    </row>
    <row r="31" spans="1:80" s="378" customFormat="1" ht="13.2" x14ac:dyDescent="0.25">
      <c r="A31" s="426"/>
      <c r="B31" s="426"/>
      <c r="C31" s="521"/>
      <c r="D31" s="194"/>
      <c r="E31" s="194"/>
      <c r="F31" s="427"/>
      <c r="G31" s="427"/>
      <c r="H31" s="194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375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  <c r="AG31" s="375"/>
      <c r="AH31" s="431"/>
      <c r="AI31" s="375"/>
      <c r="AJ31" s="375"/>
      <c r="AK31" s="432"/>
      <c r="AL31" s="432"/>
      <c r="AM31" s="433"/>
      <c r="AN31" s="435"/>
      <c r="AO31" s="434"/>
      <c r="AP31" s="434"/>
      <c r="AQ31" s="434"/>
      <c r="AR31" s="434"/>
      <c r="AS31" s="434"/>
      <c r="AT31" s="434"/>
      <c r="AU31" s="434"/>
      <c r="AV31" s="434"/>
      <c r="AW31" s="434"/>
      <c r="AX31" s="434"/>
      <c r="AY31" s="434"/>
      <c r="AZ31" s="436"/>
      <c r="BA31" s="463"/>
      <c r="BB31" s="375"/>
      <c r="BC31" s="464"/>
      <c r="BD31" s="436"/>
      <c r="BE31" s="375"/>
      <c r="BF31" s="431"/>
      <c r="BG31" s="431"/>
      <c r="BH31" s="437"/>
      <c r="BI31" s="431"/>
      <c r="BJ31" s="431"/>
      <c r="BK31" s="431"/>
      <c r="BL31" s="431"/>
      <c r="BM31" s="438"/>
      <c r="BN31" s="431"/>
      <c r="BO31" s="431"/>
      <c r="BP31" s="439"/>
      <c r="BQ31" s="439"/>
      <c r="BR31" s="439"/>
      <c r="BS31" s="437"/>
      <c r="BT31" s="437"/>
      <c r="BU31" s="439"/>
      <c r="BV31" s="431"/>
      <c r="BW31" s="494"/>
      <c r="BX31" s="494"/>
      <c r="BY31" s="494"/>
      <c r="BZ31" s="494"/>
      <c r="CA31" s="494"/>
      <c r="CB31" s="494"/>
    </row>
    <row r="32" spans="1:80" s="378" customFormat="1" ht="13.2" x14ac:dyDescent="0.25">
      <c r="A32" s="426"/>
      <c r="B32" s="426"/>
      <c r="C32" s="521"/>
      <c r="D32" s="194"/>
      <c r="E32" s="194"/>
      <c r="F32" s="427"/>
      <c r="G32" s="427"/>
      <c r="H32" s="194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375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431"/>
      <c r="AI32" s="375"/>
      <c r="AJ32" s="375"/>
      <c r="AK32" s="432"/>
      <c r="AL32" s="432"/>
      <c r="AM32" s="433"/>
      <c r="AN32" s="435"/>
      <c r="AO32" s="434"/>
      <c r="AP32" s="434"/>
      <c r="AQ32" s="434"/>
      <c r="AR32" s="434"/>
      <c r="AS32" s="434"/>
      <c r="AT32" s="434"/>
      <c r="AU32" s="434"/>
      <c r="AV32" s="434"/>
      <c r="AW32" s="434"/>
      <c r="AX32" s="434"/>
      <c r="AY32" s="434"/>
      <c r="AZ32" s="436"/>
      <c r="BA32" s="463"/>
      <c r="BB32" s="375"/>
      <c r="BC32" s="464"/>
      <c r="BD32" s="436"/>
      <c r="BE32" s="375"/>
      <c r="BF32" s="431"/>
      <c r="BG32" s="431"/>
      <c r="BH32" s="437"/>
      <c r="BI32" s="431"/>
      <c r="BJ32" s="431"/>
      <c r="BK32" s="431"/>
      <c r="BL32" s="431"/>
      <c r="BM32" s="438"/>
      <c r="BN32" s="431"/>
      <c r="BO32" s="431"/>
      <c r="BP32" s="439"/>
      <c r="BQ32" s="439"/>
      <c r="BR32" s="439"/>
      <c r="BS32" s="437"/>
      <c r="BT32" s="437"/>
      <c r="BU32" s="439"/>
      <c r="BV32" s="431"/>
      <c r="BW32" s="494"/>
      <c r="BX32" s="494"/>
      <c r="BY32" s="494"/>
      <c r="BZ32" s="494"/>
      <c r="CA32" s="494"/>
      <c r="CB32" s="494"/>
    </row>
    <row r="33" spans="1:80" s="378" customFormat="1" ht="13.2" x14ac:dyDescent="0.25">
      <c r="A33" s="426"/>
      <c r="B33" s="426"/>
      <c r="C33" s="521"/>
      <c r="D33" s="194"/>
      <c r="E33" s="194"/>
      <c r="F33" s="427"/>
      <c r="G33" s="427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375"/>
      <c r="V33" s="375"/>
      <c r="W33" s="375"/>
      <c r="X33" s="375"/>
      <c r="Y33" s="375"/>
      <c r="Z33" s="375"/>
      <c r="AA33" s="375"/>
      <c r="AB33" s="375"/>
      <c r="AC33" s="375"/>
      <c r="AD33" s="375"/>
      <c r="AE33" s="375"/>
      <c r="AF33" s="375"/>
      <c r="AG33" s="375"/>
      <c r="AH33" s="431"/>
      <c r="AI33" s="375"/>
      <c r="AJ33" s="375"/>
      <c r="AK33" s="432"/>
      <c r="AL33" s="432"/>
      <c r="AM33" s="433"/>
      <c r="AN33" s="435"/>
      <c r="AO33" s="434"/>
      <c r="AP33" s="434"/>
      <c r="AQ33" s="434"/>
      <c r="AR33" s="434"/>
      <c r="AS33" s="434"/>
      <c r="AT33" s="434"/>
      <c r="AU33" s="434"/>
      <c r="AV33" s="434"/>
      <c r="AW33" s="434"/>
      <c r="AX33" s="434"/>
      <c r="AY33" s="434"/>
      <c r="AZ33" s="436"/>
      <c r="BA33" s="463"/>
      <c r="BB33" s="375"/>
      <c r="BC33" s="464"/>
      <c r="BD33" s="436"/>
      <c r="BE33" s="375"/>
      <c r="BF33" s="431"/>
      <c r="BG33" s="431"/>
      <c r="BH33" s="437"/>
      <c r="BI33" s="431"/>
      <c r="BJ33" s="431"/>
      <c r="BK33" s="431"/>
      <c r="BL33" s="431"/>
      <c r="BM33" s="438"/>
      <c r="BN33" s="431"/>
      <c r="BO33" s="431"/>
      <c r="BP33" s="439"/>
      <c r="BQ33" s="439"/>
      <c r="BR33" s="439"/>
      <c r="BS33" s="437"/>
      <c r="BT33" s="437"/>
      <c r="BU33" s="439"/>
      <c r="BV33" s="431"/>
      <c r="BW33" s="494"/>
      <c r="BX33" s="494"/>
      <c r="BY33" s="494"/>
      <c r="BZ33" s="494"/>
      <c r="CA33" s="494"/>
      <c r="CB33" s="494"/>
    </row>
    <row r="34" spans="1:80" s="378" customFormat="1" ht="13.2" x14ac:dyDescent="0.25">
      <c r="A34" s="426"/>
      <c r="B34" s="426"/>
      <c r="C34" s="521"/>
      <c r="D34" s="194"/>
      <c r="E34" s="194"/>
      <c r="F34" s="427"/>
      <c r="G34" s="427"/>
      <c r="H34" s="194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375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  <c r="AH34" s="431"/>
      <c r="AI34" s="375"/>
      <c r="AJ34" s="375"/>
      <c r="AK34" s="432"/>
      <c r="AL34" s="432"/>
      <c r="AM34" s="433"/>
      <c r="AN34" s="435"/>
      <c r="AO34" s="434"/>
      <c r="AP34" s="434"/>
      <c r="AQ34" s="434"/>
      <c r="AR34" s="434"/>
      <c r="AS34" s="434"/>
      <c r="AT34" s="434"/>
      <c r="AU34" s="434"/>
      <c r="AV34" s="434"/>
      <c r="AW34" s="434"/>
      <c r="AX34" s="434"/>
      <c r="AY34" s="434"/>
      <c r="AZ34" s="436"/>
      <c r="BA34" s="463"/>
      <c r="BB34" s="375"/>
      <c r="BC34" s="464"/>
      <c r="BD34" s="436"/>
      <c r="BE34" s="375"/>
      <c r="BF34" s="431"/>
      <c r="BG34" s="431"/>
      <c r="BH34" s="437"/>
      <c r="BI34" s="431"/>
      <c r="BJ34" s="431"/>
      <c r="BK34" s="431"/>
      <c r="BL34" s="431"/>
      <c r="BM34" s="438"/>
      <c r="BN34" s="431"/>
      <c r="BO34" s="431"/>
      <c r="BP34" s="439"/>
      <c r="BQ34" s="439"/>
      <c r="BR34" s="439"/>
      <c r="BS34" s="437"/>
      <c r="BT34" s="437"/>
      <c r="BU34" s="439"/>
      <c r="BV34" s="431"/>
      <c r="BW34" s="494"/>
      <c r="BX34" s="494"/>
      <c r="BY34" s="494"/>
      <c r="BZ34" s="494"/>
      <c r="CA34" s="494"/>
      <c r="CB34" s="494"/>
    </row>
    <row r="35" spans="1:80" s="378" customFormat="1" ht="13.2" x14ac:dyDescent="0.25">
      <c r="A35" s="426"/>
      <c r="B35" s="426"/>
      <c r="C35" s="521"/>
      <c r="D35" s="194"/>
      <c r="E35" s="194"/>
      <c r="F35" s="427"/>
      <c r="G35" s="427"/>
      <c r="H35" s="194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431"/>
      <c r="AI35" s="375"/>
      <c r="AJ35" s="375"/>
      <c r="AK35" s="432"/>
      <c r="AL35" s="432"/>
      <c r="AM35" s="433"/>
      <c r="AN35" s="435"/>
      <c r="AO35" s="434"/>
      <c r="AP35" s="434"/>
      <c r="AQ35" s="434"/>
      <c r="AR35" s="434"/>
      <c r="AS35" s="434"/>
      <c r="AT35" s="434"/>
      <c r="AU35" s="434"/>
      <c r="AV35" s="434"/>
      <c r="AW35" s="434"/>
      <c r="AX35" s="434"/>
      <c r="AY35" s="434"/>
      <c r="AZ35" s="436"/>
      <c r="BA35" s="463"/>
      <c r="BB35" s="375"/>
      <c r="BC35" s="464"/>
      <c r="BD35" s="436"/>
      <c r="BE35" s="375"/>
      <c r="BF35" s="431"/>
      <c r="BG35" s="431"/>
      <c r="BH35" s="437"/>
      <c r="BI35" s="431"/>
      <c r="BJ35" s="431"/>
      <c r="BK35" s="431"/>
      <c r="BL35" s="431"/>
      <c r="BM35" s="438"/>
      <c r="BN35" s="431"/>
      <c r="BO35" s="431"/>
      <c r="BP35" s="439"/>
      <c r="BQ35" s="439"/>
      <c r="BR35" s="439"/>
      <c r="BS35" s="437"/>
      <c r="BT35" s="437"/>
      <c r="BU35" s="439"/>
      <c r="BV35" s="431"/>
      <c r="BW35" s="494"/>
      <c r="BX35" s="494"/>
      <c r="BY35" s="494"/>
      <c r="BZ35" s="494"/>
      <c r="CA35" s="494"/>
      <c r="CB35" s="494"/>
    </row>
    <row r="36" spans="1:80" s="378" customFormat="1" ht="13.2" x14ac:dyDescent="0.25">
      <c r="A36" s="426"/>
      <c r="B36" s="426"/>
      <c r="C36" s="521"/>
      <c r="D36" s="194"/>
      <c r="E36" s="194"/>
      <c r="F36" s="427"/>
      <c r="G36" s="427"/>
      <c r="H36" s="194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375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  <c r="AH36" s="431"/>
      <c r="AI36" s="375"/>
      <c r="AJ36" s="375"/>
      <c r="AK36" s="432"/>
      <c r="AL36" s="432"/>
      <c r="AM36" s="433"/>
      <c r="AN36" s="435"/>
      <c r="AO36" s="434"/>
      <c r="AP36" s="434"/>
      <c r="AQ36" s="434"/>
      <c r="AR36" s="434"/>
      <c r="AS36" s="434"/>
      <c r="AT36" s="434"/>
      <c r="AU36" s="434"/>
      <c r="AV36" s="434"/>
      <c r="AW36" s="434"/>
      <c r="AX36" s="434"/>
      <c r="AY36" s="434"/>
      <c r="AZ36" s="436"/>
      <c r="BA36" s="463"/>
      <c r="BB36" s="375"/>
      <c r="BC36" s="464"/>
      <c r="BD36" s="436"/>
      <c r="BE36" s="375"/>
      <c r="BF36" s="431"/>
      <c r="BG36" s="431"/>
      <c r="BH36" s="437"/>
      <c r="BI36" s="431"/>
      <c r="BJ36" s="431"/>
      <c r="BK36" s="431"/>
      <c r="BL36" s="431"/>
      <c r="BM36" s="438"/>
      <c r="BN36" s="431"/>
      <c r="BO36" s="431"/>
      <c r="BP36" s="439"/>
      <c r="BQ36" s="439"/>
      <c r="BR36" s="439"/>
      <c r="BS36" s="437"/>
      <c r="BT36" s="437"/>
      <c r="BU36" s="439"/>
      <c r="BV36" s="431"/>
      <c r="BW36" s="494"/>
      <c r="BX36" s="494"/>
      <c r="BY36" s="494"/>
      <c r="BZ36" s="494"/>
      <c r="CA36" s="494"/>
      <c r="CB36" s="494"/>
    </row>
    <row r="37" spans="1:80" s="378" customFormat="1" ht="13.2" x14ac:dyDescent="0.25">
      <c r="A37" s="426"/>
      <c r="B37" s="426"/>
      <c r="C37" s="521"/>
      <c r="D37" s="194"/>
      <c r="E37" s="194"/>
      <c r="F37" s="427"/>
      <c r="G37" s="427"/>
      <c r="H37" s="194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375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431"/>
      <c r="AI37" s="375"/>
      <c r="AJ37" s="375"/>
      <c r="AK37" s="432"/>
      <c r="AL37" s="432"/>
      <c r="AM37" s="433"/>
      <c r="AN37" s="435"/>
      <c r="AO37" s="434"/>
      <c r="AP37" s="434"/>
      <c r="AQ37" s="434"/>
      <c r="AR37" s="434"/>
      <c r="AS37" s="434"/>
      <c r="AT37" s="434"/>
      <c r="AU37" s="434"/>
      <c r="AV37" s="434"/>
      <c r="AW37" s="434"/>
      <c r="AX37" s="434"/>
      <c r="AY37" s="434"/>
      <c r="AZ37" s="436"/>
      <c r="BA37" s="463"/>
      <c r="BB37" s="375"/>
      <c r="BC37" s="464"/>
      <c r="BD37" s="436"/>
      <c r="BE37" s="375"/>
      <c r="BF37" s="431"/>
      <c r="BG37" s="431"/>
      <c r="BH37" s="437"/>
      <c r="BI37" s="431"/>
      <c r="BJ37" s="431"/>
      <c r="BK37" s="431"/>
      <c r="BL37" s="431"/>
      <c r="BM37" s="438"/>
      <c r="BN37" s="431"/>
      <c r="BO37" s="431"/>
      <c r="BP37" s="439"/>
      <c r="BQ37" s="439"/>
      <c r="BR37" s="439"/>
      <c r="BS37" s="437"/>
      <c r="BT37" s="437"/>
      <c r="BU37" s="439"/>
      <c r="BV37" s="431"/>
      <c r="BW37" s="494"/>
      <c r="BX37" s="494"/>
      <c r="BY37" s="494"/>
      <c r="BZ37" s="494"/>
      <c r="CA37" s="494"/>
      <c r="CB37" s="494"/>
    </row>
    <row r="38" spans="1:80" s="378" customFormat="1" ht="13.2" x14ac:dyDescent="0.25">
      <c r="A38" s="426"/>
      <c r="B38" s="426"/>
      <c r="C38" s="521"/>
      <c r="D38" s="194"/>
      <c r="E38" s="194"/>
      <c r="F38" s="427"/>
      <c r="G38" s="427"/>
      <c r="H38" s="194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375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431"/>
      <c r="AI38" s="375"/>
      <c r="AJ38" s="375"/>
      <c r="AK38" s="432"/>
      <c r="AL38" s="432"/>
      <c r="AM38" s="433"/>
      <c r="AN38" s="435"/>
      <c r="AO38" s="434"/>
      <c r="AP38" s="434"/>
      <c r="AQ38" s="434"/>
      <c r="AR38" s="434"/>
      <c r="AS38" s="434"/>
      <c r="AT38" s="434"/>
      <c r="AU38" s="434"/>
      <c r="AV38" s="434"/>
      <c r="AW38" s="434"/>
      <c r="AX38" s="434"/>
      <c r="AY38" s="434"/>
      <c r="AZ38" s="436"/>
      <c r="BA38" s="463"/>
      <c r="BB38" s="375"/>
      <c r="BC38" s="464"/>
      <c r="BD38" s="436"/>
      <c r="BE38" s="375"/>
      <c r="BF38" s="431"/>
      <c r="BG38" s="431"/>
      <c r="BH38" s="437"/>
      <c r="BI38" s="431"/>
      <c r="BJ38" s="431"/>
      <c r="BK38" s="431"/>
      <c r="BL38" s="431"/>
      <c r="BM38" s="438"/>
      <c r="BN38" s="431"/>
      <c r="BO38" s="431"/>
      <c r="BP38" s="439"/>
      <c r="BQ38" s="439"/>
      <c r="BR38" s="439"/>
      <c r="BS38" s="437"/>
      <c r="BT38" s="437"/>
      <c r="BU38" s="439"/>
      <c r="BV38" s="431"/>
      <c r="BW38" s="494"/>
      <c r="BX38" s="494"/>
      <c r="BY38" s="494"/>
      <c r="BZ38" s="494"/>
      <c r="CA38" s="494"/>
      <c r="CB38" s="494"/>
    </row>
    <row r="39" spans="1:80" s="378" customFormat="1" ht="13.2" x14ac:dyDescent="0.25">
      <c r="A39" s="426"/>
      <c r="B39" s="426"/>
      <c r="C39" s="521"/>
      <c r="D39" s="194"/>
      <c r="E39" s="194"/>
      <c r="F39" s="427"/>
      <c r="G39" s="427"/>
      <c r="H39" s="194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375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  <c r="AG39" s="375"/>
      <c r="AH39" s="431"/>
      <c r="AI39" s="375"/>
      <c r="AJ39" s="375"/>
      <c r="AK39" s="432"/>
      <c r="AL39" s="432"/>
      <c r="AM39" s="433"/>
      <c r="AN39" s="435"/>
      <c r="AO39" s="434"/>
      <c r="AP39" s="434"/>
      <c r="AQ39" s="434"/>
      <c r="AR39" s="434"/>
      <c r="AS39" s="434"/>
      <c r="AT39" s="434"/>
      <c r="AU39" s="434"/>
      <c r="AV39" s="434"/>
      <c r="AW39" s="434"/>
      <c r="AX39" s="434"/>
      <c r="AY39" s="434"/>
      <c r="AZ39" s="436"/>
      <c r="BA39" s="463"/>
      <c r="BB39" s="375"/>
      <c r="BC39" s="464"/>
      <c r="BD39" s="436"/>
      <c r="BE39" s="375"/>
      <c r="BF39" s="431"/>
      <c r="BG39" s="431"/>
      <c r="BH39" s="437"/>
      <c r="BI39" s="431"/>
      <c r="BJ39" s="431"/>
      <c r="BK39" s="431"/>
      <c r="BL39" s="431"/>
      <c r="BM39" s="438"/>
      <c r="BN39" s="431"/>
      <c r="BO39" s="431"/>
      <c r="BP39" s="439"/>
      <c r="BQ39" s="439"/>
      <c r="BR39" s="439"/>
      <c r="BS39" s="437"/>
      <c r="BT39" s="437"/>
      <c r="BU39" s="439"/>
      <c r="BV39" s="431"/>
      <c r="BW39" s="494"/>
      <c r="BX39" s="494"/>
      <c r="BY39" s="494"/>
      <c r="BZ39" s="494"/>
      <c r="CA39" s="494"/>
      <c r="CB39" s="494"/>
    </row>
    <row r="43" spans="1:80" s="426" customFormat="1" ht="15" customHeight="1" x14ac:dyDescent="0.25">
      <c r="C43" s="521"/>
      <c r="D43" s="194"/>
      <c r="E43" s="194"/>
      <c r="F43" s="427"/>
      <c r="G43" s="427"/>
      <c r="H43" s="194"/>
      <c r="I43" s="194"/>
      <c r="J43" s="194"/>
      <c r="K43" s="194"/>
      <c r="L43" s="194"/>
      <c r="M43" s="194"/>
      <c r="N43" s="194"/>
      <c r="O43" s="194"/>
      <c r="P43" s="194"/>
      <c r="Q43" s="194"/>
      <c r="R43" s="194"/>
      <c r="S43" s="194"/>
      <c r="T43" s="194"/>
      <c r="U43" s="375"/>
      <c r="V43" s="375"/>
      <c r="W43" s="375"/>
      <c r="X43" s="375"/>
      <c r="Y43" s="375"/>
      <c r="Z43" s="375"/>
      <c r="AA43" s="375"/>
      <c r="AB43" s="375"/>
      <c r="AC43" s="375"/>
      <c r="AD43" s="375"/>
      <c r="AE43" s="375"/>
      <c r="AF43" s="375"/>
      <c r="AG43" s="375"/>
      <c r="AH43" s="431"/>
      <c r="AI43" s="375"/>
      <c r="AJ43" s="375"/>
      <c r="AK43" s="432"/>
      <c r="AL43" s="432"/>
      <c r="AM43" s="433"/>
      <c r="AN43" s="434"/>
      <c r="AO43" s="434"/>
      <c r="AP43" s="434"/>
      <c r="AQ43" s="434"/>
      <c r="AR43" s="434"/>
      <c r="AS43" s="435"/>
      <c r="AT43" s="435"/>
      <c r="AU43" s="434"/>
      <c r="AV43" s="434"/>
      <c r="AW43" s="434"/>
      <c r="AX43" s="434"/>
      <c r="AY43" s="434"/>
      <c r="AZ43" s="434"/>
      <c r="BA43" s="434"/>
      <c r="BB43" s="434"/>
      <c r="BC43" s="434"/>
      <c r="BD43" s="434"/>
      <c r="BE43" s="434"/>
      <c r="BF43" s="436"/>
      <c r="BG43" s="463"/>
      <c r="BH43" s="375"/>
      <c r="BI43" s="464"/>
      <c r="BJ43" s="436"/>
      <c r="BK43" s="375"/>
      <c r="BL43" s="431"/>
      <c r="BM43" s="431"/>
      <c r="BN43" s="437"/>
      <c r="BO43" s="431"/>
      <c r="BP43" s="431"/>
      <c r="BQ43" s="431"/>
      <c r="BR43" s="431"/>
      <c r="BS43" s="437"/>
      <c r="BT43" s="437"/>
      <c r="BU43" s="431"/>
      <c r="BV43" s="438"/>
      <c r="BW43" s="495"/>
      <c r="BX43" s="495"/>
      <c r="BY43" s="496"/>
      <c r="BZ43" s="495"/>
      <c r="CA43" s="496"/>
      <c r="CB43" s="495"/>
    </row>
    <row r="45" spans="1:80" s="426" customFormat="1" ht="12.75" customHeight="1" x14ac:dyDescent="0.25">
      <c r="C45" s="521"/>
      <c r="D45" s="194"/>
      <c r="E45" s="194"/>
      <c r="F45" s="427"/>
      <c r="G45" s="427"/>
      <c r="H45" s="194"/>
      <c r="I45" s="194"/>
      <c r="J45" s="194"/>
      <c r="K45" s="194"/>
      <c r="L45" s="194"/>
      <c r="M45" s="194"/>
      <c r="N45" s="194"/>
      <c r="O45" s="194"/>
      <c r="P45" s="194"/>
      <c r="Q45" s="194"/>
      <c r="R45" s="194"/>
      <c r="S45" s="194"/>
      <c r="T45" s="194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431"/>
      <c r="AI45" s="375"/>
      <c r="AJ45" s="375"/>
      <c r="AK45" s="432"/>
      <c r="AL45" s="432"/>
      <c r="AM45" s="433"/>
      <c r="AN45" s="434"/>
      <c r="AO45" s="434"/>
      <c r="AP45" s="434"/>
      <c r="AQ45" s="434"/>
      <c r="AR45" s="434"/>
      <c r="AS45" s="435"/>
      <c r="AT45" s="435"/>
      <c r="AU45" s="434"/>
      <c r="AV45" s="434"/>
      <c r="AW45" s="434"/>
      <c r="AX45" s="434"/>
      <c r="AY45" s="434"/>
      <c r="AZ45" s="434"/>
      <c r="BA45" s="434"/>
      <c r="BB45" s="434"/>
      <c r="BC45" s="434"/>
      <c r="BD45" s="434"/>
      <c r="BE45" s="434"/>
      <c r="BF45" s="436"/>
      <c r="BG45" s="463"/>
      <c r="BH45" s="375"/>
      <c r="BI45" s="464"/>
      <c r="BJ45" s="436"/>
      <c r="BK45" s="375"/>
      <c r="BL45" s="431"/>
      <c r="BM45" s="431"/>
      <c r="BN45" s="437"/>
      <c r="BO45" s="431"/>
      <c r="BP45" s="431"/>
      <c r="BQ45" s="431"/>
      <c r="BR45" s="431"/>
      <c r="BS45" s="437"/>
      <c r="BT45" s="437"/>
      <c r="BU45" s="431"/>
      <c r="BV45" s="438"/>
      <c r="BW45" s="495"/>
      <c r="BX45" s="495"/>
      <c r="BY45" s="496"/>
      <c r="BZ45" s="495"/>
      <c r="CA45" s="496"/>
      <c r="CB45" s="495"/>
    </row>
  </sheetData>
  <protectedRanges>
    <protectedRange sqref="AE9:AH9" name="Nomina2_3_5"/>
  </protectedRanges>
  <mergeCells count="86">
    <mergeCell ref="H17:L17"/>
    <mergeCell ref="AT17:BO17"/>
    <mergeCell ref="T17:AI17"/>
    <mergeCell ref="L6:L7"/>
    <mergeCell ref="A6:A8"/>
    <mergeCell ref="B6:B8"/>
    <mergeCell ref="C6:C8"/>
    <mergeCell ref="D6:D8"/>
    <mergeCell ref="E6:E8"/>
    <mergeCell ref="F6:F8"/>
    <mergeCell ref="G6:G7"/>
    <mergeCell ref="H6:H7"/>
    <mergeCell ref="I6:I7"/>
    <mergeCell ref="J6:J7"/>
    <mergeCell ref="K6:K7"/>
    <mergeCell ref="Y6:Y8"/>
    <mergeCell ref="M6:M7"/>
    <mergeCell ref="N6:N7"/>
    <mergeCell ref="O6:O8"/>
    <mergeCell ref="P6:P8"/>
    <mergeCell ref="Q6:Q7"/>
    <mergeCell ref="R6:R7"/>
    <mergeCell ref="S6:S7"/>
    <mergeCell ref="T6:T7"/>
    <mergeCell ref="U6:U7"/>
    <mergeCell ref="V6:V7"/>
    <mergeCell ref="X6:X7"/>
    <mergeCell ref="W6:W7"/>
    <mergeCell ref="AL6:AL8"/>
    <mergeCell ref="Z6:Z8"/>
    <mergeCell ref="AA6:AA8"/>
    <mergeCell ref="AB6:AB8"/>
    <mergeCell ref="AD6:AD8"/>
    <mergeCell ref="AE6:AE8"/>
    <mergeCell ref="AF6:AF8"/>
    <mergeCell ref="AG6:AG8"/>
    <mergeCell ref="AH6:AH8"/>
    <mergeCell ref="AI6:AI8"/>
    <mergeCell ref="AJ6:AJ8"/>
    <mergeCell ref="AK6:AK8"/>
    <mergeCell ref="BC6:BC8"/>
    <mergeCell ref="AM6:AM8"/>
    <mergeCell ref="AS6:AS8"/>
    <mergeCell ref="AT6:AT8"/>
    <mergeCell ref="AU6:AU8"/>
    <mergeCell ref="AV6:AV8"/>
    <mergeCell ref="AW6:AW8"/>
    <mergeCell ref="AX6:AX8"/>
    <mergeCell ref="AY6:AY8"/>
    <mergeCell ref="AZ6:AZ8"/>
    <mergeCell ref="BA6:BA8"/>
    <mergeCell ref="BB6:BB8"/>
    <mergeCell ref="BP6:BP8"/>
    <mergeCell ref="BD6:BD8"/>
    <mergeCell ref="BE6:BE8"/>
    <mergeCell ref="BF6:BF8"/>
    <mergeCell ref="BG6:BG8"/>
    <mergeCell ref="BH6:BH8"/>
    <mergeCell ref="BI6:BI8"/>
    <mergeCell ref="CB6:CB8"/>
    <mergeCell ref="BQ6:BQ8"/>
    <mergeCell ref="BS6:BS8"/>
    <mergeCell ref="BT6:BT8"/>
    <mergeCell ref="BU6:BU8"/>
    <mergeCell ref="BV6:BV8"/>
    <mergeCell ref="CA6:CA8"/>
    <mergeCell ref="BZ6:BZ8"/>
    <mergeCell ref="BY6:BY8"/>
    <mergeCell ref="BX6:BX8"/>
    <mergeCell ref="BW6:BW8"/>
    <mergeCell ref="A2:BO2"/>
    <mergeCell ref="A3:BO3"/>
    <mergeCell ref="A4:BO4"/>
    <mergeCell ref="D17:F17"/>
    <mergeCell ref="D15:N15"/>
    <mergeCell ref="U15:AI15"/>
    <mergeCell ref="BF15:BL15"/>
    <mergeCell ref="D16:F16"/>
    <mergeCell ref="H16:L16"/>
    <mergeCell ref="U16:AI16"/>
    <mergeCell ref="BF16:BL16"/>
    <mergeCell ref="BJ6:BK7"/>
    <mergeCell ref="BL6:BL8"/>
    <mergeCell ref="BM6:BM8"/>
    <mergeCell ref="BN6:BN8"/>
    <mergeCell ref="BO6:BO8"/>
  </mergeCells>
  <conditionalFormatting sqref="K9:K10">
    <cfRule type="cellIs" dxfId="7" priority="5" operator="equal">
      <formula>0</formula>
    </cfRule>
  </conditionalFormatting>
  <conditionalFormatting sqref="P9 T9:T10">
    <cfRule type="cellIs" dxfId="6" priority="7" operator="equal">
      <formula>0</formula>
    </cfRule>
  </conditionalFormatting>
  <pageMargins left="0" right="0" top="2.1259842519685042" bottom="0.74803149606299213" header="0.31496062992125984" footer="0.31496062992125984"/>
  <pageSetup paperSize="5" scale="59" fitToHeight="0" orientation="landscape" r:id="rId1"/>
  <rowBreaks count="1" manualBreakCount="1">
    <brk id="19" max="16383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7CA88-E880-4D9D-9E72-D51885886EF0}">
  <sheetPr transitionEvaluation="1">
    <tabColor rgb="FFFFFF00"/>
    <pageSetUpPr fitToPage="1"/>
  </sheetPr>
  <dimension ref="A2:AI41"/>
  <sheetViews>
    <sheetView showGridLines="0" topLeftCell="D1" zoomScale="87" zoomScaleNormal="87" workbookViewId="0">
      <selection activeCell="O9" sqref="O9"/>
    </sheetView>
  </sheetViews>
  <sheetFormatPr baseColWidth="10" defaultColWidth="9.85546875" defaultRowHeight="14.4" x14ac:dyDescent="0.2"/>
  <cols>
    <col min="1" max="1" width="5.42578125" style="1" bestFit="1" customWidth="1"/>
    <col min="2" max="2" width="4.140625" style="1" hidden="1" customWidth="1"/>
    <col min="3" max="3" width="16.42578125" style="1" hidden="1" customWidth="1"/>
    <col min="4" max="4" width="28.28515625" style="1" customWidth="1"/>
    <col min="5" max="5" width="5.28515625" style="1" customWidth="1"/>
    <col min="6" max="6" width="6" style="5" bestFit="1" customWidth="1"/>
    <col min="7" max="7" width="23.28515625" style="5" hidden="1" customWidth="1"/>
    <col min="8" max="8" width="12.42578125" style="5" hidden="1" customWidth="1"/>
    <col min="9" max="9" width="12.42578125" style="575" hidden="1" customWidth="1"/>
    <col min="10" max="10" width="15.140625" style="1" customWidth="1"/>
    <col min="11" max="11" width="17.42578125" style="1" bestFit="1" customWidth="1"/>
    <col min="12" max="12" width="12.42578125" style="6" bestFit="1" customWidth="1"/>
    <col min="13" max="13" width="9" style="6" hidden="1" customWidth="1"/>
    <col min="14" max="14" width="12" style="6" hidden="1" customWidth="1"/>
    <col min="15" max="15" width="8.85546875" style="6" customWidth="1"/>
    <col min="16" max="16" width="15.42578125" style="1" customWidth="1"/>
    <col min="17" max="17" width="13.7109375" style="1" customWidth="1"/>
    <col min="18" max="18" width="14.28515625" style="1" customWidth="1"/>
    <col min="19" max="19" width="16.85546875" style="1" bestFit="1" customWidth="1"/>
    <col min="20" max="20" width="13.28515625" style="1" hidden="1" customWidth="1"/>
    <col min="21" max="21" width="12.42578125" style="1" customWidth="1"/>
    <col min="22" max="22" width="8.42578125" style="1" customWidth="1"/>
    <col min="23" max="23" width="10.42578125" style="1" customWidth="1"/>
    <col min="24" max="24" width="14.85546875" style="1" bestFit="1" customWidth="1"/>
    <col min="25" max="25" width="15.85546875" style="1" customWidth="1"/>
    <col min="26" max="26" width="13.42578125" style="1" customWidth="1"/>
    <col min="27" max="27" width="12.42578125" style="1" customWidth="1"/>
    <col min="28" max="28" width="17.85546875" style="1" customWidth="1"/>
    <col min="29" max="29" width="54" style="1" customWidth="1"/>
    <col min="30" max="30" width="13.140625" style="1" hidden="1" customWidth="1"/>
    <col min="31" max="31" width="17.140625" style="1" hidden="1" customWidth="1"/>
    <col min="32" max="32" width="38.85546875" style="1" customWidth="1"/>
    <col min="33" max="33" width="3.85546875" style="1" customWidth="1"/>
    <col min="34" max="34" width="8.85546875" style="1" customWidth="1"/>
    <col min="35" max="36" width="1.85546875" style="1" customWidth="1"/>
    <col min="37" max="37" width="13.85546875" style="1" customWidth="1"/>
    <col min="38" max="38" width="6.85546875" style="1" customWidth="1"/>
    <col min="39" max="39" width="5.85546875" style="1" customWidth="1"/>
    <col min="40" max="40" width="7.85546875" style="1" customWidth="1"/>
    <col min="41" max="41" width="1.85546875" style="1" customWidth="1"/>
    <col min="42" max="42" width="38.85546875" style="1" customWidth="1"/>
    <col min="43" max="43" width="3.85546875" style="1" customWidth="1"/>
    <col min="44" max="44" width="8.85546875" style="1" customWidth="1"/>
    <col min="45" max="45" width="1.85546875" style="1" customWidth="1"/>
    <col min="46" max="16384" width="9.85546875" style="1"/>
  </cols>
  <sheetData>
    <row r="2" spans="1:35" s="15" customFormat="1" ht="17.25" customHeight="1" x14ac:dyDescent="0.2">
      <c r="A2" s="1177" t="s">
        <v>278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</row>
    <row r="3" spans="1:35" s="15" customFormat="1" ht="17.25" customHeight="1" x14ac:dyDescent="0.2">
      <c r="A3" s="1177" t="s">
        <v>323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1177"/>
      <c r="AA3" s="1177"/>
      <c r="AB3" s="1177"/>
      <c r="AC3" s="1177"/>
      <c r="AD3" s="1177"/>
      <c r="AE3" s="1177"/>
    </row>
    <row r="4" spans="1:35" s="15" customFormat="1" ht="17.25" customHeight="1" x14ac:dyDescent="0.3">
      <c r="A4" s="1178" t="str">
        <f>+TECNICOS!A4</f>
        <v>QUINCENA DEL 16  AL 30  DE ABRIL - 2026</v>
      </c>
      <c r="B4" s="1178"/>
      <c r="C4" s="1178"/>
      <c r="D4" s="1178"/>
      <c r="E4" s="1178"/>
      <c r="F4" s="1178"/>
      <c r="G4" s="1178"/>
      <c r="H4" s="1178"/>
      <c r="I4" s="1178"/>
      <c r="J4" s="1178"/>
      <c r="K4" s="1178"/>
      <c r="L4" s="1178"/>
      <c r="M4" s="1178"/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1178"/>
      <c r="AA4" s="1178"/>
      <c r="AB4" s="1178"/>
      <c r="AC4" s="1178"/>
      <c r="AD4" s="1178"/>
      <c r="AE4" s="1178"/>
    </row>
    <row r="5" spans="1:35" s="15" customFormat="1" ht="18" customHeight="1" thickBot="1" x14ac:dyDescent="0.35">
      <c r="A5" s="74"/>
      <c r="B5" s="75"/>
      <c r="C5" s="74"/>
      <c r="D5" s="74"/>
      <c r="E5" s="74"/>
      <c r="F5" s="74"/>
      <c r="G5" s="74"/>
      <c r="H5" s="74"/>
      <c r="I5" s="590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26"/>
      <c r="AD5" s="26"/>
      <c r="AE5" s="26"/>
    </row>
    <row r="6" spans="1:35" s="11" customFormat="1" ht="15" customHeight="1" thickTop="1" thickBot="1" x14ac:dyDescent="0.25">
      <c r="A6" s="1143" t="s">
        <v>2</v>
      </c>
      <c r="B6" s="1143" t="s">
        <v>3</v>
      </c>
      <c r="C6" s="1143" t="s">
        <v>4</v>
      </c>
      <c r="D6" s="1143" t="s">
        <v>6</v>
      </c>
      <c r="E6" s="1179" t="s">
        <v>187</v>
      </c>
      <c r="F6" s="1143" t="s">
        <v>7</v>
      </c>
      <c r="G6" s="1144" t="s">
        <v>126</v>
      </c>
      <c r="H6" s="1182" t="s">
        <v>125</v>
      </c>
      <c r="I6" s="1511" t="s">
        <v>82</v>
      </c>
      <c r="J6" s="1143" t="s">
        <v>8</v>
      </c>
      <c r="K6" s="1151" t="s">
        <v>9</v>
      </c>
      <c r="L6" s="1151"/>
      <c r="M6" s="1151"/>
      <c r="N6" s="1151"/>
      <c r="O6" s="1151"/>
      <c r="P6" s="1151"/>
      <c r="Q6" s="351"/>
      <c r="R6" s="351"/>
      <c r="S6" s="1143" t="s">
        <v>10</v>
      </c>
      <c r="T6" s="1143"/>
      <c r="U6" s="1143"/>
      <c r="V6" s="1143"/>
      <c r="W6" s="1143"/>
      <c r="X6" s="1143"/>
      <c r="Y6" s="1335" t="s">
        <v>29</v>
      </c>
      <c r="Z6" s="1143" t="s">
        <v>31</v>
      </c>
      <c r="AA6" s="1157" t="s">
        <v>99</v>
      </c>
      <c r="AB6" s="1143" t="s">
        <v>11</v>
      </c>
      <c r="AC6" s="1173" t="s">
        <v>12</v>
      </c>
      <c r="AD6" s="1143"/>
      <c r="AE6" s="1143"/>
    </row>
    <row r="7" spans="1:35" s="13" customFormat="1" ht="21.75" customHeight="1" thickTop="1" thickBot="1" x14ac:dyDescent="0.25">
      <c r="A7" s="1143"/>
      <c r="B7" s="1143"/>
      <c r="C7" s="1143"/>
      <c r="D7" s="1143"/>
      <c r="E7" s="1180"/>
      <c r="F7" s="1143"/>
      <c r="G7" s="1144"/>
      <c r="H7" s="1182"/>
      <c r="I7" s="1512"/>
      <c r="J7" s="1143"/>
      <c r="K7" s="1143" t="s">
        <v>177</v>
      </c>
      <c r="L7" s="1155" t="s">
        <v>16</v>
      </c>
      <c r="M7" s="1168" t="s">
        <v>196</v>
      </c>
      <c r="N7" s="1168" t="s">
        <v>197</v>
      </c>
      <c r="O7" s="1333" t="s">
        <v>195</v>
      </c>
      <c r="P7" s="1143" t="s">
        <v>200</v>
      </c>
      <c r="Q7" s="1335" t="s">
        <v>199</v>
      </c>
      <c r="R7" s="1335" t="s">
        <v>53</v>
      </c>
      <c r="S7" s="1143" t="s">
        <v>29</v>
      </c>
      <c r="T7" s="1335"/>
      <c r="U7" s="1335" t="s">
        <v>3</v>
      </c>
      <c r="V7" s="1143" t="s">
        <v>19</v>
      </c>
      <c r="W7" s="1143" t="s">
        <v>94</v>
      </c>
      <c r="X7" s="1143" t="s">
        <v>20</v>
      </c>
      <c r="Y7" s="1337"/>
      <c r="Z7" s="1143"/>
      <c r="AA7" s="1157"/>
      <c r="AB7" s="1143"/>
      <c r="AC7" s="1173"/>
      <c r="AD7" s="1143"/>
      <c r="AE7" s="1143"/>
      <c r="AF7" s="12"/>
      <c r="AG7" s="12"/>
      <c r="AH7" s="12"/>
      <c r="AI7" s="12"/>
    </row>
    <row r="8" spans="1:35" s="13" customFormat="1" ht="43.65" customHeight="1" thickTop="1" thickBot="1" x14ac:dyDescent="0.25">
      <c r="A8" s="1143"/>
      <c r="B8" s="1143"/>
      <c r="C8" s="1143"/>
      <c r="D8" s="1143"/>
      <c r="E8" s="1181"/>
      <c r="F8" s="1143"/>
      <c r="G8" s="1144"/>
      <c r="H8" s="1182"/>
      <c r="I8" s="1513"/>
      <c r="J8" s="1143"/>
      <c r="K8" s="1143"/>
      <c r="L8" s="1155"/>
      <c r="M8" s="1169"/>
      <c r="N8" s="1169"/>
      <c r="O8" s="1334"/>
      <c r="P8" s="1143"/>
      <c r="Q8" s="1336"/>
      <c r="R8" s="1336"/>
      <c r="S8" s="1143"/>
      <c r="T8" s="1336"/>
      <c r="U8" s="1336"/>
      <c r="V8" s="1143"/>
      <c r="W8" s="1143"/>
      <c r="X8" s="1143"/>
      <c r="Y8" s="1336"/>
      <c r="Z8" s="1143"/>
      <c r="AA8" s="1157"/>
      <c r="AB8" s="1143"/>
      <c r="AC8" s="1173"/>
      <c r="AD8" s="1143"/>
      <c r="AE8" s="1143"/>
    </row>
    <row r="9" spans="1:35" s="326" customFormat="1" ht="85.2" customHeight="1" thickTop="1" thickBot="1" x14ac:dyDescent="0.25">
      <c r="A9" s="319">
        <v>1</v>
      </c>
      <c r="B9" s="320">
        <v>1</v>
      </c>
      <c r="C9" s="334"/>
      <c r="D9" s="633" t="s">
        <v>320</v>
      </c>
      <c r="E9" s="211" t="s">
        <v>32</v>
      </c>
      <c r="F9" s="352" t="s">
        <v>264</v>
      </c>
      <c r="G9" s="78"/>
      <c r="H9" s="79"/>
      <c r="I9" s="567">
        <v>202</v>
      </c>
      <c r="J9" s="583">
        <v>8250</v>
      </c>
      <c r="K9" s="583">
        <f>(J9/30)*L9</f>
        <v>0</v>
      </c>
      <c r="L9" s="628">
        <v>0</v>
      </c>
      <c r="M9" s="328">
        <f>+N9*O9</f>
        <v>0</v>
      </c>
      <c r="N9" s="584">
        <f>I9*60%</f>
        <v>121.19999999999999</v>
      </c>
      <c r="O9" s="328">
        <v>0</v>
      </c>
      <c r="P9" s="585">
        <f>+K9-Q9-R9</f>
        <v>0</v>
      </c>
      <c r="Q9" s="585">
        <f>+K9/12</f>
        <v>0</v>
      </c>
      <c r="R9" s="585">
        <f>+Q9</f>
        <v>0</v>
      </c>
      <c r="S9" s="583">
        <f>+R9+P9+Q9</f>
        <v>0</v>
      </c>
      <c r="T9" s="321">
        <f>P9+Q9</f>
        <v>0</v>
      </c>
      <c r="U9" s="321"/>
      <c r="V9" s="321"/>
      <c r="W9" s="321"/>
      <c r="X9" s="324">
        <f>U9</f>
        <v>0</v>
      </c>
      <c r="Y9" s="585">
        <f>-X9+P9+Q9+R9</f>
        <v>0</v>
      </c>
      <c r="Z9" s="324">
        <v>0</v>
      </c>
      <c r="AA9" s="324">
        <v>0</v>
      </c>
      <c r="AB9" s="355">
        <f>Y9+Z9-AA9</f>
        <v>0</v>
      </c>
      <c r="AC9" s="325"/>
      <c r="AD9" s="325">
        <v>0.155</v>
      </c>
      <c r="AE9" s="325">
        <f>S9-R9</f>
        <v>0</v>
      </c>
    </row>
    <row r="10" spans="1:35" s="7" customFormat="1" ht="75" customHeight="1" thickTop="1" thickBot="1" x14ac:dyDescent="0.25">
      <c r="A10" s="1162" t="s">
        <v>95</v>
      </c>
      <c r="B10" s="1163"/>
      <c r="C10" s="1163"/>
      <c r="D10" s="1164"/>
      <c r="E10" s="211"/>
      <c r="F10" s="210"/>
      <c r="G10" s="85" t="e">
        <f>SUM(#REF!)</f>
        <v>#REF!</v>
      </c>
      <c r="H10" s="85"/>
      <c r="I10" s="591" t="e">
        <f>SUM(#REF!)</f>
        <v>#REF!</v>
      </c>
      <c r="J10" s="86">
        <f t="shared" ref="J10:AB10" si="0">SUM(J9:J9)</f>
        <v>8250</v>
      </c>
      <c r="K10" s="86">
        <f t="shared" si="0"/>
        <v>0</v>
      </c>
      <c r="L10" s="86">
        <f t="shared" si="0"/>
        <v>0</v>
      </c>
      <c r="M10" s="86">
        <f t="shared" si="0"/>
        <v>0</v>
      </c>
      <c r="N10" s="86">
        <f t="shared" si="0"/>
        <v>121.19999999999999</v>
      </c>
      <c r="O10" s="86">
        <f t="shared" si="0"/>
        <v>0</v>
      </c>
      <c r="P10" s="86">
        <f t="shared" si="0"/>
        <v>0</v>
      </c>
      <c r="Q10" s="86">
        <f t="shared" si="0"/>
        <v>0</v>
      </c>
      <c r="R10" s="86">
        <f t="shared" si="0"/>
        <v>0</v>
      </c>
      <c r="S10" s="86">
        <f t="shared" si="0"/>
        <v>0</v>
      </c>
      <c r="T10" s="86">
        <f t="shared" si="0"/>
        <v>0</v>
      </c>
      <c r="U10" s="86">
        <f t="shared" si="0"/>
        <v>0</v>
      </c>
      <c r="V10" s="86">
        <f t="shared" si="0"/>
        <v>0</v>
      </c>
      <c r="W10" s="86">
        <f t="shared" si="0"/>
        <v>0</v>
      </c>
      <c r="X10" s="86">
        <f t="shared" si="0"/>
        <v>0</v>
      </c>
      <c r="Y10" s="86">
        <f t="shared" si="0"/>
        <v>0</v>
      </c>
      <c r="Z10" s="86">
        <f t="shared" si="0"/>
        <v>0</v>
      </c>
      <c r="AA10" s="86">
        <f t="shared" si="0"/>
        <v>0</v>
      </c>
      <c r="AB10" s="163">
        <f t="shared" si="0"/>
        <v>0</v>
      </c>
      <c r="AC10" s="87" t="s">
        <v>105</v>
      </c>
      <c r="AD10" s="86" t="e">
        <f>SUM(#REF!)</f>
        <v>#REF!</v>
      </c>
      <c r="AE10" s="86" t="e">
        <f>SUM(#REF!)</f>
        <v>#REF!</v>
      </c>
    </row>
    <row r="11" spans="1:35" s="14" customFormat="1" ht="19.5" customHeight="1" thickTop="1" x14ac:dyDescent="0.2">
      <c r="A11" s="27"/>
      <c r="B11" s="27"/>
      <c r="C11" s="27"/>
      <c r="D11" s="27"/>
      <c r="E11" s="27"/>
      <c r="F11" s="28"/>
      <c r="G11" s="28"/>
      <c r="H11" s="28"/>
      <c r="I11" s="568"/>
      <c r="J11" s="27"/>
      <c r="K11" s="27"/>
      <c r="L11" s="29"/>
      <c r="M11" s="29"/>
      <c r="N11" s="29"/>
      <c r="O11" s="29"/>
      <c r="P11" s="27" t="s">
        <v>5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 spans="1:35" s="14" customFormat="1" ht="19.5" customHeight="1" x14ac:dyDescent="0.2">
      <c r="A12" s="27"/>
      <c r="B12" s="27"/>
      <c r="C12" s="27"/>
      <c r="D12" s="27"/>
      <c r="E12" s="27"/>
      <c r="F12" s="28"/>
      <c r="G12" s="28"/>
      <c r="H12" s="28"/>
      <c r="I12" s="568"/>
      <c r="J12" s="27"/>
      <c r="K12" s="27"/>
      <c r="L12" s="29"/>
      <c r="M12" s="29"/>
      <c r="N12" s="29"/>
      <c r="O12" s="29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spans="1:35" s="14" customFormat="1" ht="19.5" customHeight="1" x14ac:dyDescent="0.2">
      <c r="A13" s="27"/>
      <c r="B13" s="27"/>
      <c r="C13" s="27"/>
      <c r="D13" s="27"/>
      <c r="E13" s="27"/>
      <c r="F13" s="28"/>
      <c r="G13" s="28"/>
      <c r="H13" s="28"/>
      <c r="I13" s="568"/>
      <c r="J13" s="27"/>
      <c r="K13" s="27"/>
      <c r="L13" s="29"/>
      <c r="M13" s="29"/>
      <c r="N13" s="29"/>
      <c r="O13" s="29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5" s="14" customFormat="1" ht="19.5" customHeight="1" x14ac:dyDescent="0.2">
      <c r="A14" s="27"/>
      <c r="B14" s="27"/>
      <c r="C14" s="27"/>
      <c r="D14" s="27"/>
      <c r="E14" s="27"/>
      <c r="F14" s="28"/>
      <c r="G14" s="28"/>
      <c r="H14" s="28"/>
      <c r="I14" s="569"/>
      <c r="J14" s="338"/>
      <c r="K14" s="27"/>
      <c r="L14" s="29"/>
      <c r="M14" s="29"/>
      <c r="N14" s="29"/>
      <c r="O14" s="29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35" s="11" customFormat="1" x14ac:dyDescent="0.2">
      <c r="A15" s="27"/>
      <c r="B15" s="27"/>
      <c r="C15" s="27"/>
      <c r="D15" s="27"/>
      <c r="E15" s="27"/>
      <c r="F15" s="28"/>
      <c r="G15" s="28"/>
      <c r="H15" s="28"/>
      <c r="I15" s="568"/>
      <c r="J15" s="27"/>
      <c r="K15" s="27"/>
      <c r="L15" s="29"/>
      <c r="M15" s="29"/>
      <c r="N15" s="29"/>
      <c r="O15" s="29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5" s="11" customFormat="1" x14ac:dyDescent="0.2">
      <c r="A16" s="30"/>
      <c r="B16" s="27"/>
      <c r="C16" s="30"/>
      <c r="D16" s="27"/>
      <c r="E16" s="27"/>
      <c r="F16" s="28"/>
      <c r="G16" s="28"/>
      <c r="H16" s="28"/>
      <c r="I16" s="568"/>
      <c r="J16" s="27"/>
      <c r="K16" s="27"/>
      <c r="L16" s="29"/>
      <c r="M16" s="29"/>
      <c r="N16" s="29"/>
      <c r="O16" s="29"/>
      <c r="P16" s="30"/>
      <c r="Q16" s="30"/>
      <c r="R16" s="30"/>
      <c r="S16" s="27"/>
      <c r="T16" s="27"/>
      <c r="U16" s="27"/>
      <c r="V16" s="27"/>
      <c r="W16" s="31"/>
      <c r="X16" s="27"/>
      <c r="Y16" s="27"/>
      <c r="Z16" s="27"/>
      <c r="AA16" s="27"/>
      <c r="AB16" s="30"/>
      <c r="AC16" s="27"/>
      <c r="AD16" s="27"/>
      <c r="AE16" s="27"/>
    </row>
    <row r="17" spans="1:31" s="11" customFormat="1" x14ac:dyDescent="0.2">
      <c r="A17" s="30"/>
      <c r="B17" s="27"/>
      <c r="C17" s="30"/>
      <c r="D17" s="27"/>
      <c r="E17" s="27"/>
      <c r="F17" s="28"/>
      <c r="G17" s="28"/>
      <c r="H17" s="28"/>
      <c r="I17" s="568"/>
      <c r="J17" s="27"/>
      <c r="K17" s="27"/>
      <c r="L17" s="29"/>
      <c r="M17" s="29"/>
      <c r="N17" s="29"/>
      <c r="O17" s="29"/>
      <c r="P17" s="30"/>
      <c r="Q17" s="30"/>
      <c r="R17" s="30"/>
      <c r="S17" s="27"/>
      <c r="T17" s="27"/>
      <c r="U17" s="27"/>
      <c r="V17" s="27"/>
      <c r="W17" s="32"/>
      <c r="X17" s="27"/>
      <c r="Y17" s="27"/>
      <c r="Z17" s="27"/>
      <c r="AA17" s="27"/>
      <c r="AB17" s="30"/>
      <c r="AC17" s="27"/>
      <c r="AD17" s="27"/>
      <c r="AE17" s="27"/>
    </row>
    <row r="18" spans="1:31" s="11" customFormat="1" x14ac:dyDescent="0.2">
      <c r="A18" s="30"/>
      <c r="B18" s="27"/>
      <c r="C18" s="1165"/>
      <c r="D18" s="1165"/>
      <c r="E18" s="1165"/>
      <c r="F18" s="1165"/>
      <c r="G18" s="49"/>
      <c r="H18" s="49"/>
      <c r="I18" s="570"/>
      <c r="J18" s="27"/>
      <c r="K18" s="27"/>
      <c r="L18" s="538"/>
      <c r="M18" s="538"/>
      <c r="N18" s="538"/>
      <c r="O18" s="538"/>
      <c r="P18" s="538"/>
      <c r="Q18" s="536"/>
      <c r="R18" s="536"/>
      <c r="S18" s="536"/>
      <c r="T18" s="536"/>
      <c r="U18" s="536"/>
      <c r="V18" s="538"/>
      <c r="W18" s="538"/>
      <c r="X18" s="538"/>
      <c r="Y18" s="29"/>
      <c r="Z18" s="27"/>
      <c r="AA18" s="27"/>
      <c r="AB18" s="1165"/>
      <c r="AC18" s="1165"/>
      <c r="AD18" s="1165"/>
      <c r="AE18" s="1165"/>
    </row>
    <row r="19" spans="1:31" s="11" customFormat="1" ht="13.5" customHeight="1" x14ac:dyDescent="0.2">
      <c r="A19" s="27"/>
      <c r="B19" s="27"/>
      <c r="C19" s="1167" t="s">
        <v>23</v>
      </c>
      <c r="D19" s="1167"/>
      <c r="E19" s="1167"/>
      <c r="F19" s="1167"/>
      <c r="G19" s="52"/>
      <c r="H19" s="52"/>
      <c r="I19" s="571"/>
      <c r="J19" s="27"/>
      <c r="K19" s="27"/>
      <c r="L19" s="1160" t="s">
        <v>24</v>
      </c>
      <c r="M19" s="1160"/>
      <c r="N19" s="1160"/>
      <c r="O19" s="1160"/>
      <c r="P19" s="1160"/>
      <c r="Q19" s="1160"/>
      <c r="R19" s="1160"/>
      <c r="S19" s="1160"/>
      <c r="T19" s="1160"/>
      <c r="U19" s="1160"/>
      <c r="V19" s="1160"/>
      <c r="W19" s="1160"/>
      <c r="X19" s="1160"/>
      <c r="Y19" s="52"/>
      <c r="Z19" s="27"/>
      <c r="AA19" s="27"/>
      <c r="AB19" s="1167" t="s">
        <v>25</v>
      </c>
      <c r="AC19" s="1167"/>
      <c r="AD19" s="1167"/>
      <c r="AE19" s="1167"/>
    </row>
    <row r="20" spans="1:31" s="11" customFormat="1" x14ac:dyDescent="0.2">
      <c r="A20" s="30"/>
      <c r="B20" s="27"/>
      <c r="C20" s="1159" t="str">
        <f>+'ADMON COM. '!C50:F50</f>
        <v>Jose Martin Conrrado</v>
      </c>
      <c r="D20" s="1159"/>
      <c r="E20" s="1159"/>
      <c r="F20" s="1159"/>
      <c r="G20" s="48"/>
      <c r="H20" s="48"/>
      <c r="I20" s="572"/>
      <c r="J20" s="27"/>
      <c r="K20" s="30"/>
      <c r="L20" s="1159" t="s">
        <v>271</v>
      </c>
      <c r="M20" s="1159"/>
      <c r="N20" s="1159"/>
      <c r="O20" s="1159"/>
      <c r="P20" s="1159"/>
      <c r="Q20" s="1159"/>
      <c r="R20" s="1159"/>
      <c r="S20" s="1159"/>
      <c r="T20" s="1159"/>
      <c r="U20" s="1159"/>
      <c r="V20" s="1159"/>
      <c r="W20" s="1159"/>
      <c r="X20" s="1159"/>
      <c r="Y20" s="48"/>
      <c r="Z20" s="33"/>
      <c r="AA20" s="33"/>
      <c r="AB20" s="1160" t="s">
        <v>27</v>
      </c>
      <c r="AC20" s="1160"/>
      <c r="AD20" s="1160"/>
      <c r="AE20" s="1160"/>
    </row>
    <row r="21" spans="1:31" s="11" customFormat="1" x14ac:dyDescent="0.2">
      <c r="A21" s="8"/>
      <c r="B21" s="8"/>
      <c r="C21" s="1161"/>
      <c r="D21" s="1161"/>
      <c r="E21" s="25"/>
      <c r="F21" s="25"/>
      <c r="G21" s="25"/>
      <c r="H21" s="25"/>
      <c r="I21" s="573"/>
      <c r="J21" s="8"/>
      <c r="K21" s="8"/>
      <c r="L21" s="9"/>
      <c r="M21" s="9"/>
      <c r="N21" s="9"/>
      <c r="O21" s="9"/>
      <c r="P21" s="1161"/>
      <c r="Q21" s="1161"/>
      <c r="R21" s="1161"/>
      <c r="S21" s="1161"/>
      <c r="T21" s="1161"/>
      <c r="U21" s="1161"/>
      <c r="V21" s="1161"/>
      <c r="W21" s="25"/>
      <c r="X21" s="25"/>
      <c r="Y21" s="25"/>
      <c r="Z21" s="25"/>
      <c r="AA21" s="25"/>
      <c r="AB21" s="8"/>
      <c r="AC21" s="8"/>
      <c r="AD21" s="8"/>
      <c r="AE21" s="8"/>
    </row>
    <row r="22" spans="1:31" x14ac:dyDescent="0.2">
      <c r="A22" s="3"/>
      <c r="B22" s="3"/>
      <c r="C22" s="3"/>
      <c r="D22" s="3"/>
      <c r="E22" s="3"/>
      <c r="F22" s="4"/>
      <c r="G22" s="4"/>
      <c r="H22" s="4"/>
      <c r="I22" s="574"/>
      <c r="J22" s="3"/>
      <c r="K22" s="3"/>
      <c r="L22" s="2"/>
      <c r="M22" s="2"/>
      <c r="N22" s="2"/>
      <c r="O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">
      <c r="A23" s="3"/>
      <c r="B23" s="3"/>
      <c r="C23" s="3"/>
      <c r="D23" s="3"/>
      <c r="E23" s="3"/>
      <c r="F23" s="4"/>
      <c r="G23" s="4"/>
      <c r="H23" s="4"/>
      <c r="I23" s="574"/>
      <c r="J23" s="3"/>
      <c r="K23" s="3"/>
      <c r="L23" s="2"/>
      <c r="M23" s="2"/>
      <c r="N23" s="2"/>
      <c r="O23" s="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">
      <c r="A24" s="3"/>
      <c r="B24" s="3"/>
      <c r="C24" s="3"/>
      <c r="D24" s="3"/>
      <c r="E24" s="3"/>
      <c r="F24" s="4"/>
      <c r="G24" s="4"/>
      <c r="H24" s="4"/>
      <c r="I24" s="574"/>
      <c r="J24" s="3"/>
      <c r="K24" s="3"/>
      <c r="L24" s="2"/>
      <c r="M24" s="2"/>
      <c r="N24" s="2"/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">
      <c r="A25" s="3"/>
      <c r="B25" s="3"/>
      <c r="C25" s="3"/>
      <c r="D25" s="3"/>
      <c r="E25" s="3"/>
      <c r="F25" s="4"/>
      <c r="G25" s="4"/>
      <c r="H25" s="4"/>
      <c r="I25" s="574"/>
      <c r="J25" s="3"/>
      <c r="K25" s="3"/>
      <c r="L25" s="2"/>
      <c r="M25" s="2"/>
      <c r="N25" s="2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2">
      <c r="A26" s="3"/>
      <c r="B26" s="3"/>
      <c r="C26" s="3"/>
      <c r="D26" s="3"/>
      <c r="E26" s="3"/>
      <c r="F26" s="4"/>
      <c r="G26" s="4"/>
      <c r="H26" s="4"/>
      <c r="I26" s="574"/>
      <c r="J26" s="3"/>
      <c r="K26" s="3"/>
      <c r="L26" s="2"/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">
      <c r="A27" s="3"/>
      <c r="B27" s="3"/>
      <c r="C27" s="3"/>
      <c r="D27" s="3"/>
      <c r="E27" s="3"/>
      <c r="F27" s="4"/>
      <c r="G27" s="4"/>
      <c r="H27" s="4"/>
      <c r="I27" s="574"/>
      <c r="J27" s="3"/>
      <c r="K27" s="3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38" spans="1:31" x14ac:dyDescent="0.2">
      <c r="A38" s="3"/>
      <c r="B38" s="3"/>
      <c r="C38" s="3"/>
      <c r="D38" s="3"/>
      <c r="E38" s="3"/>
      <c r="F38" s="4"/>
      <c r="G38" s="4"/>
      <c r="H38" s="4"/>
      <c r="I38" s="574"/>
      <c r="J38" s="3"/>
      <c r="K38" s="3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2">
      <c r="A39" s="3"/>
      <c r="B39" s="3"/>
      <c r="C39" s="3"/>
      <c r="D39" s="3"/>
      <c r="E39" s="3"/>
      <c r="F39" s="4"/>
      <c r="G39" s="4"/>
      <c r="H39" s="4"/>
      <c r="I39" s="574"/>
      <c r="J39" s="3"/>
      <c r="K39" s="3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2">
      <c r="A40" s="3"/>
      <c r="B40" s="3"/>
      <c r="C40" s="3"/>
      <c r="D40" s="3"/>
      <c r="E40" s="3"/>
      <c r="F40" s="4"/>
      <c r="G40" s="4"/>
      <c r="H40" s="4"/>
      <c r="I40" s="574"/>
      <c r="J40" s="3"/>
      <c r="K40" s="3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">
      <c r="A41" s="3"/>
      <c r="B41" s="3"/>
      <c r="C41" s="3"/>
      <c r="D41" s="3"/>
      <c r="E41" s="3"/>
      <c r="F41" s="4"/>
      <c r="G41" s="4"/>
      <c r="H41" s="4"/>
      <c r="I41" s="574"/>
      <c r="J41" s="3"/>
      <c r="K41" s="3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</sheetData>
  <mergeCells count="47">
    <mergeCell ref="A2:AE2"/>
    <mergeCell ref="A3:AE3"/>
    <mergeCell ref="A4:AE4"/>
    <mergeCell ref="A6:A8"/>
    <mergeCell ref="B6:B8"/>
    <mergeCell ref="C6:C8"/>
    <mergeCell ref="D6:D8"/>
    <mergeCell ref="E6:E8"/>
    <mergeCell ref="F6:F8"/>
    <mergeCell ref="G6:G8"/>
    <mergeCell ref="AE6:AE8"/>
    <mergeCell ref="H6:H8"/>
    <mergeCell ref="I6:I8"/>
    <mergeCell ref="J6:J8"/>
    <mergeCell ref="K6:P6"/>
    <mergeCell ref="S6:X6"/>
    <mergeCell ref="Y6:Y8"/>
    <mergeCell ref="K7:K8"/>
    <mergeCell ref="L7:L8"/>
    <mergeCell ref="M7:M8"/>
    <mergeCell ref="N7:N8"/>
    <mergeCell ref="U7:U8"/>
    <mergeCell ref="V7:V8"/>
    <mergeCell ref="W7:W8"/>
    <mergeCell ref="X7:X8"/>
    <mergeCell ref="S7:S8"/>
    <mergeCell ref="T7:T8"/>
    <mergeCell ref="Z6:Z8"/>
    <mergeCell ref="AA6:AA8"/>
    <mergeCell ref="AB6:AB8"/>
    <mergeCell ref="AC6:AC8"/>
    <mergeCell ref="AD6:AD8"/>
    <mergeCell ref="A10:D10"/>
    <mergeCell ref="O7:O8"/>
    <mergeCell ref="P7:P8"/>
    <mergeCell ref="Q7:Q8"/>
    <mergeCell ref="R7:R8"/>
    <mergeCell ref="C21:D21"/>
    <mergeCell ref="P21:V21"/>
    <mergeCell ref="AB18:AE18"/>
    <mergeCell ref="C19:F19"/>
    <mergeCell ref="L19:X19"/>
    <mergeCell ref="AB19:AE19"/>
    <mergeCell ref="C20:F20"/>
    <mergeCell ref="L20:X20"/>
    <mergeCell ref="AB20:AE20"/>
    <mergeCell ref="C18:F18"/>
  </mergeCells>
  <printOptions horizontalCentered="1" verticalCentered="1"/>
  <pageMargins left="0" right="0" top="0.78740157480314965" bottom="0" header="0" footer="0"/>
  <pageSetup paperSize="5" scale="61" orientation="landscape" r:id="rId1"/>
  <headerFooter alignWithMargins="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B4E5B-84AB-446C-B4DE-CEB4491639EB}">
  <sheetPr transitionEvaluation="1">
    <tabColor rgb="FFFFFF00"/>
    <pageSetUpPr fitToPage="1"/>
  </sheetPr>
  <dimension ref="A2:AI41"/>
  <sheetViews>
    <sheetView showGridLines="0" topLeftCell="Y1" zoomScale="87" zoomScaleNormal="87" workbookViewId="0">
      <selection activeCell="AF10" sqref="AF10"/>
    </sheetView>
  </sheetViews>
  <sheetFormatPr baseColWidth="10" defaultColWidth="9.85546875" defaultRowHeight="14.4" x14ac:dyDescent="0.2"/>
  <cols>
    <col min="1" max="1" width="5.42578125" style="1" bestFit="1" customWidth="1"/>
    <col min="2" max="2" width="4.140625" style="1" hidden="1" customWidth="1"/>
    <col min="3" max="3" width="16.42578125" style="1" hidden="1" customWidth="1"/>
    <col min="4" max="4" width="28.28515625" style="1" customWidth="1"/>
    <col min="5" max="5" width="5.28515625" style="1" customWidth="1"/>
    <col min="6" max="6" width="6" style="5" bestFit="1" customWidth="1"/>
    <col min="7" max="7" width="23.28515625" style="5" hidden="1" customWidth="1"/>
    <col min="8" max="8" width="12.42578125" style="5" hidden="1" customWidth="1"/>
    <col min="9" max="9" width="12.42578125" style="575" hidden="1" customWidth="1"/>
    <col min="10" max="10" width="15.140625" style="1" customWidth="1"/>
    <col min="11" max="11" width="17.42578125" style="1" bestFit="1" customWidth="1"/>
    <col min="12" max="12" width="12.42578125" style="6" bestFit="1" customWidth="1"/>
    <col min="13" max="13" width="9" style="6" hidden="1" customWidth="1"/>
    <col min="14" max="14" width="12" style="6" hidden="1" customWidth="1"/>
    <col min="15" max="15" width="8.85546875" style="6" customWidth="1"/>
    <col min="16" max="16" width="15.42578125" style="1" customWidth="1"/>
    <col min="17" max="17" width="13.7109375" style="1" customWidth="1"/>
    <col min="18" max="18" width="14.28515625" style="1" customWidth="1"/>
    <col min="19" max="19" width="16.85546875" style="1" bestFit="1" customWidth="1"/>
    <col min="20" max="20" width="13.28515625" style="1" hidden="1" customWidth="1"/>
    <col min="21" max="21" width="12.42578125" style="1" customWidth="1"/>
    <col min="22" max="22" width="8.42578125" style="1" customWidth="1"/>
    <col min="23" max="23" width="10.42578125" style="1" customWidth="1"/>
    <col min="24" max="24" width="14.85546875" style="1" bestFit="1" customWidth="1"/>
    <col min="25" max="25" width="15.85546875" style="1" customWidth="1"/>
    <col min="26" max="26" width="13.42578125" style="1" customWidth="1"/>
    <col min="27" max="27" width="12.42578125" style="1" customWidth="1"/>
    <col min="28" max="28" width="17.85546875" style="1" customWidth="1"/>
    <col min="29" max="29" width="54" style="1" customWidth="1"/>
    <col min="30" max="30" width="13.140625" style="1" hidden="1" customWidth="1"/>
    <col min="31" max="31" width="17.140625" style="1" hidden="1" customWidth="1"/>
    <col min="32" max="32" width="38.85546875" style="1" customWidth="1"/>
    <col min="33" max="33" width="3.85546875" style="1" customWidth="1"/>
    <col min="34" max="34" width="8.85546875" style="1" customWidth="1"/>
    <col min="35" max="36" width="1.85546875" style="1" customWidth="1"/>
    <col min="37" max="37" width="13.85546875" style="1" customWidth="1"/>
    <col min="38" max="38" width="6.85546875" style="1" customWidth="1"/>
    <col min="39" max="39" width="5.85546875" style="1" customWidth="1"/>
    <col min="40" max="40" width="7.85546875" style="1" customWidth="1"/>
    <col min="41" max="41" width="1.85546875" style="1" customWidth="1"/>
    <col min="42" max="42" width="38.85546875" style="1" customWidth="1"/>
    <col min="43" max="43" width="3.85546875" style="1" customWidth="1"/>
    <col min="44" max="44" width="8.85546875" style="1" customWidth="1"/>
    <col min="45" max="45" width="1.85546875" style="1" customWidth="1"/>
    <col min="46" max="16384" width="9.85546875" style="1"/>
  </cols>
  <sheetData>
    <row r="2" spans="1:35" s="15" customFormat="1" ht="17.25" customHeight="1" x14ac:dyDescent="0.2">
      <c r="A2" s="1177" t="s">
        <v>276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</row>
    <row r="3" spans="1:35" s="15" customFormat="1" ht="17.25" customHeight="1" x14ac:dyDescent="0.2">
      <c r="A3" s="1177" t="s">
        <v>307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1177"/>
      <c r="AA3" s="1177"/>
      <c r="AB3" s="1177"/>
      <c r="AC3" s="1177"/>
      <c r="AD3" s="1177"/>
      <c r="AE3" s="1177"/>
    </row>
    <row r="4" spans="1:35" s="15" customFormat="1" ht="17.25" customHeight="1" x14ac:dyDescent="0.3">
      <c r="A4" s="1178" t="str">
        <f>+TECNICOS!A4</f>
        <v>QUINCENA DEL 16  AL 30  DE ABRIL - 2026</v>
      </c>
      <c r="B4" s="1178"/>
      <c r="C4" s="1178"/>
      <c r="D4" s="1178"/>
      <c r="E4" s="1178"/>
      <c r="F4" s="1178"/>
      <c r="G4" s="1178"/>
      <c r="H4" s="1178"/>
      <c r="I4" s="1178"/>
      <c r="J4" s="1178"/>
      <c r="K4" s="1178"/>
      <c r="L4" s="1178"/>
      <c r="M4" s="1178"/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1178"/>
      <c r="AA4" s="1178"/>
      <c r="AB4" s="1178"/>
      <c r="AC4" s="1178"/>
      <c r="AD4" s="1178"/>
      <c r="AE4" s="1178"/>
    </row>
    <row r="5" spans="1:35" s="15" customFormat="1" ht="18" customHeight="1" thickBot="1" x14ac:dyDescent="0.35">
      <c r="A5" s="74"/>
      <c r="B5" s="75"/>
      <c r="C5" s="74"/>
      <c r="D5" s="74"/>
      <c r="E5" s="74"/>
      <c r="F5" s="74"/>
      <c r="G5" s="74"/>
      <c r="H5" s="74"/>
      <c r="I5" s="590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26"/>
      <c r="AD5" s="26"/>
      <c r="AE5" s="26"/>
    </row>
    <row r="6" spans="1:35" s="11" customFormat="1" ht="15" customHeight="1" thickTop="1" thickBot="1" x14ac:dyDescent="0.25">
      <c r="A6" s="1143" t="s">
        <v>2</v>
      </c>
      <c r="B6" s="1143" t="s">
        <v>3</v>
      </c>
      <c r="C6" s="1143" t="s">
        <v>4</v>
      </c>
      <c r="D6" s="1143" t="s">
        <v>6</v>
      </c>
      <c r="E6" s="1179" t="s">
        <v>187</v>
      </c>
      <c r="F6" s="1143" t="s">
        <v>7</v>
      </c>
      <c r="G6" s="1144" t="s">
        <v>126</v>
      </c>
      <c r="H6" s="1182" t="s">
        <v>125</v>
      </c>
      <c r="I6" s="1511" t="s">
        <v>82</v>
      </c>
      <c r="J6" s="1143" t="s">
        <v>8</v>
      </c>
      <c r="K6" s="1151" t="s">
        <v>9</v>
      </c>
      <c r="L6" s="1151"/>
      <c r="M6" s="1151"/>
      <c r="N6" s="1151"/>
      <c r="O6" s="1151"/>
      <c r="P6" s="1151"/>
      <c r="Q6" s="351"/>
      <c r="R6" s="351"/>
      <c r="S6" s="1143" t="s">
        <v>10</v>
      </c>
      <c r="T6" s="1143"/>
      <c r="U6" s="1143"/>
      <c r="V6" s="1143"/>
      <c r="W6" s="1143"/>
      <c r="X6" s="1143"/>
      <c r="Y6" s="1335" t="s">
        <v>29</v>
      </c>
      <c r="Z6" s="1143" t="s">
        <v>31</v>
      </c>
      <c r="AA6" s="1157" t="s">
        <v>114</v>
      </c>
      <c r="AB6" s="1143" t="s">
        <v>11</v>
      </c>
      <c r="AC6" s="1173" t="s">
        <v>12</v>
      </c>
      <c r="AD6" s="1143"/>
      <c r="AE6" s="1143"/>
    </row>
    <row r="7" spans="1:35" s="13" customFormat="1" ht="21.75" customHeight="1" thickTop="1" thickBot="1" x14ac:dyDescent="0.25">
      <c r="A7" s="1143"/>
      <c r="B7" s="1143"/>
      <c r="C7" s="1143"/>
      <c r="D7" s="1143"/>
      <c r="E7" s="1180"/>
      <c r="F7" s="1143"/>
      <c r="G7" s="1144"/>
      <c r="H7" s="1182"/>
      <c r="I7" s="1512"/>
      <c r="J7" s="1143"/>
      <c r="K7" s="1143" t="s">
        <v>177</v>
      </c>
      <c r="L7" s="1155" t="s">
        <v>16</v>
      </c>
      <c r="M7" s="1168" t="s">
        <v>196</v>
      </c>
      <c r="N7" s="1168" t="s">
        <v>197</v>
      </c>
      <c r="O7" s="1333" t="s">
        <v>195</v>
      </c>
      <c r="P7" s="1143" t="s">
        <v>200</v>
      </c>
      <c r="Q7" s="1335" t="s">
        <v>199</v>
      </c>
      <c r="R7" s="1335" t="s">
        <v>53</v>
      </c>
      <c r="S7" s="1143" t="s">
        <v>29</v>
      </c>
      <c r="T7" s="1335"/>
      <c r="U7" s="1335" t="s">
        <v>3</v>
      </c>
      <c r="V7" s="1143" t="s">
        <v>19</v>
      </c>
      <c r="W7" s="1143" t="s">
        <v>94</v>
      </c>
      <c r="X7" s="1143" t="s">
        <v>20</v>
      </c>
      <c r="Y7" s="1337"/>
      <c r="Z7" s="1143"/>
      <c r="AA7" s="1157"/>
      <c r="AB7" s="1143"/>
      <c r="AC7" s="1173"/>
      <c r="AD7" s="1143"/>
      <c r="AE7" s="1143"/>
      <c r="AF7" s="12"/>
      <c r="AG7" s="12"/>
      <c r="AH7" s="12"/>
      <c r="AI7" s="12"/>
    </row>
    <row r="8" spans="1:35" s="13" customFormat="1" ht="43.65" customHeight="1" thickTop="1" thickBot="1" x14ac:dyDescent="0.25">
      <c r="A8" s="1143"/>
      <c r="B8" s="1143"/>
      <c r="C8" s="1143"/>
      <c r="D8" s="1143"/>
      <c r="E8" s="1181"/>
      <c r="F8" s="1143"/>
      <c r="G8" s="1144"/>
      <c r="H8" s="1182"/>
      <c r="I8" s="1513"/>
      <c r="J8" s="1143"/>
      <c r="K8" s="1143"/>
      <c r="L8" s="1155"/>
      <c r="M8" s="1169"/>
      <c r="N8" s="1169"/>
      <c r="O8" s="1334"/>
      <c r="P8" s="1143"/>
      <c r="Q8" s="1336"/>
      <c r="R8" s="1336"/>
      <c r="S8" s="1143"/>
      <c r="T8" s="1336"/>
      <c r="U8" s="1336"/>
      <c r="V8" s="1143"/>
      <c r="W8" s="1143"/>
      <c r="X8" s="1143"/>
      <c r="Y8" s="1336"/>
      <c r="Z8" s="1143"/>
      <c r="AA8" s="1157"/>
      <c r="AB8" s="1143"/>
      <c r="AC8" s="1173"/>
      <c r="AD8" s="1143"/>
      <c r="AE8" s="1143"/>
    </row>
    <row r="9" spans="1:35" s="326" customFormat="1" ht="85.2" customHeight="1" thickTop="1" thickBot="1" x14ac:dyDescent="0.25">
      <c r="A9" s="319">
        <v>1</v>
      </c>
      <c r="B9" s="320">
        <v>1</v>
      </c>
      <c r="C9" s="334"/>
      <c r="D9" s="633" t="s">
        <v>306</v>
      </c>
      <c r="E9" s="211" t="s">
        <v>32</v>
      </c>
      <c r="F9" s="352" t="s">
        <v>311</v>
      </c>
      <c r="G9" s="78"/>
      <c r="H9" s="79"/>
      <c r="I9" s="567">
        <v>320</v>
      </c>
      <c r="J9" s="583">
        <v>9600</v>
      </c>
      <c r="K9" s="583">
        <f>(J9/30)*L9</f>
        <v>0</v>
      </c>
      <c r="L9" s="628">
        <v>0</v>
      </c>
      <c r="M9" s="328">
        <f>+N9*O9</f>
        <v>0</v>
      </c>
      <c r="N9" s="584">
        <f>I9*60%</f>
        <v>192</v>
      </c>
      <c r="O9" s="328">
        <v>0</v>
      </c>
      <c r="P9" s="585">
        <f>+K9-Q9-R9</f>
        <v>0</v>
      </c>
      <c r="Q9" s="585">
        <f>+K9/12</f>
        <v>0</v>
      </c>
      <c r="R9" s="585">
        <f>+Q9</f>
        <v>0</v>
      </c>
      <c r="S9" s="583">
        <f>+R9+P9+Q9</f>
        <v>0</v>
      </c>
      <c r="T9" s="321">
        <f>P9+Q9</f>
        <v>0</v>
      </c>
      <c r="U9" s="321"/>
      <c r="V9" s="321"/>
      <c r="W9" s="321"/>
      <c r="X9" s="324">
        <f>U9</f>
        <v>0</v>
      </c>
      <c r="Y9" s="585">
        <f>-X9+P9+Q9+R9</f>
        <v>0</v>
      </c>
      <c r="Z9" s="324">
        <v>0</v>
      </c>
      <c r="AA9" s="324">
        <v>0</v>
      </c>
      <c r="AB9" s="355">
        <f>Y9+Z9-AA9</f>
        <v>0</v>
      </c>
      <c r="AC9" s="325"/>
      <c r="AD9" s="325">
        <v>0.155</v>
      </c>
      <c r="AE9" s="325">
        <f>S9-R9</f>
        <v>0</v>
      </c>
    </row>
    <row r="10" spans="1:35" s="7" customFormat="1" ht="75" customHeight="1" thickTop="1" thickBot="1" x14ac:dyDescent="0.25">
      <c r="A10" s="1162" t="s">
        <v>95</v>
      </c>
      <c r="B10" s="1163"/>
      <c r="C10" s="1163"/>
      <c r="D10" s="1164"/>
      <c r="E10" s="211"/>
      <c r="F10" s="210"/>
      <c r="G10" s="85" t="e">
        <f>SUM(#REF!)</f>
        <v>#REF!</v>
      </c>
      <c r="H10" s="85"/>
      <c r="I10" s="591" t="e">
        <f>SUM(#REF!)</f>
        <v>#REF!</v>
      </c>
      <c r="J10" s="86">
        <f>+J9</f>
        <v>9600</v>
      </c>
      <c r="K10" s="86">
        <f>SUM(K9)</f>
        <v>0</v>
      </c>
      <c r="L10" s="86">
        <f t="shared" ref="L10:W10" si="0">SUM(L9)</f>
        <v>0</v>
      </c>
      <c r="M10" s="86">
        <f t="shared" si="0"/>
        <v>0</v>
      </c>
      <c r="N10" s="86">
        <f t="shared" si="0"/>
        <v>192</v>
      </c>
      <c r="O10" s="86">
        <f t="shared" si="0"/>
        <v>0</v>
      </c>
      <c r="P10" s="86">
        <f t="shared" si="0"/>
        <v>0</v>
      </c>
      <c r="Q10" s="86">
        <f t="shared" si="0"/>
        <v>0</v>
      </c>
      <c r="R10" s="86">
        <f t="shared" si="0"/>
        <v>0</v>
      </c>
      <c r="S10" s="86">
        <f t="shared" si="0"/>
        <v>0</v>
      </c>
      <c r="T10" s="86">
        <f t="shared" si="0"/>
        <v>0</v>
      </c>
      <c r="U10" s="86">
        <f t="shared" si="0"/>
        <v>0</v>
      </c>
      <c r="V10" s="86">
        <f t="shared" si="0"/>
        <v>0</v>
      </c>
      <c r="W10" s="86">
        <f t="shared" si="0"/>
        <v>0</v>
      </c>
      <c r="X10" s="86">
        <f t="shared" ref="X10" si="1">SUM(X9)</f>
        <v>0</v>
      </c>
      <c r="Y10" s="86">
        <f t="shared" ref="Y10" si="2">SUM(Y9)</f>
        <v>0</v>
      </c>
      <c r="Z10" s="86">
        <f t="shared" ref="Z10" si="3">SUM(Z9)</f>
        <v>0</v>
      </c>
      <c r="AA10" s="86">
        <f t="shared" ref="AA10" si="4">SUM(AA9)</f>
        <v>0</v>
      </c>
      <c r="AB10" s="163">
        <f t="shared" ref="AB10" si="5">SUM(AB9)</f>
        <v>0</v>
      </c>
      <c r="AC10" s="87" t="s">
        <v>105</v>
      </c>
      <c r="AD10" s="86" t="e">
        <f>SUM(#REF!)</f>
        <v>#REF!</v>
      </c>
      <c r="AE10" s="86" t="e">
        <f>SUM(#REF!)</f>
        <v>#REF!</v>
      </c>
    </row>
    <row r="11" spans="1:35" s="14" customFormat="1" ht="19.5" customHeight="1" thickTop="1" x14ac:dyDescent="0.2">
      <c r="A11" s="27"/>
      <c r="B11" s="27"/>
      <c r="C11" s="27"/>
      <c r="D11" s="27"/>
      <c r="E11" s="27"/>
      <c r="F11" s="28"/>
      <c r="G11" s="28"/>
      <c r="H11" s="28"/>
      <c r="I11" s="568"/>
      <c r="J11" s="27"/>
      <c r="K11" s="27"/>
      <c r="L11" s="29"/>
      <c r="M11" s="29"/>
      <c r="N11" s="29"/>
      <c r="O11" s="29"/>
      <c r="P11" s="27" t="s">
        <v>5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 spans="1:35" s="14" customFormat="1" ht="19.5" customHeight="1" x14ac:dyDescent="0.2">
      <c r="A12" s="27"/>
      <c r="B12" s="27"/>
      <c r="C12" s="27"/>
      <c r="D12" s="27"/>
      <c r="E12" s="27"/>
      <c r="F12" s="28"/>
      <c r="G12" s="28"/>
      <c r="H12" s="28"/>
      <c r="I12" s="568"/>
      <c r="J12" s="27"/>
      <c r="K12" s="27"/>
      <c r="L12" s="29"/>
      <c r="M12" s="29"/>
      <c r="N12" s="29"/>
      <c r="O12" s="29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spans="1:35" s="14" customFormat="1" ht="19.5" customHeight="1" x14ac:dyDescent="0.2">
      <c r="A13" s="27"/>
      <c r="B13" s="27"/>
      <c r="C13" s="27"/>
      <c r="D13" s="27"/>
      <c r="E13" s="27"/>
      <c r="F13" s="28"/>
      <c r="G13" s="28"/>
      <c r="H13" s="28"/>
      <c r="I13" s="568"/>
      <c r="J13" s="27"/>
      <c r="K13" s="27"/>
      <c r="L13" s="29"/>
      <c r="M13" s="29"/>
      <c r="N13" s="29"/>
      <c r="O13" s="29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5" s="14" customFormat="1" ht="19.5" customHeight="1" x14ac:dyDescent="0.2">
      <c r="A14" s="27"/>
      <c r="B14" s="27"/>
      <c r="C14" s="27"/>
      <c r="D14" s="27"/>
      <c r="E14" s="27"/>
      <c r="F14" s="28"/>
      <c r="G14" s="28"/>
      <c r="H14" s="28"/>
      <c r="I14" s="569"/>
      <c r="J14" s="338"/>
      <c r="K14" s="27"/>
      <c r="L14" s="29"/>
      <c r="M14" s="29"/>
      <c r="N14" s="29"/>
      <c r="O14" s="29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35" s="11" customFormat="1" x14ac:dyDescent="0.2">
      <c r="A15" s="27"/>
      <c r="B15" s="27"/>
      <c r="C15" s="27"/>
      <c r="D15" s="27"/>
      <c r="E15" s="27"/>
      <c r="F15" s="28"/>
      <c r="G15" s="28"/>
      <c r="H15" s="28"/>
      <c r="I15" s="568"/>
      <c r="J15" s="27"/>
      <c r="K15" s="27"/>
      <c r="L15" s="29"/>
      <c r="M15" s="29"/>
      <c r="N15" s="29"/>
      <c r="O15" s="29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5" s="11" customFormat="1" x14ac:dyDescent="0.2">
      <c r="A16" s="30"/>
      <c r="B16" s="27"/>
      <c r="C16" s="30"/>
      <c r="D16" s="27"/>
      <c r="E16" s="27"/>
      <c r="F16" s="28"/>
      <c r="G16" s="28"/>
      <c r="H16" s="28"/>
      <c r="I16" s="568"/>
      <c r="J16" s="27"/>
      <c r="K16" s="27"/>
      <c r="L16" s="29"/>
      <c r="M16" s="29"/>
      <c r="N16" s="29"/>
      <c r="O16" s="29"/>
      <c r="P16" s="30"/>
      <c r="Q16" s="30"/>
      <c r="R16" s="30"/>
      <c r="S16" s="27"/>
      <c r="T16" s="27"/>
      <c r="U16" s="27"/>
      <c r="V16" s="27"/>
      <c r="W16" s="31"/>
      <c r="X16" s="27"/>
      <c r="Y16" s="27"/>
      <c r="Z16" s="27"/>
      <c r="AA16" s="27"/>
      <c r="AB16" s="30"/>
      <c r="AC16" s="27"/>
      <c r="AD16" s="27"/>
      <c r="AE16" s="27"/>
    </row>
    <row r="17" spans="1:31" s="11" customFormat="1" x14ac:dyDescent="0.2">
      <c r="A17" s="30"/>
      <c r="B17" s="27"/>
      <c r="C17" s="30"/>
      <c r="D17" s="27"/>
      <c r="E17" s="27"/>
      <c r="F17" s="28"/>
      <c r="G17" s="28"/>
      <c r="H17" s="28"/>
      <c r="I17" s="568"/>
      <c r="J17" s="27"/>
      <c r="K17" s="27"/>
      <c r="L17" s="29"/>
      <c r="M17" s="29"/>
      <c r="N17" s="29"/>
      <c r="O17" s="29"/>
      <c r="P17" s="30"/>
      <c r="Q17" s="30"/>
      <c r="R17" s="30"/>
      <c r="S17" s="27"/>
      <c r="T17" s="27"/>
      <c r="U17" s="27"/>
      <c r="V17" s="27"/>
      <c r="W17" s="32"/>
      <c r="X17" s="27"/>
      <c r="Y17" s="27"/>
      <c r="Z17" s="27"/>
      <c r="AA17" s="27"/>
      <c r="AB17" s="30"/>
      <c r="AC17" s="27"/>
      <c r="AD17" s="27"/>
      <c r="AE17" s="27"/>
    </row>
    <row r="18" spans="1:31" s="11" customFormat="1" x14ac:dyDescent="0.2">
      <c r="A18" s="30"/>
      <c r="B18" s="27"/>
      <c r="C18" s="1165"/>
      <c r="D18" s="1165"/>
      <c r="E18" s="1165"/>
      <c r="F18" s="1165"/>
      <c r="G18" s="49"/>
      <c r="H18" s="49"/>
      <c r="I18" s="570"/>
      <c r="J18" s="27"/>
      <c r="K18" s="27"/>
      <c r="L18" s="538"/>
      <c r="M18" s="538"/>
      <c r="N18" s="538"/>
      <c r="O18" s="538"/>
      <c r="P18" s="538"/>
      <c r="Q18" s="536"/>
      <c r="R18" s="536"/>
      <c r="S18" s="536"/>
      <c r="T18" s="536"/>
      <c r="U18" s="536"/>
      <c r="V18" s="538"/>
      <c r="W18" s="538"/>
      <c r="X18" s="538"/>
      <c r="Y18" s="29"/>
      <c r="Z18" s="27"/>
      <c r="AA18" s="27"/>
      <c r="AB18" s="1165"/>
      <c r="AC18" s="1165"/>
      <c r="AD18" s="1165"/>
      <c r="AE18" s="1165"/>
    </row>
    <row r="19" spans="1:31" s="11" customFormat="1" ht="13.5" customHeight="1" x14ac:dyDescent="0.2">
      <c r="A19" s="27"/>
      <c r="B19" s="27"/>
      <c r="C19" s="1167" t="s">
        <v>23</v>
      </c>
      <c r="D19" s="1167"/>
      <c r="E19" s="1167"/>
      <c r="F19" s="1167"/>
      <c r="G19" s="52"/>
      <c r="H19" s="52"/>
      <c r="I19" s="571"/>
      <c r="J19" s="27"/>
      <c r="K19" s="27"/>
      <c r="L19" s="1160" t="s">
        <v>24</v>
      </c>
      <c r="M19" s="1160"/>
      <c r="N19" s="1160"/>
      <c r="O19" s="1160"/>
      <c r="P19" s="1160"/>
      <c r="Q19" s="1160"/>
      <c r="R19" s="1160"/>
      <c r="S19" s="1160"/>
      <c r="T19" s="1160"/>
      <c r="U19" s="1160"/>
      <c r="V19" s="1160"/>
      <c r="W19" s="1160"/>
      <c r="X19" s="1160"/>
      <c r="Y19" s="52"/>
      <c r="Z19" s="27"/>
      <c r="AA19" s="27"/>
      <c r="AB19" s="1167" t="s">
        <v>25</v>
      </c>
      <c r="AC19" s="1167"/>
      <c r="AD19" s="1167"/>
      <c r="AE19" s="1167"/>
    </row>
    <row r="20" spans="1:31" s="11" customFormat="1" x14ac:dyDescent="0.2">
      <c r="A20" s="30"/>
      <c r="B20" s="27"/>
      <c r="C20" s="1159" t="str">
        <f>+'ADMON COM. '!C50:F50</f>
        <v>Jose Martin Conrrado</v>
      </c>
      <c r="D20" s="1159"/>
      <c r="E20" s="1159"/>
      <c r="F20" s="1159"/>
      <c r="G20" s="48"/>
      <c r="H20" s="48"/>
      <c r="I20" s="572"/>
      <c r="J20" s="27"/>
      <c r="K20" s="30"/>
      <c r="L20" s="1159" t="s">
        <v>271</v>
      </c>
      <c r="M20" s="1159"/>
      <c r="N20" s="1159"/>
      <c r="O20" s="1159"/>
      <c r="P20" s="1159"/>
      <c r="Q20" s="1159"/>
      <c r="R20" s="1159"/>
      <c r="S20" s="1159"/>
      <c r="T20" s="1159"/>
      <c r="U20" s="1159"/>
      <c r="V20" s="1159"/>
      <c r="W20" s="1159"/>
      <c r="X20" s="1159"/>
      <c r="Y20" s="48"/>
      <c r="Z20" s="33"/>
      <c r="AA20" s="33"/>
      <c r="AB20" s="1160" t="s">
        <v>27</v>
      </c>
      <c r="AC20" s="1160"/>
      <c r="AD20" s="1160"/>
      <c r="AE20" s="1160"/>
    </row>
    <row r="21" spans="1:31" s="11" customFormat="1" x14ac:dyDescent="0.2">
      <c r="A21" s="8"/>
      <c r="B21" s="8"/>
      <c r="C21" s="1161"/>
      <c r="D21" s="1161"/>
      <c r="E21" s="25"/>
      <c r="F21" s="25"/>
      <c r="G21" s="25"/>
      <c r="H21" s="25"/>
      <c r="I21" s="573"/>
      <c r="J21" s="8"/>
      <c r="K21" s="8"/>
      <c r="L21" s="9"/>
      <c r="M21" s="9"/>
      <c r="N21" s="9"/>
      <c r="O21" s="9"/>
      <c r="P21" s="1161"/>
      <c r="Q21" s="1161"/>
      <c r="R21" s="1161"/>
      <c r="S21" s="1161"/>
      <c r="T21" s="1161"/>
      <c r="U21" s="1161"/>
      <c r="V21" s="1161"/>
      <c r="W21" s="25"/>
      <c r="X21" s="25"/>
      <c r="Y21" s="25"/>
      <c r="Z21" s="25"/>
      <c r="AA21" s="25"/>
      <c r="AB21" s="8"/>
      <c r="AC21" s="8"/>
      <c r="AD21" s="8"/>
      <c r="AE21" s="8"/>
    </row>
    <row r="22" spans="1:31" x14ac:dyDescent="0.2">
      <c r="A22" s="3"/>
      <c r="B22" s="3"/>
      <c r="C22" s="3"/>
      <c r="D22" s="3"/>
      <c r="E22" s="3"/>
      <c r="F22" s="4"/>
      <c r="G22" s="4"/>
      <c r="H22" s="4"/>
      <c r="I22" s="574"/>
      <c r="J22" s="3"/>
      <c r="K22" s="3"/>
      <c r="L22" s="2"/>
      <c r="M22" s="2"/>
      <c r="N22" s="2"/>
      <c r="O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">
      <c r="A23" s="3"/>
      <c r="B23" s="3"/>
      <c r="C23" s="3"/>
      <c r="D23" s="3"/>
      <c r="E23" s="3"/>
      <c r="F23" s="4"/>
      <c r="G23" s="4"/>
      <c r="H23" s="4"/>
      <c r="I23" s="574"/>
      <c r="J23" s="3"/>
      <c r="K23" s="3"/>
      <c r="L23" s="2"/>
      <c r="M23" s="2"/>
      <c r="N23" s="2"/>
      <c r="O23" s="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">
      <c r="A24" s="3"/>
      <c r="B24" s="3"/>
      <c r="C24" s="3"/>
      <c r="D24" s="3"/>
      <c r="E24" s="3"/>
      <c r="F24" s="4"/>
      <c r="G24" s="4"/>
      <c r="H24" s="4"/>
      <c r="I24" s="574"/>
      <c r="J24" s="3"/>
      <c r="K24" s="3"/>
      <c r="L24" s="2"/>
      <c r="M24" s="2"/>
      <c r="N24" s="2"/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">
      <c r="A25" s="3"/>
      <c r="B25" s="3"/>
      <c r="C25" s="3"/>
      <c r="D25" s="3"/>
      <c r="E25" s="3"/>
      <c r="F25" s="4"/>
      <c r="G25" s="4"/>
      <c r="H25" s="4"/>
      <c r="I25" s="574"/>
      <c r="J25" s="3"/>
      <c r="K25" s="3"/>
      <c r="L25" s="2"/>
      <c r="M25" s="2"/>
      <c r="N25" s="2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2">
      <c r="A26" s="3"/>
      <c r="B26" s="3"/>
      <c r="C26" s="3"/>
      <c r="D26" s="3"/>
      <c r="E26" s="3"/>
      <c r="F26" s="4"/>
      <c r="G26" s="4"/>
      <c r="H26" s="4"/>
      <c r="I26" s="574"/>
      <c r="J26" s="3"/>
      <c r="K26" s="3"/>
      <c r="L26" s="2"/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">
      <c r="A27" s="3"/>
      <c r="B27" s="3"/>
      <c r="C27" s="3"/>
      <c r="D27" s="3"/>
      <c r="E27" s="3"/>
      <c r="F27" s="4"/>
      <c r="G27" s="4"/>
      <c r="H27" s="4"/>
      <c r="I27" s="574"/>
      <c r="J27" s="3"/>
      <c r="K27" s="3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38" spans="1:31" x14ac:dyDescent="0.2">
      <c r="A38" s="3"/>
      <c r="B38" s="3"/>
      <c r="C38" s="3"/>
      <c r="D38" s="3"/>
      <c r="E38" s="3"/>
      <c r="F38" s="4"/>
      <c r="G38" s="4"/>
      <c r="H38" s="4"/>
      <c r="I38" s="574"/>
      <c r="J38" s="3"/>
      <c r="K38" s="3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2">
      <c r="A39" s="3"/>
      <c r="B39" s="3"/>
      <c r="C39" s="3"/>
      <c r="D39" s="3"/>
      <c r="E39" s="3"/>
      <c r="F39" s="4"/>
      <c r="G39" s="4"/>
      <c r="H39" s="4"/>
      <c r="I39" s="574"/>
      <c r="J39" s="3"/>
      <c r="K39" s="3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2">
      <c r="A40" s="3"/>
      <c r="B40" s="3"/>
      <c r="C40" s="3"/>
      <c r="D40" s="3"/>
      <c r="E40" s="3"/>
      <c r="F40" s="4"/>
      <c r="G40" s="4"/>
      <c r="H40" s="4"/>
      <c r="I40" s="574"/>
      <c r="J40" s="3"/>
      <c r="K40" s="3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">
      <c r="A41" s="3"/>
      <c r="B41" s="3"/>
      <c r="C41" s="3"/>
      <c r="D41" s="3"/>
      <c r="E41" s="3"/>
      <c r="F41" s="4"/>
      <c r="G41" s="4"/>
      <c r="H41" s="4"/>
      <c r="I41" s="574"/>
      <c r="J41" s="3"/>
      <c r="K41" s="3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</sheetData>
  <mergeCells count="47">
    <mergeCell ref="C21:D21"/>
    <mergeCell ref="P21:V21"/>
    <mergeCell ref="AB18:AE18"/>
    <mergeCell ref="C19:F19"/>
    <mergeCell ref="L19:X19"/>
    <mergeCell ref="AB19:AE19"/>
    <mergeCell ref="C20:F20"/>
    <mergeCell ref="L20:X20"/>
    <mergeCell ref="AB20:AE20"/>
    <mergeCell ref="C18:F18"/>
    <mergeCell ref="A10:D10"/>
    <mergeCell ref="O7:O8"/>
    <mergeCell ref="P7:P8"/>
    <mergeCell ref="Q7:Q8"/>
    <mergeCell ref="R7:R8"/>
    <mergeCell ref="Z6:Z8"/>
    <mergeCell ref="AA6:AA8"/>
    <mergeCell ref="AB6:AB8"/>
    <mergeCell ref="AC6:AC8"/>
    <mergeCell ref="AD6:AD8"/>
    <mergeCell ref="Y6:Y8"/>
    <mergeCell ref="K7:K8"/>
    <mergeCell ref="L7:L8"/>
    <mergeCell ref="M7:M8"/>
    <mergeCell ref="N7:N8"/>
    <mergeCell ref="U7:U8"/>
    <mergeCell ref="V7:V8"/>
    <mergeCell ref="W7:W8"/>
    <mergeCell ref="X7:X8"/>
    <mergeCell ref="S7:S8"/>
    <mergeCell ref="T7:T8"/>
    <mergeCell ref="A2:AE2"/>
    <mergeCell ref="A3:AE3"/>
    <mergeCell ref="A4:AE4"/>
    <mergeCell ref="A6:A8"/>
    <mergeCell ref="B6:B8"/>
    <mergeCell ref="C6:C8"/>
    <mergeCell ref="D6:D8"/>
    <mergeCell ref="E6:E8"/>
    <mergeCell ref="F6:F8"/>
    <mergeCell ref="G6:G8"/>
    <mergeCell ref="AE6:AE8"/>
    <mergeCell ref="H6:H8"/>
    <mergeCell ref="I6:I8"/>
    <mergeCell ref="J6:J8"/>
    <mergeCell ref="K6:P6"/>
    <mergeCell ref="S6:X6"/>
  </mergeCells>
  <printOptions horizontalCentered="1" verticalCentered="1"/>
  <pageMargins left="0" right="0" top="0.78740157480314965" bottom="0" header="0" footer="0"/>
  <pageSetup paperSize="5" scale="61" orientation="landscape" r:id="rId1"/>
  <headerFooter alignWithMargins="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F9BD6-ABC2-4828-A29C-41C4A1FDA216}">
  <sheetPr transitionEvaluation="1">
    <tabColor rgb="FFFFFF00"/>
    <pageSetUpPr fitToPage="1"/>
  </sheetPr>
  <dimension ref="A2:AI43"/>
  <sheetViews>
    <sheetView showGridLines="0" topLeftCell="A10" zoomScale="87" zoomScaleNormal="87" workbookViewId="0">
      <selection activeCell="L13" sqref="L13"/>
    </sheetView>
  </sheetViews>
  <sheetFormatPr baseColWidth="10" defaultColWidth="9.85546875" defaultRowHeight="14.4" x14ac:dyDescent="0.2"/>
  <cols>
    <col min="1" max="1" width="5.42578125" style="1" bestFit="1" customWidth="1"/>
    <col min="2" max="2" width="4.140625" style="1" hidden="1" customWidth="1"/>
    <col min="3" max="3" width="16.42578125" style="1" hidden="1" customWidth="1"/>
    <col min="4" max="4" width="28.28515625" style="1" customWidth="1"/>
    <col min="5" max="5" width="5.28515625" style="1" customWidth="1"/>
    <col min="6" max="6" width="6" style="5" bestFit="1" customWidth="1"/>
    <col min="7" max="7" width="23.28515625" style="5" hidden="1" customWidth="1"/>
    <col min="8" max="8" width="12.42578125" style="5" hidden="1" customWidth="1"/>
    <col min="9" max="9" width="12.42578125" style="575" hidden="1" customWidth="1"/>
    <col min="10" max="10" width="15.140625" style="1" customWidth="1"/>
    <col min="11" max="11" width="17.42578125" style="1" bestFit="1" customWidth="1"/>
    <col min="12" max="12" width="12.42578125" style="6" bestFit="1" customWidth="1"/>
    <col min="13" max="13" width="9" style="6" hidden="1" customWidth="1"/>
    <col min="14" max="14" width="12" style="6" hidden="1" customWidth="1"/>
    <col min="15" max="15" width="8.85546875" style="6" customWidth="1"/>
    <col min="16" max="16" width="15.42578125" style="1" customWidth="1"/>
    <col min="17" max="17" width="13.7109375" style="1" customWidth="1"/>
    <col min="18" max="18" width="14.28515625" style="1" customWidth="1"/>
    <col min="19" max="19" width="16.85546875" style="1" bestFit="1" customWidth="1"/>
    <col min="20" max="20" width="13.28515625" style="1" hidden="1" customWidth="1"/>
    <col min="21" max="21" width="12.42578125" style="1" customWidth="1"/>
    <col min="22" max="22" width="8.42578125" style="1" customWidth="1"/>
    <col min="23" max="23" width="10.42578125" style="1" customWidth="1"/>
    <col min="24" max="24" width="14.85546875" style="1" bestFit="1" customWidth="1"/>
    <col min="25" max="25" width="15.85546875" style="1" customWidth="1"/>
    <col min="26" max="26" width="13.42578125" style="1" customWidth="1"/>
    <col min="27" max="27" width="12.42578125" style="1" customWidth="1"/>
    <col min="28" max="28" width="17.85546875" style="1" customWidth="1"/>
    <col min="29" max="29" width="54" style="1" customWidth="1"/>
    <col min="30" max="30" width="13.140625" style="1" hidden="1" customWidth="1"/>
    <col min="31" max="31" width="17.140625" style="1" hidden="1" customWidth="1"/>
    <col min="32" max="32" width="38.85546875" style="1" customWidth="1"/>
    <col min="33" max="33" width="3.85546875" style="1" customWidth="1"/>
    <col min="34" max="34" width="8.85546875" style="1" customWidth="1"/>
    <col min="35" max="36" width="1.85546875" style="1" customWidth="1"/>
    <col min="37" max="37" width="13.85546875" style="1" customWidth="1"/>
    <col min="38" max="38" width="6.85546875" style="1" customWidth="1"/>
    <col min="39" max="39" width="5.85546875" style="1" customWidth="1"/>
    <col min="40" max="40" width="7.85546875" style="1" customWidth="1"/>
    <col min="41" max="41" width="1.85546875" style="1" customWidth="1"/>
    <col min="42" max="42" width="38.85546875" style="1" customWidth="1"/>
    <col min="43" max="43" width="3.85546875" style="1" customWidth="1"/>
    <col min="44" max="44" width="8.85546875" style="1" customWidth="1"/>
    <col min="45" max="45" width="1.85546875" style="1" customWidth="1"/>
    <col min="46" max="16384" width="9.85546875" style="1"/>
  </cols>
  <sheetData>
    <row r="2" spans="1:35" s="15" customFormat="1" ht="17.25" customHeight="1" x14ac:dyDescent="0.2">
      <c r="A2" s="1177" t="s">
        <v>308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</row>
    <row r="3" spans="1:35" s="15" customFormat="1" ht="17.25" customHeight="1" x14ac:dyDescent="0.2">
      <c r="A3" s="1177" t="s">
        <v>309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1177"/>
      <c r="AA3" s="1177"/>
      <c r="AB3" s="1177"/>
      <c r="AC3" s="1177"/>
      <c r="AD3" s="1177"/>
      <c r="AE3" s="1177"/>
    </row>
    <row r="4" spans="1:35" s="15" customFormat="1" ht="17.25" customHeight="1" x14ac:dyDescent="0.3">
      <c r="A4" s="1178" t="str">
        <f>+TECNICOS!A4</f>
        <v>QUINCENA DEL 16  AL 30  DE ABRIL - 2026</v>
      </c>
      <c r="B4" s="1178"/>
      <c r="C4" s="1178"/>
      <c r="D4" s="1178"/>
      <c r="E4" s="1178"/>
      <c r="F4" s="1178"/>
      <c r="G4" s="1178"/>
      <c r="H4" s="1178"/>
      <c r="I4" s="1178"/>
      <c r="J4" s="1178"/>
      <c r="K4" s="1178"/>
      <c r="L4" s="1178"/>
      <c r="M4" s="1178"/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1178"/>
      <c r="AA4" s="1178"/>
      <c r="AB4" s="1178"/>
      <c r="AC4" s="1178"/>
      <c r="AD4" s="1178"/>
      <c r="AE4" s="1178"/>
    </row>
    <row r="5" spans="1:35" s="15" customFormat="1" ht="18" customHeight="1" thickBot="1" x14ac:dyDescent="0.35">
      <c r="A5" s="74"/>
      <c r="B5" s="75"/>
      <c r="C5" s="74"/>
      <c r="D5" s="74"/>
      <c r="E5" s="74"/>
      <c r="F5" s="74"/>
      <c r="G5" s="74"/>
      <c r="H5" s="74"/>
      <c r="I5" s="590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26"/>
      <c r="AD5" s="26"/>
      <c r="AE5" s="26"/>
    </row>
    <row r="6" spans="1:35" s="11" customFormat="1" ht="15" customHeight="1" thickTop="1" thickBot="1" x14ac:dyDescent="0.25">
      <c r="A6" s="1143" t="s">
        <v>2</v>
      </c>
      <c r="B6" s="1143" t="s">
        <v>3</v>
      </c>
      <c r="C6" s="1143" t="s">
        <v>4</v>
      </c>
      <c r="D6" s="1143" t="s">
        <v>6</v>
      </c>
      <c r="E6" s="1179" t="s">
        <v>187</v>
      </c>
      <c r="F6" s="1143" t="s">
        <v>7</v>
      </c>
      <c r="G6" s="1144" t="s">
        <v>126</v>
      </c>
      <c r="H6" s="1182" t="s">
        <v>125</v>
      </c>
      <c r="I6" s="1511" t="s">
        <v>82</v>
      </c>
      <c r="J6" s="1143" t="s">
        <v>8</v>
      </c>
      <c r="K6" s="1151" t="s">
        <v>9</v>
      </c>
      <c r="L6" s="1151"/>
      <c r="M6" s="1151"/>
      <c r="N6" s="1151"/>
      <c r="O6" s="1151"/>
      <c r="P6" s="1151"/>
      <c r="Q6" s="351"/>
      <c r="R6" s="351"/>
      <c r="S6" s="1143" t="s">
        <v>10</v>
      </c>
      <c r="T6" s="1143"/>
      <c r="U6" s="1143"/>
      <c r="V6" s="1143"/>
      <c r="W6" s="1143"/>
      <c r="X6" s="1143"/>
      <c r="Y6" s="1335" t="s">
        <v>29</v>
      </c>
      <c r="Z6" s="1143" t="s">
        <v>31</v>
      </c>
      <c r="AA6" s="1157" t="s">
        <v>99</v>
      </c>
      <c r="AB6" s="1143" t="s">
        <v>11</v>
      </c>
      <c r="AC6" s="1173" t="s">
        <v>12</v>
      </c>
      <c r="AD6" s="1143"/>
      <c r="AE6" s="1143"/>
    </row>
    <row r="7" spans="1:35" s="13" customFormat="1" ht="21.75" customHeight="1" thickTop="1" thickBot="1" x14ac:dyDescent="0.25">
      <c r="A7" s="1143"/>
      <c r="B7" s="1143"/>
      <c r="C7" s="1143"/>
      <c r="D7" s="1143"/>
      <c r="E7" s="1180"/>
      <c r="F7" s="1143"/>
      <c r="G7" s="1144"/>
      <c r="H7" s="1182"/>
      <c r="I7" s="1512"/>
      <c r="J7" s="1143"/>
      <c r="K7" s="1143" t="s">
        <v>177</v>
      </c>
      <c r="L7" s="1155" t="s">
        <v>16</v>
      </c>
      <c r="M7" s="1168" t="s">
        <v>196</v>
      </c>
      <c r="N7" s="1168" t="s">
        <v>197</v>
      </c>
      <c r="O7" s="1333" t="s">
        <v>195</v>
      </c>
      <c r="P7" s="1143" t="s">
        <v>200</v>
      </c>
      <c r="Q7" s="1335" t="s">
        <v>199</v>
      </c>
      <c r="R7" s="1335" t="s">
        <v>53</v>
      </c>
      <c r="S7" s="1143" t="s">
        <v>29</v>
      </c>
      <c r="T7" s="1335"/>
      <c r="U7" s="1335" t="s">
        <v>3</v>
      </c>
      <c r="V7" s="1143" t="s">
        <v>19</v>
      </c>
      <c r="W7" s="1143" t="s">
        <v>94</v>
      </c>
      <c r="X7" s="1143" t="s">
        <v>20</v>
      </c>
      <c r="Y7" s="1337"/>
      <c r="Z7" s="1143"/>
      <c r="AA7" s="1157"/>
      <c r="AB7" s="1143"/>
      <c r="AC7" s="1173"/>
      <c r="AD7" s="1143"/>
      <c r="AE7" s="1143"/>
      <c r="AF7" s="12"/>
      <c r="AG7" s="12"/>
      <c r="AH7" s="12"/>
      <c r="AI7" s="12"/>
    </row>
    <row r="8" spans="1:35" s="13" customFormat="1" ht="43.65" customHeight="1" thickTop="1" thickBot="1" x14ac:dyDescent="0.25">
      <c r="A8" s="1143"/>
      <c r="B8" s="1143"/>
      <c r="C8" s="1143"/>
      <c r="D8" s="1143"/>
      <c r="E8" s="1181"/>
      <c r="F8" s="1143"/>
      <c r="G8" s="1144"/>
      <c r="H8" s="1182"/>
      <c r="I8" s="1513"/>
      <c r="J8" s="1143"/>
      <c r="K8" s="1143"/>
      <c r="L8" s="1155"/>
      <c r="M8" s="1169"/>
      <c r="N8" s="1169"/>
      <c r="O8" s="1334"/>
      <c r="P8" s="1143"/>
      <c r="Q8" s="1336"/>
      <c r="R8" s="1336"/>
      <c r="S8" s="1143"/>
      <c r="T8" s="1336"/>
      <c r="U8" s="1336"/>
      <c r="V8" s="1143"/>
      <c r="W8" s="1143"/>
      <c r="X8" s="1143"/>
      <c r="Y8" s="1336"/>
      <c r="Z8" s="1143"/>
      <c r="AA8" s="1157"/>
      <c r="AB8" s="1143"/>
      <c r="AC8" s="1173"/>
      <c r="AD8" s="1143"/>
      <c r="AE8" s="1143"/>
    </row>
    <row r="9" spans="1:35" s="326" customFormat="1" ht="85.2" customHeight="1" thickTop="1" thickBot="1" x14ac:dyDescent="0.25">
      <c r="A9" s="319">
        <v>1</v>
      </c>
      <c r="B9" s="320">
        <v>1</v>
      </c>
      <c r="C9" s="334"/>
      <c r="D9" s="633" t="s">
        <v>310</v>
      </c>
      <c r="E9" s="211" t="s">
        <v>32</v>
      </c>
      <c r="F9" s="352" t="s">
        <v>311</v>
      </c>
      <c r="G9" s="78"/>
      <c r="H9" s="79"/>
      <c r="I9" s="567">
        <v>202</v>
      </c>
      <c r="J9" s="583">
        <v>9600</v>
      </c>
      <c r="K9" s="583">
        <f>(J9/30)*L9</f>
        <v>0</v>
      </c>
      <c r="L9" s="628">
        <v>0</v>
      </c>
      <c r="M9" s="328">
        <f>+N9*O9</f>
        <v>0</v>
      </c>
      <c r="N9" s="584">
        <f>I9*60%</f>
        <v>121.19999999999999</v>
      </c>
      <c r="O9" s="328">
        <v>0</v>
      </c>
      <c r="P9" s="585">
        <f>+K9-Q9-R9</f>
        <v>0</v>
      </c>
      <c r="Q9" s="585">
        <f>+K9/12</f>
        <v>0</v>
      </c>
      <c r="R9" s="585">
        <f>+Q9</f>
        <v>0</v>
      </c>
      <c r="S9" s="583">
        <f>+R9+P9+Q9</f>
        <v>0</v>
      </c>
      <c r="T9" s="321">
        <f>P9+Q9</f>
        <v>0</v>
      </c>
      <c r="U9" s="321"/>
      <c r="V9" s="321"/>
      <c r="W9" s="321"/>
      <c r="X9" s="324">
        <f>U9</f>
        <v>0</v>
      </c>
      <c r="Y9" s="585">
        <f>-X9+P9+Q9+R9</f>
        <v>0</v>
      </c>
      <c r="Z9" s="324">
        <v>0</v>
      </c>
      <c r="AA9" s="324">
        <v>0</v>
      </c>
      <c r="AB9" s="355">
        <f>Y9+Z9-AA9</f>
        <v>0</v>
      </c>
      <c r="AC9" s="325"/>
      <c r="AD9" s="325">
        <v>0.155</v>
      </c>
      <c r="AE9" s="325">
        <f>S9-R9</f>
        <v>0</v>
      </c>
    </row>
    <row r="10" spans="1:35" s="326" customFormat="1" ht="85.2" customHeight="1" thickTop="1" thickBot="1" x14ac:dyDescent="0.25">
      <c r="A10" s="319">
        <v>2</v>
      </c>
      <c r="B10" s="320">
        <v>1</v>
      </c>
      <c r="C10" s="334"/>
      <c r="D10" s="633" t="s">
        <v>327</v>
      </c>
      <c r="E10" s="211" t="s">
        <v>32</v>
      </c>
      <c r="F10" s="352" t="s">
        <v>264</v>
      </c>
      <c r="G10" s="78"/>
      <c r="H10" s="79"/>
      <c r="I10" s="567">
        <v>202</v>
      </c>
      <c r="J10" s="583">
        <v>8250</v>
      </c>
      <c r="K10" s="583">
        <f>(J10/30)*L10</f>
        <v>0</v>
      </c>
      <c r="L10" s="628">
        <v>0</v>
      </c>
      <c r="M10" s="328">
        <f>+N10*O10</f>
        <v>0</v>
      </c>
      <c r="N10" s="584">
        <f>I10*60%</f>
        <v>121.19999999999999</v>
      </c>
      <c r="O10" s="328">
        <v>0</v>
      </c>
      <c r="P10" s="585">
        <f>+K10-Q10-R10</f>
        <v>0</v>
      </c>
      <c r="Q10" s="585">
        <f>+K10/12</f>
        <v>0</v>
      </c>
      <c r="R10" s="585">
        <f>+Q10</f>
        <v>0</v>
      </c>
      <c r="S10" s="583">
        <f>+R10+P10+Q10</f>
        <v>0</v>
      </c>
      <c r="T10" s="321">
        <f>P10+Q10</f>
        <v>0</v>
      </c>
      <c r="U10" s="321"/>
      <c r="V10" s="321"/>
      <c r="W10" s="321"/>
      <c r="X10" s="324">
        <f>U10</f>
        <v>0</v>
      </c>
      <c r="Y10" s="585">
        <f>-X10+P10+Q10+R10</f>
        <v>0</v>
      </c>
      <c r="Z10" s="324">
        <v>0</v>
      </c>
      <c r="AA10" s="324">
        <v>0</v>
      </c>
      <c r="AB10" s="355">
        <f>Y10+Z10-AA10</f>
        <v>0</v>
      </c>
      <c r="AC10" s="325"/>
      <c r="AD10" s="325">
        <v>0.155</v>
      </c>
      <c r="AE10" s="325">
        <f>S10-R10</f>
        <v>0</v>
      </c>
    </row>
    <row r="11" spans="1:35" s="326" customFormat="1" ht="85.2" customHeight="1" thickTop="1" thickBot="1" x14ac:dyDescent="0.25">
      <c r="A11" s="319">
        <v>2</v>
      </c>
      <c r="B11" s="320">
        <v>1</v>
      </c>
      <c r="C11" s="334"/>
      <c r="D11" s="633" t="s">
        <v>326</v>
      </c>
      <c r="E11" s="211" t="s">
        <v>32</v>
      </c>
      <c r="F11" s="352" t="s">
        <v>264</v>
      </c>
      <c r="G11" s="78"/>
      <c r="H11" s="79"/>
      <c r="I11" s="567">
        <v>202</v>
      </c>
      <c r="J11" s="583">
        <v>8250</v>
      </c>
      <c r="K11" s="583">
        <f>(J11/30)*L11</f>
        <v>0</v>
      </c>
      <c r="L11" s="628">
        <v>0</v>
      </c>
      <c r="M11" s="328">
        <f>+N11*O11</f>
        <v>0</v>
      </c>
      <c r="N11" s="584">
        <f>I11*60%</f>
        <v>121.19999999999999</v>
      </c>
      <c r="O11" s="328">
        <v>0</v>
      </c>
      <c r="P11" s="585">
        <f>+K11-Q11-R11</f>
        <v>0</v>
      </c>
      <c r="Q11" s="585">
        <f>+K11/12</f>
        <v>0</v>
      </c>
      <c r="R11" s="585">
        <f>+Q11</f>
        <v>0</v>
      </c>
      <c r="S11" s="583">
        <f>+R11+P11+Q11</f>
        <v>0</v>
      </c>
      <c r="T11" s="321">
        <f>P11+Q11</f>
        <v>0</v>
      </c>
      <c r="U11" s="321"/>
      <c r="V11" s="321"/>
      <c r="W11" s="321"/>
      <c r="X11" s="324">
        <f>U11</f>
        <v>0</v>
      </c>
      <c r="Y11" s="585">
        <f>-X11+P11+Q11+R11</f>
        <v>0</v>
      </c>
      <c r="Z11" s="324">
        <v>0</v>
      </c>
      <c r="AA11" s="324">
        <v>0</v>
      </c>
      <c r="AB11" s="355">
        <f>Y11+Z11-AA11</f>
        <v>0</v>
      </c>
      <c r="AC11" s="325"/>
      <c r="AD11" s="325">
        <v>0.155</v>
      </c>
      <c r="AE11" s="325">
        <f>S11-R11</f>
        <v>0</v>
      </c>
    </row>
    <row r="12" spans="1:35" s="7" customFormat="1" ht="75" customHeight="1" thickTop="1" thickBot="1" x14ac:dyDescent="0.25">
      <c r="A12" s="1162" t="s">
        <v>95</v>
      </c>
      <c r="B12" s="1163"/>
      <c r="C12" s="1163"/>
      <c r="D12" s="1164"/>
      <c r="E12" s="211"/>
      <c r="F12" s="210"/>
      <c r="G12" s="85" t="e">
        <f>SUM(#REF!)</f>
        <v>#REF!</v>
      </c>
      <c r="H12" s="85"/>
      <c r="I12" s="591" t="e">
        <f>SUM(#REF!)</f>
        <v>#REF!</v>
      </c>
      <c r="J12" s="86">
        <f t="shared" ref="J12:AB12" si="0">SUM(J9:J11)</f>
        <v>26100</v>
      </c>
      <c r="K12" s="86">
        <f t="shared" si="0"/>
        <v>0</v>
      </c>
      <c r="L12" s="86">
        <f t="shared" si="0"/>
        <v>0</v>
      </c>
      <c r="M12" s="86">
        <f t="shared" si="0"/>
        <v>0</v>
      </c>
      <c r="N12" s="86">
        <f t="shared" si="0"/>
        <v>363.59999999999997</v>
      </c>
      <c r="O12" s="86">
        <f t="shared" si="0"/>
        <v>0</v>
      </c>
      <c r="P12" s="86">
        <f t="shared" si="0"/>
        <v>0</v>
      </c>
      <c r="Q12" s="86">
        <f t="shared" si="0"/>
        <v>0</v>
      </c>
      <c r="R12" s="86">
        <f t="shared" si="0"/>
        <v>0</v>
      </c>
      <c r="S12" s="86">
        <f t="shared" si="0"/>
        <v>0</v>
      </c>
      <c r="T12" s="86">
        <f t="shared" si="0"/>
        <v>0</v>
      </c>
      <c r="U12" s="86">
        <f t="shared" si="0"/>
        <v>0</v>
      </c>
      <c r="V12" s="86">
        <f t="shared" si="0"/>
        <v>0</v>
      </c>
      <c r="W12" s="86">
        <f t="shared" si="0"/>
        <v>0</v>
      </c>
      <c r="X12" s="86">
        <f t="shared" si="0"/>
        <v>0</v>
      </c>
      <c r="Y12" s="86">
        <f t="shared" si="0"/>
        <v>0</v>
      </c>
      <c r="Z12" s="86">
        <f t="shared" si="0"/>
        <v>0</v>
      </c>
      <c r="AA12" s="86">
        <f t="shared" si="0"/>
        <v>0</v>
      </c>
      <c r="AB12" s="163">
        <f t="shared" si="0"/>
        <v>0</v>
      </c>
      <c r="AC12" s="87" t="s">
        <v>105</v>
      </c>
      <c r="AD12" s="86" t="e">
        <f>SUM(#REF!)</f>
        <v>#REF!</v>
      </c>
      <c r="AE12" s="86" t="e">
        <f>SUM(#REF!)</f>
        <v>#REF!</v>
      </c>
    </row>
    <row r="13" spans="1:35" s="14" customFormat="1" ht="19.5" customHeight="1" thickTop="1" x14ac:dyDescent="0.2">
      <c r="A13" s="27"/>
      <c r="B13" s="27"/>
      <c r="C13" s="27"/>
      <c r="D13" s="27"/>
      <c r="E13" s="27"/>
      <c r="F13" s="28"/>
      <c r="G13" s="28"/>
      <c r="H13" s="28"/>
      <c r="I13" s="568"/>
      <c r="J13" s="27"/>
      <c r="K13" s="27"/>
      <c r="L13" s="29"/>
      <c r="M13" s="29"/>
      <c r="N13" s="29"/>
      <c r="O13" s="29"/>
      <c r="P13" s="27" t="s">
        <v>5</v>
      </c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5" s="14" customFormat="1" ht="19.5" customHeight="1" x14ac:dyDescent="0.2">
      <c r="A14" s="27"/>
      <c r="B14" s="27"/>
      <c r="C14" s="27"/>
      <c r="D14" s="27"/>
      <c r="E14" s="27"/>
      <c r="F14" s="28"/>
      <c r="G14" s="28"/>
      <c r="H14" s="28"/>
      <c r="I14" s="568"/>
      <c r="J14" s="27"/>
      <c r="K14" s="27"/>
      <c r="L14" s="29"/>
      <c r="M14" s="29"/>
      <c r="N14" s="29"/>
      <c r="O14" s="29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35" s="14" customFormat="1" ht="19.5" customHeight="1" x14ac:dyDescent="0.2">
      <c r="A15" s="27"/>
      <c r="B15" s="27"/>
      <c r="C15" s="27"/>
      <c r="D15" s="27"/>
      <c r="E15" s="27"/>
      <c r="F15" s="28"/>
      <c r="G15" s="28"/>
      <c r="H15" s="28"/>
      <c r="I15" s="568"/>
      <c r="J15" s="27"/>
      <c r="K15" s="27"/>
      <c r="L15" s="29"/>
      <c r="M15" s="29"/>
      <c r="N15" s="29"/>
      <c r="O15" s="29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5" s="14" customFormat="1" ht="19.5" customHeight="1" x14ac:dyDescent="0.2">
      <c r="A16" s="27"/>
      <c r="B16" s="27"/>
      <c r="C16" s="27"/>
      <c r="D16" s="27"/>
      <c r="E16" s="27"/>
      <c r="F16" s="28"/>
      <c r="G16" s="28"/>
      <c r="H16" s="28"/>
      <c r="I16" s="569"/>
      <c r="J16" s="338"/>
      <c r="K16" s="27"/>
      <c r="L16" s="29"/>
      <c r="M16" s="29"/>
      <c r="N16" s="29"/>
      <c r="O16" s="29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spans="1:31" s="11" customFormat="1" x14ac:dyDescent="0.2">
      <c r="A17" s="27"/>
      <c r="B17" s="27"/>
      <c r="C17" s="27"/>
      <c r="D17" s="27"/>
      <c r="E17" s="27"/>
      <c r="F17" s="28"/>
      <c r="G17" s="28"/>
      <c r="H17" s="28"/>
      <c r="I17" s="568"/>
      <c r="J17" s="27"/>
      <c r="K17" s="27"/>
      <c r="L17" s="29"/>
      <c r="M17" s="29"/>
      <c r="N17" s="29"/>
      <c r="O17" s="29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</row>
    <row r="18" spans="1:31" s="11" customFormat="1" x14ac:dyDescent="0.2">
      <c r="A18" s="30"/>
      <c r="B18" s="27"/>
      <c r="C18" s="30"/>
      <c r="D18" s="27"/>
      <c r="E18" s="27"/>
      <c r="F18" s="28"/>
      <c r="G18" s="28"/>
      <c r="H18" s="28"/>
      <c r="I18" s="568"/>
      <c r="J18" s="27"/>
      <c r="K18" s="27"/>
      <c r="L18" s="29"/>
      <c r="M18" s="29"/>
      <c r="N18" s="29"/>
      <c r="O18" s="29"/>
      <c r="P18" s="30"/>
      <c r="Q18" s="30"/>
      <c r="R18" s="30"/>
      <c r="S18" s="27"/>
      <c r="T18" s="27"/>
      <c r="U18" s="27"/>
      <c r="V18" s="27"/>
      <c r="W18" s="31"/>
      <c r="X18" s="27"/>
      <c r="Y18" s="27"/>
      <c r="Z18" s="27"/>
      <c r="AA18" s="27"/>
      <c r="AB18" s="30"/>
      <c r="AC18" s="27"/>
      <c r="AD18" s="27"/>
      <c r="AE18" s="27"/>
    </row>
    <row r="19" spans="1:31" s="11" customFormat="1" x14ac:dyDescent="0.2">
      <c r="A19" s="30"/>
      <c r="B19" s="27"/>
      <c r="C19" s="30"/>
      <c r="D19" s="27"/>
      <c r="E19" s="27"/>
      <c r="F19" s="28"/>
      <c r="G19" s="28"/>
      <c r="H19" s="28"/>
      <c r="I19" s="568"/>
      <c r="J19" s="27"/>
      <c r="K19" s="27"/>
      <c r="L19" s="29"/>
      <c r="M19" s="29"/>
      <c r="N19" s="29"/>
      <c r="O19" s="29"/>
      <c r="P19" s="30"/>
      <c r="Q19" s="30"/>
      <c r="R19" s="30"/>
      <c r="S19" s="27"/>
      <c r="T19" s="27"/>
      <c r="U19" s="27"/>
      <c r="V19" s="27"/>
      <c r="W19" s="32"/>
      <c r="X19" s="27"/>
      <c r="Y19" s="27"/>
      <c r="Z19" s="27"/>
      <c r="AA19" s="27"/>
      <c r="AB19" s="30"/>
      <c r="AC19" s="27"/>
      <c r="AD19" s="27"/>
      <c r="AE19" s="27"/>
    </row>
    <row r="20" spans="1:31" s="11" customFormat="1" x14ac:dyDescent="0.2">
      <c r="A20" s="30"/>
      <c r="B20" s="27"/>
      <c r="C20" s="1165"/>
      <c r="D20" s="1165"/>
      <c r="E20" s="1165"/>
      <c r="F20" s="1165"/>
      <c r="G20" s="49"/>
      <c r="H20" s="49"/>
      <c r="I20" s="570"/>
      <c r="J20" s="27"/>
      <c r="K20" s="27"/>
      <c r="L20" s="538"/>
      <c r="M20" s="538"/>
      <c r="N20" s="538"/>
      <c r="O20" s="538"/>
      <c r="P20" s="538"/>
      <c r="Q20" s="536"/>
      <c r="R20" s="536"/>
      <c r="S20" s="536"/>
      <c r="T20" s="536"/>
      <c r="U20" s="536"/>
      <c r="V20" s="538"/>
      <c r="W20" s="538"/>
      <c r="X20" s="538"/>
      <c r="Y20" s="29"/>
      <c r="Z20" s="27"/>
      <c r="AA20" s="27"/>
      <c r="AB20" s="1165"/>
      <c r="AC20" s="1165"/>
      <c r="AD20" s="1165"/>
      <c r="AE20" s="1165"/>
    </row>
    <row r="21" spans="1:31" s="11" customFormat="1" ht="12.45" customHeight="1" x14ac:dyDescent="0.2">
      <c r="A21" s="27"/>
      <c r="B21" s="27"/>
      <c r="C21" s="1167" t="s">
        <v>23</v>
      </c>
      <c r="D21" s="1167"/>
      <c r="E21" s="1167"/>
      <c r="F21" s="1167"/>
      <c r="G21" s="52"/>
      <c r="H21" s="52"/>
      <c r="I21" s="571"/>
      <c r="J21" s="27"/>
      <c r="K21" s="27"/>
      <c r="L21" s="1160" t="s">
        <v>24</v>
      </c>
      <c r="M21" s="1160"/>
      <c r="N21" s="1160"/>
      <c r="O21" s="1160"/>
      <c r="P21" s="1160"/>
      <c r="Q21" s="1160"/>
      <c r="R21" s="1160"/>
      <c r="S21" s="1160"/>
      <c r="T21" s="1160"/>
      <c r="U21" s="1160"/>
      <c r="V21" s="1160"/>
      <c r="W21" s="1160"/>
      <c r="X21" s="1160"/>
      <c r="Y21" s="52"/>
      <c r="Z21" s="27"/>
      <c r="AA21" s="27"/>
      <c r="AB21" s="1167" t="s">
        <v>25</v>
      </c>
      <c r="AC21" s="1167"/>
      <c r="AD21" s="1167"/>
      <c r="AE21" s="1167"/>
    </row>
    <row r="22" spans="1:31" s="11" customFormat="1" x14ac:dyDescent="0.2">
      <c r="A22" s="30"/>
      <c r="B22" s="27"/>
      <c r="C22" s="1159" t="str">
        <f>+'ADMON COM. '!C50:F50</f>
        <v>Jose Martin Conrrado</v>
      </c>
      <c r="D22" s="1159"/>
      <c r="E22" s="1159"/>
      <c r="F22" s="1159"/>
      <c r="G22" s="48"/>
      <c r="H22" s="48"/>
      <c r="I22" s="572"/>
      <c r="J22" s="27"/>
      <c r="K22" s="30"/>
      <c r="L22" s="1159" t="s">
        <v>271</v>
      </c>
      <c r="M22" s="1159"/>
      <c r="N22" s="1159"/>
      <c r="O22" s="1159"/>
      <c r="P22" s="1159"/>
      <c r="Q22" s="1159"/>
      <c r="R22" s="1159"/>
      <c r="S22" s="1159"/>
      <c r="T22" s="1159"/>
      <c r="U22" s="1159"/>
      <c r="V22" s="1159"/>
      <c r="W22" s="1159"/>
      <c r="X22" s="1159"/>
      <c r="Y22" s="48"/>
      <c r="Z22" s="33"/>
      <c r="AA22" s="33"/>
      <c r="AB22" s="1160" t="s">
        <v>27</v>
      </c>
      <c r="AC22" s="1160"/>
      <c r="AD22" s="1160"/>
      <c r="AE22" s="1160"/>
    </row>
    <row r="23" spans="1:31" s="11" customFormat="1" x14ac:dyDescent="0.2">
      <c r="A23" s="8"/>
      <c r="B23" s="8"/>
      <c r="C23" s="1161"/>
      <c r="D23" s="1161"/>
      <c r="E23" s="25"/>
      <c r="F23" s="25"/>
      <c r="G23" s="25"/>
      <c r="H23" s="25"/>
      <c r="I23" s="573"/>
      <c r="J23" s="8"/>
      <c r="K23" s="8"/>
      <c r="L23" s="9"/>
      <c r="M23" s="9"/>
      <c r="N23" s="9"/>
      <c r="O23" s="9"/>
      <c r="P23" s="1161"/>
      <c r="Q23" s="1161"/>
      <c r="R23" s="1161"/>
      <c r="S23" s="1161"/>
      <c r="T23" s="1161"/>
      <c r="U23" s="1161"/>
      <c r="V23" s="1161"/>
      <c r="W23" s="25"/>
      <c r="X23" s="25"/>
      <c r="Y23" s="25"/>
      <c r="Z23" s="25"/>
      <c r="AA23" s="25"/>
      <c r="AB23" s="8"/>
      <c r="AC23" s="8"/>
      <c r="AD23" s="8"/>
      <c r="AE23" s="8"/>
    </row>
    <row r="24" spans="1:31" x14ac:dyDescent="0.2">
      <c r="A24" s="3"/>
      <c r="B24" s="3"/>
      <c r="C24" s="3"/>
      <c r="D24" s="3"/>
      <c r="E24" s="3"/>
      <c r="F24" s="4"/>
      <c r="G24" s="4"/>
      <c r="H24" s="4"/>
      <c r="I24" s="574"/>
      <c r="J24" s="3"/>
      <c r="K24" s="3"/>
      <c r="L24" s="2"/>
      <c r="M24" s="2"/>
      <c r="N24" s="2"/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">
      <c r="A25" s="3"/>
      <c r="B25" s="3"/>
      <c r="C25" s="3"/>
      <c r="D25" s="3"/>
      <c r="E25" s="3"/>
      <c r="F25" s="4"/>
      <c r="G25" s="4"/>
      <c r="H25" s="4"/>
      <c r="I25" s="574"/>
      <c r="J25" s="3"/>
      <c r="K25" s="3"/>
      <c r="L25" s="2"/>
      <c r="M25" s="2"/>
      <c r="N25" s="2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2">
      <c r="A26" s="3"/>
      <c r="B26" s="3"/>
      <c r="C26" s="3"/>
      <c r="D26" s="3"/>
      <c r="E26" s="3"/>
      <c r="F26" s="4"/>
      <c r="G26" s="4"/>
      <c r="H26" s="4"/>
      <c r="I26" s="574"/>
      <c r="J26" s="3"/>
      <c r="K26" s="3"/>
      <c r="L26" s="2"/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">
      <c r="A27" s="3"/>
      <c r="B27" s="3"/>
      <c r="C27" s="3"/>
      <c r="D27" s="3"/>
      <c r="E27" s="3"/>
      <c r="F27" s="4"/>
      <c r="G27" s="4"/>
      <c r="H27" s="4"/>
      <c r="I27" s="574"/>
      <c r="J27" s="3"/>
      <c r="K27" s="3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2">
      <c r="A28" s="3"/>
      <c r="B28" s="3"/>
      <c r="C28" s="3"/>
      <c r="D28" s="3"/>
      <c r="E28" s="3"/>
      <c r="F28" s="4"/>
      <c r="G28" s="4"/>
      <c r="H28" s="4"/>
      <c r="I28" s="574"/>
      <c r="J28" s="3"/>
      <c r="K28" s="3"/>
      <c r="L28" s="2"/>
      <c r="M28" s="2"/>
      <c r="N28" s="2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2">
      <c r="A29" s="3"/>
      <c r="B29" s="3"/>
      <c r="C29" s="3"/>
      <c r="D29" s="3"/>
      <c r="E29" s="3"/>
      <c r="F29" s="4"/>
      <c r="G29" s="4"/>
      <c r="H29" s="4"/>
      <c r="I29" s="574"/>
      <c r="J29" s="3"/>
      <c r="K29" s="3"/>
      <c r="L29" s="2"/>
      <c r="M29" s="2"/>
      <c r="N29" s="2"/>
      <c r="O29" s="2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40" spans="1:31" x14ac:dyDescent="0.2">
      <c r="A40" s="3"/>
      <c r="B40" s="3"/>
      <c r="C40" s="3"/>
      <c r="D40" s="3"/>
      <c r="E40" s="3"/>
      <c r="F40" s="4"/>
      <c r="G40" s="4"/>
      <c r="H40" s="4"/>
      <c r="I40" s="574"/>
      <c r="J40" s="3"/>
      <c r="K40" s="3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">
      <c r="A41" s="3"/>
      <c r="B41" s="3"/>
      <c r="C41" s="3"/>
      <c r="D41" s="3"/>
      <c r="E41" s="3"/>
      <c r="F41" s="4"/>
      <c r="G41" s="4"/>
      <c r="H41" s="4"/>
      <c r="I41" s="574"/>
      <c r="J41" s="3"/>
      <c r="K41" s="3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2">
      <c r="A42" s="3"/>
      <c r="B42" s="3"/>
      <c r="C42" s="3"/>
      <c r="D42" s="3"/>
      <c r="E42" s="3"/>
      <c r="F42" s="4"/>
      <c r="G42" s="4"/>
      <c r="H42" s="4"/>
      <c r="I42" s="574"/>
      <c r="J42" s="3"/>
      <c r="K42" s="3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spans="1:31" x14ac:dyDescent="0.2">
      <c r="A43" s="3"/>
      <c r="B43" s="3"/>
      <c r="C43" s="3"/>
      <c r="D43" s="3"/>
      <c r="E43" s="3"/>
      <c r="F43" s="4"/>
      <c r="G43" s="4"/>
      <c r="H43" s="4"/>
      <c r="I43" s="574"/>
      <c r="J43" s="3"/>
      <c r="K43" s="3"/>
      <c r="L43" s="2"/>
      <c r="M43" s="2"/>
      <c r="N43" s="2"/>
      <c r="O43" s="2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</sheetData>
  <mergeCells count="47">
    <mergeCell ref="C23:D23"/>
    <mergeCell ref="P23:V23"/>
    <mergeCell ref="AB20:AE20"/>
    <mergeCell ref="C21:F21"/>
    <mergeCell ref="L21:X21"/>
    <mergeCell ref="AB21:AE21"/>
    <mergeCell ref="C22:F22"/>
    <mergeCell ref="L22:X22"/>
    <mergeCell ref="AB22:AE22"/>
    <mergeCell ref="C20:F20"/>
    <mergeCell ref="A12:D12"/>
    <mergeCell ref="O7:O8"/>
    <mergeCell ref="P7:P8"/>
    <mergeCell ref="Q7:Q8"/>
    <mergeCell ref="R7:R8"/>
    <mergeCell ref="Z6:Z8"/>
    <mergeCell ref="AA6:AA8"/>
    <mergeCell ref="AB6:AB8"/>
    <mergeCell ref="AC6:AC8"/>
    <mergeCell ref="AD6:AD8"/>
    <mergeCell ref="Y6:Y8"/>
    <mergeCell ref="K7:K8"/>
    <mergeCell ref="L7:L8"/>
    <mergeCell ref="M7:M8"/>
    <mergeCell ref="N7:N8"/>
    <mergeCell ref="U7:U8"/>
    <mergeCell ref="V7:V8"/>
    <mergeCell ref="W7:W8"/>
    <mergeCell ref="X7:X8"/>
    <mergeCell ref="S7:S8"/>
    <mergeCell ref="T7:T8"/>
    <mergeCell ref="A2:AE2"/>
    <mergeCell ref="A3:AE3"/>
    <mergeCell ref="A4:AE4"/>
    <mergeCell ref="A6:A8"/>
    <mergeCell ref="B6:B8"/>
    <mergeCell ref="C6:C8"/>
    <mergeCell ref="D6:D8"/>
    <mergeCell ref="E6:E8"/>
    <mergeCell ref="F6:F8"/>
    <mergeCell ref="G6:G8"/>
    <mergeCell ref="AE6:AE8"/>
    <mergeCell ref="H6:H8"/>
    <mergeCell ref="I6:I8"/>
    <mergeCell ref="J6:J8"/>
    <mergeCell ref="K6:P6"/>
    <mergeCell ref="S6:X6"/>
  </mergeCells>
  <printOptions horizontalCentered="1" verticalCentered="1"/>
  <pageMargins left="0" right="0" top="0.78740157480314965" bottom="0" header="0" footer="0"/>
  <pageSetup paperSize="5" scale="61" orientation="landscape" r:id="rId1"/>
  <headerFooter alignWithMargins="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5B4BD-B758-484D-A51B-78DE8ECC9108}">
  <sheetPr transitionEvaluation="1">
    <tabColor rgb="FFFFFF00"/>
    <pageSetUpPr fitToPage="1"/>
  </sheetPr>
  <dimension ref="A2:AI42"/>
  <sheetViews>
    <sheetView showGridLines="0" topLeftCell="J8" zoomScale="87" zoomScaleNormal="87" workbookViewId="0">
      <selection activeCell="L13" sqref="L13"/>
    </sheetView>
  </sheetViews>
  <sheetFormatPr baseColWidth="10" defaultColWidth="9.85546875" defaultRowHeight="14.4" x14ac:dyDescent="0.2"/>
  <cols>
    <col min="1" max="1" width="5.42578125" style="1" bestFit="1" customWidth="1"/>
    <col min="2" max="2" width="4.140625" style="1" hidden="1" customWidth="1"/>
    <col min="3" max="3" width="16.42578125" style="1" hidden="1" customWidth="1"/>
    <col min="4" max="4" width="28.28515625" style="1" customWidth="1"/>
    <col min="5" max="5" width="5.28515625" style="1" customWidth="1"/>
    <col min="6" max="6" width="6" style="5" bestFit="1" customWidth="1"/>
    <col min="7" max="7" width="23.28515625" style="5" hidden="1" customWidth="1"/>
    <col min="8" max="8" width="12.42578125" style="5" hidden="1" customWidth="1"/>
    <col min="9" max="9" width="12.42578125" style="575" hidden="1" customWidth="1"/>
    <col min="10" max="10" width="15.140625" style="1" customWidth="1"/>
    <col min="11" max="11" width="17.42578125" style="1" bestFit="1" customWidth="1"/>
    <col min="12" max="12" width="12.42578125" style="6" bestFit="1" customWidth="1"/>
    <col min="13" max="13" width="9" style="6" hidden="1" customWidth="1"/>
    <col min="14" max="14" width="12" style="6" hidden="1" customWidth="1"/>
    <col min="15" max="15" width="8.85546875" style="6" customWidth="1"/>
    <col min="16" max="16" width="15.42578125" style="1" customWidth="1"/>
    <col min="17" max="17" width="13.7109375" style="1" customWidth="1"/>
    <col min="18" max="18" width="14.28515625" style="1" customWidth="1"/>
    <col min="19" max="19" width="16.85546875" style="1" bestFit="1" customWidth="1"/>
    <col min="20" max="20" width="13.28515625" style="1" hidden="1" customWidth="1"/>
    <col min="21" max="21" width="12.42578125" style="1" customWidth="1"/>
    <col min="22" max="22" width="8.42578125" style="1" customWidth="1"/>
    <col min="23" max="23" width="10.42578125" style="1" customWidth="1"/>
    <col min="24" max="24" width="14.85546875" style="1" bestFit="1" customWidth="1"/>
    <col min="25" max="25" width="15.85546875" style="1" customWidth="1"/>
    <col min="26" max="26" width="13.42578125" style="1" customWidth="1"/>
    <col min="27" max="27" width="12.42578125" style="1" customWidth="1"/>
    <col min="28" max="28" width="17.85546875" style="1" customWidth="1"/>
    <col min="29" max="29" width="54" style="1" customWidth="1"/>
    <col min="30" max="30" width="13.140625" style="1" hidden="1" customWidth="1"/>
    <col min="31" max="31" width="17.140625" style="1" hidden="1" customWidth="1"/>
    <col min="32" max="32" width="38.85546875" style="1" customWidth="1"/>
    <col min="33" max="33" width="3.85546875" style="1" customWidth="1"/>
    <col min="34" max="34" width="8.85546875" style="1" customWidth="1"/>
    <col min="35" max="36" width="1.85546875" style="1" customWidth="1"/>
    <col min="37" max="37" width="13.85546875" style="1" customWidth="1"/>
    <col min="38" max="38" width="6.85546875" style="1" customWidth="1"/>
    <col min="39" max="39" width="5.85546875" style="1" customWidth="1"/>
    <col min="40" max="40" width="7.85546875" style="1" customWidth="1"/>
    <col min="41" max="41" width="1.85546875" style="1" customWidth="1"/>
    <col min="42" max="42" width="38.85546875" style="1" customWidth="1"/>
    <col min="43" max="43" width="3.85546875" style="1" customWidth="1"/>
    <col min="44" max="44" width="8.85546875" style="1" customWidth="1"/>
    <col min="45" max="45" width="1.85546875" style="1" customWidth="1"/>
    <col min="46" max="16384" width="9.85546875" style="1"/>
  </cols>
  <sheetData>
    <row r="2" spans="1:35" s="15" customFormat="1" ht="17.25" customHeight="1" x14ac:dyDescent="0.2">
      <c r="A2" s="1177" t="s">
        <v>277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</row>
    <row r="3" spans="1:35" s="15" customFormat="1" ht="17.25" customHeight="1" x14ac:dyDescent="0.2">
      <c r="A3" s="1177" t="s">
        <v>312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1177"/>
      <c r="AA3" s="1177"/>
      <c r="AB3" s="1177"/>
      <c r="AC3" s="1177"/>
      <c r="AD3" s="1177"/>
      <c r="AE3" s="1177"/>
    </row>
    <row r="4" spans="1:35" s="15" customFormat="1" ht="17.25" customHeight="1" x14ac:dyDescent="0.3">
      <c r="A4" s="1178" t="str">
        <f>+TECNICOS!A4</f>
        <v>QUINCENA DEL 16  AL 30  DE ABRIL - 2026</v>
      </c>
      <c r="B4" s="1178"/>
      <c r="C4" s="1178"/>
      <c r="D4" s="1178"/>
      <c r="E4" s="1178"/>
      <c r="F4" s="1178"/>
      <c r="G4" s="1178"/>
      <c r="H4" s="1178"/>
      <c r="I4" s="1178"/>
      <c r="J4" s="1178"/>
      <c r="K4" s="1178"/>
      <c r="L4" s="1178"/>
      <c r="M4" s="1178"/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1178"/>
      <c r="AA4" s="1178"/>
      <c r="AB4" s="1178"/>
      <c r="AC4" s="1178"/>
      <c r="AD4" s="1178"/>
      <c r="AE4" s="1178"/>
    </row>
    <row r="5" spans="1:35" s="15" customFormat="1" ht="18" customHeight="1" thickBot="1" x14ac:dyDescent="0.35">
      <c r="A5" s="74"/>
      <c r="B5" s="75"/>
      <c r="C5" s="74"/>
      <c r="D5" s="74"/>
      <c r="E5" s="74"/>
      <c r="F5" s="74"/>
      <c r="G5" s="74"/>
      <c r="H5" s="74"/>
      <c r="I5" s="590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26"/>
      <c r="AD5" s="26"/>
      <c r="AE5" s="26"/>
    </row>
    <row r="6" spans="1:35" s="11" customFormat="1" ht="15" customHeight="1" thickTop="1" thickBot="1" x14ac:dyDescent="0.25">
      <c r="A6" s="1143" t="s">
        <v>2</v>
      </c>
      <c r="B6" s="1143" t="s">
        <v>3</v>
      </c>
      <c r="C6" s="1143" t="s">
        <v>4</v>
      </c>
      <c r="D6" s="1143" t="s">
        <v>6</v>
      </c>
      <c r="E6" s="1179" t="s">
        <v>187</v>
      </c>
      <c r="F6" s="1143" t="s">
        <v>7</v>
      </c>
      <c r="G6" s="1144" t="s">
        <v>126</v>
      </c>
      <c r="H6" s="1182" t="s">
        <v>125</v>
      </c>
      <c r="I6" s="1511" t="s">
        <v>82</v>
      </c>
      <c r="J6" s="1143" t="s">
        <v>8</v>
      </c>
      <c r="K6" s="1151" t="s">
        <v>9</v>
      </c>
      <c r="L6" s="1151"/>
      <c r="M6" s="1151"/>
      <c r="N6" s="1151"/>
      <c r="O6" s="1151"/>
      <c r="P6" s="1151"/>
      <c r="Q6" s="351"/>
      <c r="R6" s="351"/>
      <c r="S6" s="1143" t="s">
        <v>10</v>
      </c>
      <c r="T6" s="1143"/>
      <c r="U6" s="1143"/>
      <c r="V6" s="1143"/>
      <c r="W6" s="1143"/>
      <c r="X6" s="1143"/>
      <c r="Y6" s="1335" t="s">
        <v>29</v>
      </c>
      <c r="Z6" s="1143" t="s">
        <v>31</v>
      </c>
      <c r="AA6" s="1157" t="s">
        <v>114</v>
      </c>
      <c r="AB6" s="1143" t="s">
        <v>11</v>
      </c>
      <c r="AC6" s="1173" t="s">
        <v>12</v>
      </c>
      <c r="AD6" s="1143"/>
      <c r="AE6" s="1143"/>
    </row>
    <row r="7" spans="1:35" s="13" customFormat="1" ht="21.75" customHeight="1" thickTop="1" thickBot="1" x14ac:dyDescent="0.25">
      <c r="A7" s="1143"/>
      <c r="B7" s="1143"/>
      <c r="C7" s="1143"/>
      <c r="D7" s="1143"/>
      <c r="E7" s="1180"/>
      <c r="F7" s="1143"/>
      <c r="G7" s="1144"/>
      <c r="H7" s="1182"/>
      <c r="I7" s="1512"/>
      <c r="J7" s="1143"/>
      <c r="K7" s="1143" t="s">
        <v>177</v>
      </c>
      <c r="L7" s="1155" t="s">
        <v>16</v>
      </c>
      <c r="M7" s="1168" t="s">
        <v>196</v>
      </c>
      <c r="N7" s="1168" t="s">
        <v>197</v>
      </c>
      <c r="O7" s="1333" t="s">
        <v>195</v>
      </c>
      <c r="P7" s="1143" t="s">
        <v>200</v>
      </c>
      <c r="Q7" s="1335" t="s">
        <v>199</v>
      </c>
      <c r="R7" s="1335" t="s">
        <v>53</v>
      </c>
      <c r="S7" s="1143" t="s">
        <v>29</v>
      </c>
      <c r="T7" s="1335"/>
      <c r="U7" s="1335" t="s">
        <v>3</v>
      </c>
      <c r="V7" s="1143" t="s">
        <v>19</v>
      </c>
      <c r="W7" s="1143" t="s">
        <v>94</v>
      </c>
      <c r="X7" s="1143" t="s">
        <v>20</v>
      </c>
      <c r="Y7" s="1337"/>
      <c r="Z7" s="1143"/>
      <c r="AA7" s="1157"/>
      <c r="AB7" s="1143"/>
      <c r="AC7" s="1173"/>
      <c r="AD7" s="1143"/>
      <c r="AE7" s="1143"/>
      <c r="AF7" s="12"/>
      <c r="AG7" s="12"/>
      <c r="AH7" s="12"/>
      <c r="AI7" s="12"/>
    </row>
    <row r="8" spans="1:35" s="13" customFormat="1" ht="43.65" customHeight="1" thickTop="1" thickBot="1" x14ac:dyDescent="0.25">
      <c r="A8" s="1143"/>
      <c r="B8" s="1143"/>
      <c r="C8" s="1143"/>
      <c r="D8" s="1143"/>
      <c r="E8" s="1181"/>
      <c r="F8" s="1143"/>
      <c r="G8" s="1144"/>
      <c r="H8" s="1182"/>
      <c r="I8" s="1513"/>
      <c r="J8" s="1143"/>
      <c r="K8" s="1143"/>
      <c r="L8" s="1155"/>
      <c r="M8" s="1169"/>
      <c r="N8" s="1169"/>
      <c r="O8" s="1334"/>
      <c r="P8" s="1143"/>
      <c r="Q8" s="1336"/>
      <c r="R8" s="1336"/>
      <c r="S8" s="1143"/>
      <c r="T8" s="1336"/>
      <c r="U8" s="1336"/>
      <c r="V8" s="1143"/>
      <c r="W8" s="1143"/>
      <c r="X8" s="1143"/>
      <c r="Y8" s="1336"/>
      <c r="Z8" s="1143"/>
      <c r="AA8" s="1157"/>
      <c r="AB8" s="1143"/>
      <c r="AC8" s="1173"/>
      <c r="AD8" s="1143"/>
      <c r="AE8" s="1143"/>
    </row>
    <row r="9" spans="1:35" s="326" customFormat="1" ht="85.2" customHeight="1" thickTop="1" thickBot="1" x14ac:dyDescent="0.25">
      <c r="A9" s="319">
        <v>1</v>
      </c>
      <c r="B9" s="320">
        <v>1</v>
      </c>
      <c r="C9" s="334"/>
      <c r="D9" s="633" t="s">
        <v>313</v>
      </c>
      <c r="E9" s="211" t="s">
        <v>32</v>
      </c>
      <c r="F9" s="352" t="s">
        <v>311</v>
      </c>
      <c r="G9" s="78"/>
      <c r="H9" s="79"/>
      <c r="I9" s="567">
        <v>320</v>
      </c>
      <c r="J9" s="583">
        <v>9600</v>
      </c>
      <c r="K9" s="583">
        <f>(J9/30)*L9</f>
        <v>0</v>
      </c>
      <c r="L9" s="628">
        <v>0</v>
      </c>
      <c r="M9" s="328">
        <f>+N9*O9</f>
        <v>0</v>
      </c>
      <c r="N9" s="584">
        <f>I9*60%</f>
        <v>192</v>
      </c>
      <c r="O9" s="328">
        <v>0</v>
      </c>
      <c r="P9" s="585">
        <f>+K9-Q9-R9</f>
        <v>0</v>
      </c>
      <c r="Q9" s="585">
        <f>+K9/12</f>
        <v>0</v>
      </c>
      <c r="R9" s="585">
        <f>+Q9</f>
        <v>0</v>
      </c>
      <c r="S9" s="583">
        <f>+R9+P9+Q9</f>
        <v>0</v>
      </c>
      <c r="T9" s="321">
        <f>P9+Q9</f>
        <v>0</v>
      </c>
      <c r="U9" s="321"/>
      <c r="V9" s="321"/>
      <c r="W9" s="321"/>
      <c r="X9" s="324">
        <f>U9</f>
        <v>0</v>
      </c>
      <c r="Y9" s="585">
        <f>-X9+P9+Q9+R9</f>
        <v>0</v>
      </c>
      <c r="Z9" s="324">
        <v>0</v>
      </c>
      <c r="AA9" s="324">
        <v>0</v>
      </c>
      <c r="AB9" s="355">
        <f>Y9+Z9-AA9</f>
        <v>0</v>
      </c>
      <c r="AC9" s="325"/>
      <c r="AD9" s="325">
        <v>0.155</v>
      </c>
      <c r="AE9" s="325">
        <f>S9-R9</f>
        <v>0</v>
      </c>
    </row>
    <row r="10" spans="1:35" s="326" customFormat="1" ht="85.2" customHeight="1" thickTop="1" thickBot="1" x14ac:dyDescent="0.25">
      <c r="A10" s="319">
        <v>1</v>
      </c>
      <c r="B10" s="320">
        <v>1</v>
      </c>
      <c r="C10" s="334"/>
      <c r="D10" s="633" t="s">
        <v>325</v>
      </c>
      <c r="E10" s="211" t="s">
        <v>188</v>
      </c>
      <c r="F10" s="352" t="s">
        <v>324</v>
      </c>
      <c r="G10" s="78"/>
      <c r="H10" s="79"/>
      <c r="I10" s="567">
        <v>275</v>
      </c>
      <c r="J10" s="583">
        <v>8250</v>
      </c>
      <c r="K10" s="583">
        <f>(J10/30)*L10</f>
        <v>0</v>
      </c>
      <c r="L10" s="628">
        <v>0</v>
      </c>
      <c r="M10" s="328">
        <f>+N10*O10</f>
        <v>0</v>
      </c>
      <c r="N10" s="584">
        <f>I10*60%</f>
        <v>165</v>
      </c>
      <c r="O10" s="328">
        <v>0</v>
      </c>
      <c r="P10" s="585">
        <f>+K10-Q10-R10</f>
        <v>0</v>
      </c>
      <c r="Q10" s="585">
        <f>+K10/12</f>
        <v>0</v>
      </c>
      <c r="R10" s="585">
        <f>+Q10</f>
        <v>0</v>
      </c>
      <c r="S10" s="583">
        <f>+R10+P10+Q10</f>
        <v>0</v>
      </c>
      <c r="T10" s="321">
        <f>P10+Q10</f>
        <v>0</v>
      </c>
      <c r="U10" s="321"/>
      <c r="V10" s="321"/>
      <c r="W10" s="321"/>
      <c r="X10" s="324">
        <f>U10</f>
        <v>0</v>
      </c>
      <c r="Y10" s="585">
        <f>-X10+P10+Q10+R10</f>
        <v>0</v>
      </c>
      <c r="Z10" s="324">
        <v>0</v>
      </c>
      <c r="AA10" s="324">
        <v>0</v>
      </c>
      <c r="AB10" s="355">
        <f>Y10+Z10-AA10</f>
        <v>0</v>
      </c>
      <c r="AC10" s="325"/>
      <c r="AD10" s="325">
        <v>0.155</v>
      </c>
      <c r="AE10" s="325">
        <f>S10-R10</f>
        <v>0</v>
      </c>
    </row>
    <row r="11" spans="1:35" s="7" customFormat="1" ht="75" customHeight="1" thickTop="1" thickBot="1" x14ac:dyDescent="0.25">
      <c r="A11" s="1162" t="s">
        <v>95</v>
      </c>
      <c r="B11" s="1163"/>
      <c r="C11" s="1163"/>
      <c r="D11" s="1164"/>
      <c r="E11" s="211"/>
      <c r="F11" s="210"/>
      <c r="G11" s="85" t="e">
        <f>SUM(#REF!)</f>
        <v>#REF!</v>
      </c>
      <c r="H11" s="85"/>
      <c r="I11" s="591" t="e">
        <f>SUM(#REF!)</f>
        <v>#REF!</v>
      </c>
      <c r="J11" s="86">
        <f>SUM(J9:J10)</f>
        <v>17850</v>
      </c>
      <c r="K11" s="86">
        <f t="shared" ref="K11:AB11" si="0">SUM(K9:K10)</f>
        <v>0</v>
      </c>
      <c r="L11" s="86">
        <f t="shared" si="0"/>
        <v>0</v>
      </c>
      <c r="M11" s="86">
        <f t="shared" si="0"/>
        <v>0</v>
      </c>
      <c r="N11" s="86">
        <f t="shared" si="0"/>
        <v>357</v>
      </c>
      <c r="O11" s="86">
        <f t="shared" si="0"/>
        <v>0</v>
      </c>
      <c r="P11" s="86">
        <f t="shared" si="0"/>
        <v>0</v>
      </c>
      <c r="Q11" s="86">
        <f t="shared" si="0"/>
        <v>0</v>
      </c>
      <c r="R11" s="86">
        <f t="shared" si="0"/>
        <v>0</v>
      </c>
      <c r="S11" s="86">
        <f t="shared" si="0"/>
        <v>0</v>
      </c>
      <c r="T11" s="86">
        <f t="shared" si="0"/>
        <v>0</v>
      </c>
      <c r="U11" s="86">
        <f t="shared" si="0"/>
        <v>0</v>
      </c>
      <c r="V11" s="86">
        <f t="shared" si="0"/>
        <v>0</v>
      </c>
      <c r="W11" s="86">
        <f t="shared" si="0"/>
        <v>0</v>
      </c>
      <c r="X11" s="86">
        <f t="shared" si="0"/>
        <v>0</v>
      </c>
      <c r="Y11" s="86">
        <f t="shared" si="0"/>
        <v>0</v>
      </c>
      <c r="Z11" s="86">
        <f t="shared" si="0"/>
        <v>0</v>
      </c>
      <c r="AA11" s="86">
        <f t="shared" si="0"/>
        <v>0</v>
      </c>
      <c r="AB11" s="163">
        <f t="shared" si="0"/>
        <v>0</v>
      </c>
      <c r="AC11" s="87" t="s">
        <v>105</v>
      </c>
      <c r="AD11" s="86" t="e">
        <f>SUM(#REF!)</f>
        <v>#REF!</v>
      </c>
      <c r="AE11" s="86" t="e">
        <f>SUM(#REF!)</f>
        <v>#REF!</v>
      </c>
    </row>
    <row r="12" spans="1:35" s="14" customFormat="1" ht="19.5" customHeight="1" thickTop="1" x14ac:dyDescent="0.2">
      <c r="A12" s="27"/>
      <c r="B12" s="27"/>
      <c r="C12" s="27"/>
      <c r="D12" s="27"/>
      <c r="E12" s="27"/>
      <c r="F12" s="28"/>
      <c r="G12" s="28"/>
      <c r="H12" s="28"/>
      <c r="I12" s="568"/>
      <c r="J12" s="27"/>
      <c r="K12" s="27"/>
      <c r="L12" s="29"/>
      <c r="M12" s="29"/>
      <c r="N12" s="29"/>
      <c r="O12" s="29"/>
      <c r="P12" s="27" t="s">
        <v>5</v>
      </c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spans="1:35" s="14" customFormat="1" ht="19.5" customHeight="1" x14ac:dyDescent="0.2">
      <c r="A13" s="27"/>
      <c r="B13" s="27"/>
      <c r="C13" s="27"/>
      <c r="D13" s="27"/>
      <c r="E13" s="27"/>
      <c r="F13" s="28"/>
      <c r="G13" s="28"/>
      <c r="H13" s="28"/>
      <c r="I13" s="568"/>
      <c r="J13" s="27"/>
      <c r="K13" s="27"/>
      <c r="L13" s="29"/>
      <c r="M13" s="29"/>
      <c r="N13" s="29"/>
      <c r="O13" s="29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5" s="14" customFormat="1" ht="19.5" customHeight="1" x14ac:dyDescent="0.2">
      <c r="A14" s="27"/>
      <c r="B14" s="27"/>
      <c r="C14" s="27"/>
      <c r="D14" s="27"/>
      <c r="E14" s="27"/>
      <c r="F14" s="28"/>
      <c r="G14" s="28"/>
      <c r="H14" s="28"/>
      <c r="I14" s="568"/>
      <c r="J14" s="27"/>
      <c r="K14" s="27"/>
      <c r="L14" s="29"/>
      <c r="M14" s="29"/>
      <c r="N14" s="29"/>
      <c r="O14" s="29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35" s="14" customFormat="1" ht="19.5" customHeight="1" x14ac:dyDescent="0.2">
      <c r="A15" s="27"/>
      <c r="B15" s="27"/>
      <c r="C15" s="27"/>
      <c r="D15" s="27"/>
      <c r="E15" s="27"/>
      <c r="F15" s="28"/>
      <c r="G15" s="28"/>
      <c r="H15" s="28"/>
      <c r="I15" s="569"/>
      <c r="J15" s="338"/>
      <c r="K15" s="27"/>
      <c r="L15" s="29"/>
      <c r="M15" s="29"/>
      <c r="N15" s="29"/>
      <c r="O15" s="29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5" s="11" customFormat="1" x14ac:dyDescent="0.2">
      <c r="A16" s="27"/>
      <c r="B16" s="27"/>
      <c r="C16" s="27"/>
      <c r="D16" s="27"/>
      <c r="E16" s="27"/>
      <c r="F16" s="28"/>
      <c r="G16" s="28"/>
      <c r="H16" s="28"/>
      <c r="I16" s="568"/>
      <c r="J16" s="27"/>
      <c r="K16" s="27"/>
      <c r="L16" s="29"/>
      <c r="M16" s="29"/>
      <c r="N16" s="29"/>
      <c r="O16" s="29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</row>
    <row r="17" spans="1:31" s="11" customFormat="1" x14ac:dyDescent="0.2">
      <c r="A17" s="30"/>
      <c r="B17" s="27"/>
      <c r="C17" s="30"/>
      <c r="D17" s="27"/>
      <c r="E17" s="27"/>
      <c r="F17" s="28"/>
      <c r="G17" s="28"/>
      <c r="H17" s="28"/>
      <c r="I17" s="568"/>
      <c r="J17" s="27"/>
      <c r="K17" s="27"/>
      <c r="L17" s="29"/>
      <c r="M17" s="29"/>
      <c r="N17" s="29"/>
      <c r="O17" s="29"/>
      <c r="P17" s="30"/>
      <c r="Q17" s="30"/>
      <c r="R17" s="30"/>
      <c r="S17" s="27"/>
      <c r="T17" s="27"/>
      <c r="U17" s="27"/>
      <c r="V17" s="27"/>
      <c r="W17" s="31"/>
      <c r="X17" s="27"/>
      <c r="Y17" s="27"/>
      <c r="Z17" s="27"/>
      <c r="AA17" s="27"/>
      <c r="AB17" s="30"/>
      <c r="AC17" s="27"/>
      <c r="AD17" s="27"/>
      <c r="AE17" s="27"/>
    </row>
    <row r="18" spans="1:31" s="11" customFormat="1" x14ac:dyDescent="0.2">
      <c r="A18" s="30"/>
      <c r="B18" s="27"/>
      <c r="C18" s="30"/>
      <c r="D18" s="27"/>
      <c r="E18" s="27"/>
      <c r="F18" s="28"/>
      <c r="G18" s="28"/>
      <c r="H18" s="28"/>
      <c r="I18" s="568"/>
      <c r="J18" s="27"/>
      <c r="K18" s="27"/>
      <c r="L18" s="29"/>
      <c r="M18" s="29"/>
      <c r="N18" s="29"/>
      <c r="O18" s="29"/>
      <c r="P18" s="30"/>
      <c r="Q18" s="30"/>
      <c r="R18" s="30"/>
      <c r="S18" s="27"/>
      <c r="T18" s="27"/>
      <c r="U18" s="27"/>
      <c r="V18" s="27"/>
      <c r="W18" s="32"/>
      <c r="X18" s="27"/>
      <c r="Y18" s="27"/>
      <c r="Z18" s="27"/>
      <c r="AA18" s="27"/>
      <c r="AB18" s="30"/>
      <c r="AC18" s="27"/>
      <c r="AD18" s="27"/>
      <c r="AE18" s="27"/>
    </row>
    <row r="19" spans="1:31" s="11" customFormat="1" x14ac:dyDescent="0.2">
      <c r="A19" s="30"/>
      <c r="B19" s="27"/>
      <c r="C19" s="1165"/>
      <c r="D19" s="1165"/>
      <c r="E19" s="1165"/>
      <c r="F19" s="1165"/>
      <c r="G19" s="49"/>
      <c r="H19" s="49"/>
      <c r="I19" s="570"/>
      <c r="J19" s="27"/>
      <c r="K19" s="27"/>
      <c r="L19" s="538"/>
      <c r="M19" s="538"/>
      <c r="N19" s="538"/>
      <c r="O19" s="538"/>
      <c r="P19" s="538"/>
      <c r="Q19" s="536"/>
      <c r="R19" s="536"/>
      <c r="S19" s="536"/>
      <c r="T19" s="536"/>
      <c r="U19" s="536"/>
      <c r="V19" s="538"/>
      <c r="W19" s="538"/>
      <c r="X19" s="538"/>
      <c r="Y19" s="29"/>
      <c r="Z19" s="27"/>
      <c r="AA19" s="27"/>
      <c r="AB19" s="1165"/>
      <c r="AC19" s="1165"/>
      <c r="AD19" s="1165"/>
      <c r="AE19" s="1165"/>
    </row>
    <row r="20" spans="1:31" s="11" customFormat="1" ht="13.5" customHeight="1" x14ac:dyDescent="0.2">
      <c r="A20" s="27"/>
      <c r="B20" s="27"/>
      <c r="C20" s="1167" t="s">
        <v>23</v>
      </c>
      <c r="D20" s="1167"/>
      <c r="E20" s="1167"/>
      <c r="F20" s="1167"/>
      <c r="G20" s="52"/>
      <c r="H20" s="52"/>
      <c r="I20" s="571"/>
      <c r="J20" s="27"/>
      <c r="K20" s="27"/>
      <c r="L20" s="1160" t="s">
        <v>24</v>
      </c>
      <c r="M20" s="1160"/>
      <c r="N20" s="1160"/>
      <c r="O20" s="1160"/>
      <c r="P20" s="1160"/>
      <c r="Q20" s="1160"/>
      <c r="R20" s="1160"/>
      <c r="S20" s="1160"/>
      <c r="T20" s="1160"/>
      <c r="U20" s="1160"/>
      <c r="V20" s="1160"/>
      <c r="W20" s="1160"/>
      <c r="X20" s="1160"/>
      <c r="Y20" s="52"/>
      <c r="Z20" s="27"/>
      <c r="AA20" s="27"/>
      <c r="AB20" s="1167" t="s">
        <v>25</v>
      </c>
      <c r="AC20" s="1167"/>
      <c r="AD20" s="1167"/>
      <c r="AE20" s="1167"/>
    </row>
    <row r="21" spans="1:31" s="11" customFormat="1" x14ac:dyDescent="0.2">
      <c r="A21" s="30"/>
      <c r="B21" s="27"/>
      <c r="C21" s="1159" t="str">
        <f>+'ADMON COM. '!C50:F50</f>
        <v>Jose Martin Conrrado</v>
      </c>
      <c r="D21" s="1159"/>
      <c r="E21" s="1159"/>
      <c r="F21" s="1159"/>
      <c r="G21" s="48"/>
      <c r="H21" s="48"/>
      <c r="I21" s="572"/>
      <c r="J21" s="27"/>
      <c r="K21" s="30"/>
      <c r="L21" s="1159" t="s">
        <v>271</v>
      </c>
      <c r="M21" s="1159"/>
      <c r="N21" s="1159"/>
      <c r="O21" s="1159"/>
      <c r="P21" s="1159"/>
      <c r="Q21" s="1159"/>
      <c r="R21" s="1159"/>
      <c r="S21" s="1159"/>
      <c r="T21" s="1159"/>
      <c r="U21" s="1159"/>
      <c r="V21" s="1159"/>
      <c r="W21" s="1159"/>
      <c r="X21" s="1159"/>
      <c r="Y21" s="48"/>
      <c r="Z21" s="33"/>
      <c r="AA21" s="33"/>
      <c r="AB21" s="1160" t="s">
        <v>27</v>
      </c>
      <c r="AC21" s="1160"/>
      <c r="AD21" s="1160"/>
      <c r="AE21" s="1160"/>
    </row>
    <row r="22" spans="1:31" s="11" customFormat="1" x14ac:dyDescent="0.2">
      <c r="A22" s="8"/>
      <c r="B22" s="8"/>
      <c r="C22" s="1161"/>
      <c r="D22" s="1161"/>
      <c r="E22" s="25"/>
      <c r="F22" s="25"/>
      <c r="G22" s="25"/>
      <c r="H22" s="25"/>
      <c r="I22" s="573"/>
      <c r="J22" s="8"/>
      <c r="K22" s="8"/>
      <c r="L22" s="9"/>
      <c r="M22" s="9"/>
      <c r="N22" s="9"/>
      <c r="O22" s="9"/>
      <c r="P22" s="1161"/>
      <c r="Q22" s="1161"/>
      <c r="R22" s="1161"/>
      <c r="S22" s="1161"/>
      <c r="T22" s="1161"/>
      <c r="U22" s="1161"/>
      <c r="V22" s="1161"/>
      <c r="W22" s="25"/>
      <c r="X22" s="25"/>
      <c r="Y22" s="25"/>
      <c r="Z22" s="25"/>
      <c r="AA22" s="25"/>
      <c r="AB22" s="8"/>
      <c r="AC22" s="8"/>
      <c r="AD22" s="8"/>
      <c r="AE22" s="8"/>
    </row>
    <row r="23" spans="1:31" x14ac:dyDescent="0.2">
      <c r="A23" s="3"/>
      <c r="B23" s="3"/>
      <c r="C23" s="3"/>
      <c r="D23" s="3"/>
      <c r="E23" s="3"/>
      <c r="F23" s="4"/>
      <c r="G23" s="4"/>
      <c r="H23" s="4"/>
      <c r="I23" s="574"/>
      <c r="J23" s="3"/>
      <c r="K23" s="3"/>
      <c r="L23" s="2"/>
      <c r="M23" s="2"/>
      <c r="N23" s="2"/>
      <c r="O23" s="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">
      <c r="A24" s="3"/>
      <c r="B24" s="3"/>
      <c r="C24" s="3"/>
      <c r="D24" s="3"/>
      <c r="E24" s="3"/>
      <c r="F24" s="4"/>
      <c r="G24" s="4"/>
      <c r="H24" s="4"/>
      <c r="I24" s="574"/>
      <c r="J24" s="3"/>
      <c r="K24" s="3"/>
      <c r="L24" s="2"/>
      <c r="M24" s="2"/>
      <c r="N24" s="2"/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">
      <c r="A25" s="3"/>
      <c r="B25" s="3"/>
      <c r="C25" s="3"/>
      <c r="D25" s="3"/>
      <c r="E25" s="3"/>
      <c r="F25" s="4"/>
      <c r="G25" s="4"/>
      <c r="H25" s="4"/>
      <c r="I25" s="574"/>
      <c r="J25" s="3"/>
      <c r="K25" s="3"/>
      <c r="L25" s="2"/>
      <c r="M25" s="2"/>
      <c r="N25" s="2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2">
      <c r="A26" s="3"/>
      <c r="B26" s="3"/>
      <c r="C26" s="3"/>
      <c r="D26" s="3"/>
      <c r="E26" s="3"/>
      <c r="F26" s="4"/>
      <c r="G26" s="4"/>
      <c r="H26" s="4"/>
      <c r="I26" s="574"/>
      <c r="J26" s="3"/>
      <c r="K26" s="3"/>
      <c r="L26" s="2"/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">
      <c r="A27" s="3"/>
      <c r="B27" s="3"/>
      <c r="C27" s="3"/>
      <c r="D27" s="3"/>
      <c r="E27" s="3"/>
      <c r="F27" s="4"/>
      <c r="G27" s="4"/>
      <c r="H27" s="4"/>
      <c r="I27" s="574"/>
      <c r="J27" s="3"/>
      <c r="K27" s="3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2">
      <c r="A28" s="3"/>
      <c r="B28" s="3"/>
      <c r="C28" s="3"/>
      <c r="D28" s="3"/>
      <c r="E28" s="3"/>
      <c r="F28" s="4"/>
      <c r="G28" s="4"/>
      <c r="H28" s="4"/>
      <c r="I28" s="574"/>
      <c r="J28" s="3"/>
      <c r="K28" s="3"/>
      <c r="L28" s="2"/>
      <c r="M28" s="2"/>
      <c r="N28" s="2"/>
      <c r="O28" s="2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39" spans="1:31" x14ac:dyDescent="0.2">
      <c r="A39" s="3"/>
      <c r="B39" s="3"/>
      <c r="C39" s="3"/>
      <c r="D39" s="3"/>
      <c r="E39" s="3"/>
      <c r="F39" s="4"/>
      <c r="G39" s="4"/>
      <c r="H39" s="4"/>
      <c r="I39" s="574"/>
      <c r="J39" s="3"/>
      <c r="K39" s="3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2">
      <c r="A40" s="3"/>
      <c r="B40" s="3"/>
      <c r="C40" s="3"/>
      <c r="D40" s="3"/>
      <c r="E40" s="3"/>
      <c r="F40" s="4"/>
      <c r="G40" s="4"/>
      <c r="H40" s="4"/>
      <c r="I40" s="574"/>
      <c r="J40" s="3"/>
      <c r="K40" s="3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">
      <c r="A41" s="3"/>
      <c r="B41" s="3"/>
      <c r="C41" s="3"/>
      <c r="D41" s="3"/>
      <c r="E41" s="3"/>
      <c r="F41" s="4"/>
      <c r="G41" s="4"/>
      <c r="H41" s="4"/>
      <c r="I41" s="574"/>
      <c r="J41" s="3"/>
      <c r="K41" s="3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spans="1:31" x14ac:dyDescent="0.2">
      <c r="A42" s="3"/>
      <c r="B42" s="3"/>
      <c r="C42" s="3"/>
      <c r="D42" s="3"/>
      <c r="E42" s="3"/>
      <c r="F42" s="4"/>
      <c r="G42" s="4"/>
      <c r="H42" s="4"/>
      <c r="I42" s="574"/>
      <c r="J42" s="3"/>
      <c r="K42" s="3"/>
      <c r="L42" s="2"/>
      <c r="M42" s="2"/>
      <c r="N42" s="2"/>
      <c r="O42" s="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</sheetData>
  <mergeCells count="47">
    <mergeCell ref="C22:D22"/>
    <mergeCell ref="P22:V22"/>
    <mergeCell ref="AB19:AE19"/>
    <mergeCell ref="C20:F20"/>
    <mergeCell ref="L20:X20"/>
    <mergeCell ref="AB20:AE20"/>
    <mergeCell ref="C21:F21"/>
    <mergeCell ref="L21:X21"/>
    <mergeCell ref="AB21:AE21"/>
    <mergeCell ref="C19:F19"/>
    <mergeCell ref="A11:D11"/>
    <mergeCell ref="O7:O8"/>
    <mergeCell ref="P7:P8"/>
    <mergeCell ref="Q7:Q8"/>
    <mergeCell ref="R7:R8"/>
    <mergeCell ref="Z6:Z8"/>
    <mergeCell ref="AA6:AA8"/>
    <mergeCell ref="AB6:AB8"/>
    <mergeCell ref="AC6:AC8"/>
    <mergeCell ref="AD6:AD8"/>
    <mergeCell ref="Y6:Y8"/>
    <mergeCell ref="K7:K8"/>
    <mergeCell ref="L7:L8"/>
    <mergeCell ref="M7:M8"/>
    <mergeCell ref="N7:N8"/>
    <mergeCell ref="U7:U8"/>
    <mergeCell ref="V7:V8"/>
    <mergeCell ref="W7:W8"/>
    <mergeCell ref="X7:X8"/>
    <mergeCell ref="S7:S8"/>
    <mergeCell ref="T7:T8"/>
    <mergeCell ref="A2:AE2"/>
    <mergeCell ref="A3:AE3"/>
    <mergeCell ref="A4:AE4"/>
    <mergeCell ref="A6:A8"/>
    <mergeCell ref="B6:B8"/>
    <mergeCell ref="C6:C8"/>
    <mergeCell ref="D6:D8"/>
    <mergeCell ref="E6:E8"/>
    <mergeCell ref="F6:F8"/>
    <mergeCell ref="G6:G8"/>
    <mergeCell ref="AE6:AE8"/>
    <mergeCell ref="H6:H8"/>
    <mergeCell ref="I6:I8"/>
    <mergeCell ref="J6:J8"/>
    <mergeCell ref="K6:P6"/>
    <mergeCell ref="S6:X6"/>
  </mergeCells>
  <printOptions horizontalCentered="1" verticalCentered="1"/>
  <pageMargins left="0" right="0" top="0.78740157480314965" bottom="0" header="0" footer="0"/>
  <pageSetup paperSize="5" scale="61" orientation="landscape" r:id="rId1"/>
  <headerFooter alignWithMargins="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56E8-5654-40C7-A192-D8B8330CF253}">
  <sheetPr>
    <tabColor theme="6"/>
    <pageSetUpPr fitToPage="1"/>
  </sheetPr>
  <dimension ref="A1:BE35"/>
  <sheetViews>
    <sheetView topLeftCell="AI7" zoomScale="73" zoomScaleNormal="73" workbookViewId="0">
      <selection activeCell="BG12" sqref="BG12"/>
    </sheetView>
  </sheetViews>
  <sheetFormatPr baseColWidth="10" defaultColWidth="12" defaultRowHeight="10.199999999999999" x14ac:dyDescent="0.2"/>
  <cols>
    <col min="1" max="1" width="9.140625" style="226" customWidth="1"/>
    <col min="2" max="2" width="27.7109375" style="226" customWidth="1"/>
    <col min="3" max="3" width="5.28515625" style="226" bestFit="1" customWidth="1"/>
    <col min="4" max="4" width="7" style="226" customWidth="1"/>
    <col min="5" max="5" width="10" style="226" customWidth="1"/>
    <col min="6" max="6" width="10.42578125" style="226" customWidth="1"/>
    <col min="7" max="7" width="11.85546875" style="226" customWidth="1"/>
    <col min="8" max="8" width="11.42578125" style="226" customWidth="1"/>
    <col min="9" max="9" width="11.7109375" style="226" customWidth="1"/>
    <col min="10" max="11" width="11.140625" style="226" customWidth="1"/>
    <col min="12" max="12" width="8.7109375" style="226" hidden="1" customWidth="1"/>
    <col min="13" max="13" width="4.7109375" style="226" customWidth="1"/>
    <col min="14" max="14" width="9.42578125" style="226" customWidth="1"/>
    <col min="15" max="15" width="10.28515625" style="226" customWidth="1"/>
    <col min="16" max="17" width="10.42578125" style="226" customWidth="1"/>
    <col min="18" max="18" width="10.7109375" style="226" bestFit="1" customWidth="1"/>
    <col min="19" max="19" width="10.7109375" style="226" customWidth="1"/>
    <col min="20" max="20" width="10.7109375" style="226" bestFit="1" customWidth="1"/>
    <col min="21" max="21" width="9.42578125" style="226" hidden="1" customWidth="1"/>
    <col min="22" max="22" width="9.42578125" style="226" customWidth="1"/>
    <col min="23" max="23" width="7.85546875" style="226" hidden="1" customWidth="1"/>
    <col min="24" max="24" width="7.42578125" style="226" bestFit="1" customWidth="1"/>
    <col min="25" max="25" width="7.85546875" style="226" hidden="1" customWidth="1"/>
    <col min="26" max="26" width="3.85546875" style="226" hidden="1" customWidth="1"/>
    <col min="27" max="27" width="5" style="226" hidden="1" customWidth="1"/>
    <col min="28" max="28" width="7" style="226" customWidth="1"/>
    <col min="29" max="29" width="5" style="226" customWidth="1"/>
    <col min="30" max="30" width="4.140625" style="226" customWidth="1"/>
    <col min="31" max="31" width="6.140625" style="226" customWidth="1"/>
    <col min="32" max="32" width="12.28515625" style="226" customWidth="1"/>
    <col min="33" max="33" width="9.28515625" style="226" customWidth="1"/>
    <col min="34" max="34" width="6.85546875" style="226" customWidth="1"/>
    <col min="35" max="35" width="7.42578125" style="226" customWidth="1"/>
    <col min="36" max="36" width="13.140625" style="226" customWidth="1"/>
    <col min="37" max="37" width="10" style="226" bestFit="1" customWidth="1"/>
    <col min="38" max="38" width="11.7109375" style="226" customWidth="1"/>
    <col min="39" max="39" width="11" style="226" customWidth="1"/>
    <col min="40" max="40" width="6.42578125" style="226" customWidth="1"/>
    <col min="41" max="41" width="16.28515625" style="226" customWidth="1"/>
    <col min="42" max="42" width="6.85546875" style="226" customWidth="1"/>
    <col min="43" max="43" width="13.140625" style="226" customWidth="1"/>
    <col min="44" max="44" width="4.28515625" style="226" customWidth="1"/>
    <col min="45" max="45" width="16.85546875" style="226" customWidth="1"/>
    <col min="46" max="46" width="36.85546875" style="226" customWidth="1"/>
    <col min="47" max="47" width="10.42578125" style="226" hidden="1" customWidth="1"/>
    <col min="48" max="48" width="10.7109375" style="226" hidden="1" customWidth="1"/>
    <col min="49" max="49" width="13.42578125" style="226" customWidth="1"/>
    <col min="50" max="50" width="10" style="226" hidden="1" customWidth="1"/>
    <col min="51" max="51" width="11.7109375" style="226" customWidth="1"/>
    <col min="52" max="52" width="11.7109375" style="226" hidden="1" customWidth="1"/>
    <col min="53" max="53" width="8.42578125" style="226" hidden="1" customWidth="1"/>
    <col min="54" max="54" width="11.7109375" style="226" customWidth="1"/>
    <col min="55" max="55" width="11.42578125" style="226" customWidth="1"/>
    <col min="56" max="56" width="14" style="226" bestFit="1" customWidth="1"/>
    <col min="57" max="16384" width="12" style="226"/>
  </cols>
  <sheetData>
    <row r="1" spans="1:57" ht="22.2" customHeight="1" x14ac:dyDescent="0.3">
      <c r="A1" s="225"/>
      <c r="B1" s="1539"/>
      <c r="C1" s="1539"/>
      <c r="D1" s="1539"/>
      <c r="E1" s="1539"/>
      <c r="F1" s="1539"/>
      <c r="G1" s="1539"/>
      <c r="H1" s="1539"/>
      <c r="I1" s="1539"/>
      <c r="J1" s="1539"/>
      <c r="K1" s="1539"/>
      <c r="L1" s="1539"/>
      <c r="M1" s="1539"/>
      <c r="N1" s="1539"/>
      <c r="O1" s="1539"/>
      <c r="P1" s="1539"/>
      <c r="Q1" s="1539"/>
      <c r="R1" s="1539"/>
      <c r="S1" s="1539"/>
      <c r="T1" s="1539"/>
      <c r="U1" s="1539"/>
      <c r="V1" s="1539"/>
      <c r="W1" s="1539"/>
      <c r="X1" s="1539"/>
      <c r="Y1" s="1539"/>
      <c r="Z1" s="1539"/>
      <c r="AA1" s="1539"/>
      <c r="AB1" s="1539"/>
      <c r="AC1" s="1539"/>
      <c r="AD1" s="1539"/>
      <c r="AE1" s="1539"/>
      <c r="AF1" s="1539"/>
      <c r="AG1" s="1539"/>
      <c r="AH1" s="1539"/>
      <c r="AI1" s="1539"/>
      <c r="AJ1" s="1539"/>
      <c r="AK1" s="1539"/>
      <c r="AL1" s="1539"/>
      <c r="AM1" s="1539"/>
      <c r="AN1" s="1539"/>
      <c r="AO1" s="1539"/>
      <c r="AP1" s="1539"/>
      <c r="AQ1" s="1539"/>
      <c r="AR1" s="1539"/>
      <c r="AS1" s="1539"/>
      <c r="AT1" s="1539"/>
      <c r="AU1" s="1539"/>
      <c r="AV1" s="1539"/>
      <c r="AW1" s="1539"/>
      <c r="AX1" s="1539"/>
      <c r="AY1" s="1539"/>
      <c r="AZ1" s="1539"/>
      <c r="BA1" s="1539"/>
      <c r="BB1" s="1539"/>
      <c r="BC1" s="1539"/>
      <c r="BD1" s="1539"/>
    </row>
    <row r="2" spans="1:57" ht="25.2" customHeight="1" x14ac:dyDescent="0.2">
      <c r="A2" s="227"/>
      <c r="B2" s="1540"/>
      <c r="C2" s="1540"/>
      <c r="D2" s="1540"/>
      <c r="E2" s="1540"/>
      <c r="F2" s="1540"/>
      <c r="G2" s="1540"/>
      <c r="H2" s="1540"/>
      <c r="I2" s="1540"/>
      <c r="J2" s="1540"/>
      <c r="K2" s="1540"/>
      <c r="L2" s="1540"/>
      <c r="M2" s="1540"/>
      <c r="N2" s="1540"/>
      <c r="O2" s="1540"/>
      <c r="P2" s="1540"/>
      <c r="Q2" s="1540"/>
      <c r="R2" s="1540"/>
      <c r="S2" s="1540"/>
      <c r="T2" s="1540"/>
      <c r="U2" s="1540"/>
      <c r="V2" s="1540"/>
      <c r="W2" s="1540"/>
      <c r="X2" s="1540"/>
      <c r="Y2" s="1540"/>
      <c r="Z2" s="1540"/>
      <c r="AA2" s="1540"/>
      <c r="AB2" s="1540"/>
      <c r="AC2" s="1540"/>
      <c r="AD2" s="1540"/>
      <c r="AE2" s="1540"/>
      <c r="AF2" s="1540"/>
      <c r="AG2" s="1540"/>
      <c r="AH2" s="1540"/>
      <c r="AI2" s="1540"/>
      <c r="AJ2" s="1540"/>
      <c r="AK2" s="1540"/>
      <c r="AL2" s="1540"/>
      <c r="AM2" s="1540"/>
      <c r="AN2" s="1540"/>
      <c r="AO2" s="1540"/>
      <c r="AP2" s="1540"/>
      <c r="AQ2" s="1540"/>
      <c r="AR2" s="1540"/>
      <c r="AS2" s="1540"/>
      <c r="AT2" s="1540"/>
      <c r="AU2" s="1540"/>
      <c r="AV2" s="1540"/>
      <c r="AW2" s="1540"/>
      <c r="AX2" s="1540"/>
      <c r="AY2" s="1540"/>
      <c r="AZ2" s="1540"/>
      <c r="BA2" s="1540"/>
      <c r="BB2" s="1540"/>
      <c r="BC2" s="1540"/>
      <c r="BD2" s="1540"/>
      <c r="BE2" s="1540"/>
    </row>
    <row r="3" spans="1:57" ht="25.2" customHeight="1" x14ac:dyDescent="0.2">
      <c r="A3" s="227"/>
      <c r="B3" s="1540" t="s">
        <v>315</v>
      </c>
      <c r="C3" s="1540"/>
      <c r="D3" s="1540"/>
      <c r="E3" s="1540"/>
      <c r="F3" s="1540"/>
      <c r="G3" s="1540"/>
      <c r="H3" s="1540"/>
      <c r="I3" s="1540"/>
      <c r="J3" s="1540"/>
      <c r="K3" s="1540"/>
      <c r="L3" s="1540"/>
      <c r="M3" s="1540"/>
      <c r="N3" s="1540"/>
      <c r="O3" s="1540"/>
      <c r="P3" s="1540"/>
      <c r="Q3" s="1540"/>
      <c r="R3" s="1540"/>
      <c r="S3" s="1540"/>
      <c r="T3" s="1540"/>
      <c r="U3" s="1540"/>
      <c r="V3" s="1540"/>
      <c r="W3" s="1540"/>
      <c r="X3" s="1540"/>
      <c r="Y3" s="1540"/>
      <c r="Z3" s="1540"/>
      <c r="AA3" s="1540"/>
      <c r="AB3" s="1540"/>
      <c r="AC3" s="1540"/>
      <c r="AD3" s="1540"/>
      <c r="AE3" s="1540"/>
      <c r="AF3" s="1540"/>
      <c r="AG3" s="1540"/>
      <c r="AH3" s="1540"/>
      <c r="AI3" s="1540"/>
      <c r="AJ3" s="1540"/>
      <c r="AK3" s="1540"/>
      <c r="AL3" s="1540"/>
      <c r="AM3" s="1540"/>
      <c r="AN3" s="1540"/>
      <c r="AO3" s="1540"/>
      <c r="AP3" s="1540"/>
      <c r="AQ3" s="1540"/>
      <c r="AR3" s="1540"/>
      <c r="AS3" s="1540"/>
      <c r="AT3" s="1540"/>
      <c r="AU3" s="1540"/>
      <c r="AV3" s="1540"/>
      <c r="AW3" s="1540"/>
      <c r="AX3" s="1540"/>
      <c r="AY3" s="1540"/>
      <c r="AZ3" s="1540"/>
      <c r="BA3" s="1540"/>
      <c r="BB3" s="1540"/>
      <c r="BC3" s="1540"/>
      <c r="BD3" s="1540"/>
      <c r="BE3" s="1540"/>
    </row>
    <row r="4" spans="1:57" ht="25.2" customHeight="1" x14ac:dyDescent="0.2">
      <c r="A4" s="227"/>
      <c r="B4" s="1540" t="s">
        <v>316</v>
      </c>
      <c r="C4" s="1540"/>
      <c r="D4" s="1540"/>
      <c r="E4" s="1540"/>
      <c r="F4" s="1540"/>
      <c r="G4" s="1540"/>
      <c r="H4" s="1540"/>
      <c r="I4" s="1540"/>
      <c r="J4" s="1540"/>
      <c r="K4" s="1540"/>
      <c r="L4" s="1540"/>
      <c r="M4" s="1540"/>
      <c r="N4" s="1540"/>
      <c r="O4" s="1540"/>
      <c r="P4" s="1540"/>
      <c r="Q4" s="1540"/>
      <c r="R4" s="1540"/>
      <c r="S4" s="1540"/>
      <c r="T4" s="1540"/>
      <c r="U4" s="1540"/>
      <c r="V4" s="1540"/>
      <c r="W4" s="1540"/>
      <c r="X4" s="1540"/>
      <c r="Y4" s="1540"/>
      <c r="Z4" s="1540"/>
      <c r="AA4" s="1540"/>
      <c r="AB4" s="1540"/>
      <c r="AC4" s="1540"/>
      <c r="AD4" s="1540"/>
      <c r="AE4" s="1540"/>
      <c r="AF4" s="1540"/>
      <c r="AG4" s="1540"/>
      <c r="AH4" s="1540"/>
      <c r="AI4" s="1540"/>
      <c r="AJ4" s="1540"/>
      <c r="AK4" s="1540"/>
      <c r="AL4" s="1540"/>
      <c r="AM4" s="1540"/>
      <c r="AN4" s="1540"/>
      <c r="AO4" s="1540"/>
      <c r="AP4" s="1540"/>
      <c r="AQ4" s="1540"/>
      <c r="AR4" s="1540"/>
      <c r="AS4" s="1540"/>
      <c r="AT4" s="1540"/>
      <c r="AU4" s="1540"/>
      <c r="AV4" s="1540"/>
      <c r="AW4" s="1540"/>
      <c r="AX4" s="1540"/>
      <c r="AY4" s="1540"/>
      <c r="AZ4" s="1540"/>
      <c r="BA4" s="1540"/>
      <c r="BB4" s="1540"/>
      <c r="BC4" s="1540"/>
      <c r="BD4" s="1540"/>
      <c r="BE4" s="1540"/>
    </row>
    <row r="5" spans="1:57" ht="25.2" customHeight="1" x14ac:dyDescent="0.2">
      <c r="A5" s="228"/>
      <c r="B5" s="1540" t="str">
        <f>+Holman!A8</f>
        <v>QUINCENA DEL 16  AL 30  DE ABRIL - 2026</v>
      </c>
      <c r="C5" s="1540"/>
      <c r="D5" s="1540"/>
      <c r="E5" s="1540"/>
      <c r="F5" s="1540"/>
      <c r="G5" s="1540"/>
      <c r="H5" s="1540"/>
      <c r="I5" s="1540"/>
      <c r="J5" s="1540"/>
      <c r="K5" s="1540"/>
      <c r="L5" s="1540"/>
      <c r="M5" s="1540"/>
      <c r="N5" s="1540"/>
      <c r="O5" s="1540"/>
      <c r="P5" s="1540"/>
      <c r="Q5" s="1540"/>
      <c r="R5" s="1540"/>
      <c r="S5" s="1540"/>
      <c r="T5" s="1540"/>
      <c r="U5" s="1540"/>
      <c r="V5" s="1540"/>
      <c r="W5" s="1540"/>
      <c r="X5" s="1540"/>
      <c r="Y5" s="1540"/>
      <c r="Z5" s="1540"/>
      <c r="AA5" s="1540"/>
      <c r="AB5" s="1540"/>
      <c r="AC5" s="1540"/>
      <c r="AD5" s="1540"/>
      <c r="AE5" s="1540"/>
      <c r="AF5" s="1540"/>
      <c r="AG5" s="1540"/>
      <c r="AH5" s="1540"/>
      <c r="AI5" s="1540"/>
      <c r="AJ5" s="1540"/>
      <c r="AK5" s="1540"/>
      <c r="AL5" s="1540"/>
      <c r="AM5" s="1540"/>
      <c r="AN5" s="1540"/>
      <c r="AO5" s="1540"/>
      <c r="AP5" s="1540"/>
      <c r="AQ5" s="1540"/>
      <c r="AR5" s="1540"/>
      <c r="AS5" s="1540"/>
      <c r="AT5" s="1540"/>
      <c r="AU5" s="1540"/>
      <c r="AV5" s="1540"/>
      <c r="AW5" s="1540"/>
      <c r="AX5" s="1540"/>
      <c r="AY5" s="1540"/>
      <c r="AZ5" s="1540"/>
      <c r="BA5" s="1540"/>
      <c r="BB5" s="1540"/>
      <c r="BC5" s="1540"/>
      <c r="BD5" s="1540"/>
      <c r="BE5" s="1540"/>
    </row>
    <row r="6" spans="1:57" ht="25.2" customHeight="1" x14ac:dyDescent="0.65">
      <c r="A6" s="228"/>
      <c r="B6" s="544"/>
      <c r="C6" s="544"/>
      <c r="D6" s="544"/>
      <c r="E6" s="544"/>
      <c r="F6" s="544"/>
      <c r="G6" s="544"/>
      <c r="H6" s="544"/>
      <c r="I6" s="544"/>
      <c r="J6" s="544"/>
      <c r="K6" s="544"/>
      <c r="L6" s="544"/>
      <c r="M6" s="544"/>
      <c r="N6" s="544"/>
      <c r="O6" s="544"/>
      <c r="P6" s="544"/>
      <c r="Q6" s="544"/>
      <c r="R6" s="544"/>
      <c r="S6" s="544"/>
      <c r="T6" s="544"/>
      <c r="U6" s="544"/>
      <c r="V6" s="544"/>
      <c r="W6" s="544"/>
      <c r="X6" s="544"/>
      <c r="Y6" s="544"/>
      <c r="Z6" s="544"/>
      <c r="AA6" s="544"/>
      <c r="AB6" s="544"/>
      <c r="AC6" s="544"/>
      <c r="AD6" s="544"/>
      <c r="AE6" s="544"/>
      <c r="AF6" s="544"/>
      <c r="AG6" s="544"/>
      <c r="AH6" s="544"/>
      <c r="AI6" s="544"/>
      <c r="AJ6" s="544"/>
      <c r="AK6" s="544"/>
      <c r="AL6" s="544"/>
      <c r="AM6" s="544"/>
      <c r="AN6" s="544"/>
      <c r="AO6" s="544"/>
      <c r="AP6" s="544"/>
      <c r="AQ6" s="544"/>
      <c r="AR6" s="544"/>
      <c r="AS6" s="544"/>
      <c r="AT6" s="544"/>
      <c r="AU6" s="544"/>
      <c r="AV6" s="544"/>
      <c r="AW6" s="544"/>
      <c r="AX6" s="544"/>
      <c r="AY6" s="544"/>
      <c r="AZ6" s="544"/>
      <c r="BA6" s="544"/>
      <c r="BB6" s="544"/>
      <c r="BC6" s="544"/>
      <c r="BD6" s="544"/>
      <c r="BE6" s="545"/>
    </row>
    <row r="7" spans="1:57" ht="30.6" x14ac:dyDescent="0.65">
      <c r="A7" s="228"/>
      <c r="B7" s="544"/>
      <c r="C7" s="544"/>
      <c r="D7" s="544"/>
      <c r="E7" s="544"/>
      <c r="F7" s="544"/>
      <c r="G7" s="544"/>
      <c r="H7" s="544"/>
      <c r="I7" s="544"/>
      <c r="J7" s="544"/>
      <c r="K7" s="544"/>
      <c r="L7" s="544"/>
      <c r="M7" s="544"/>
      <c r="N7" s="544"/>
      <c r="O7" s="544"/>
      <c r="P7" s="544"/>
      <c r="Q7" s="544"/>
      <c r="R7" s="544"/>
      <c r="S7" s="544"/>
      <c r="T7" s="544"/>
      <c r="U7" s="544"/>
      <c r="V7" s="544"/>
      <c r="W7" s="544"/>
      <c r="X7" s="544"/>
      <c r="Y7" s="544"/>
      <c r="Z7" s="544"/>
      <c r="AA7" s="544"/>
      <c r="AB7" s="544"/>
      <c r="AC7" s="544"/>
      <c r="AD7" s="544"/>
      <c r="AE7" s="544"/>
      <c r="AF7" s="544"/>
      <c r="AG7" s="544"/>
      <c r="AH7" s="544"/>
      <c r="AI7" s="544"/>
      <c r="AJ7" s="544"/>
      <c r="AK7" s="544"/>
      <c r="AL7" s="544"/>
      <c r="AM7" s="544"/>
      <c r="AN7" s="544"/>
      <c r="AO7" s="544"/>
      <c r="AP7" s="544"/>
      <c r="AQ7" s="544"/>
      <c r="AR7" s="544"/>
      <c r="AS7" s="544"/>
      <c r="AT7" s="544"/>
      <c r="AU7" s="544"/>
      <c r="AV7" s="544"/>
      <c r="AW7" s="544"/>
      <c r="AX7" s="544"/>
      <c r="AY7" s="544"/>
      <c r="AZ7" s="544"/>
      <c r="BA7" s="544"/>
      <c r="BB7" s="544"/>
      <c r="BC7" s="544"/>
      <c r="BD7" s="544"/>
      <c r="BE7" s="545"/>
    </row>
    <row r="8" spans="1:57" ht="30.6" x14ac:dyDescent="0.65">
      <c r="A8" s="229"/>
      <c r="B8" s="546"/>
      <c r="C8" s="546"/>
      <c r="D8" s="546"/>
      <c r="E8" s="546"/>
      <c r="F8" s="546"/>
      <c r="G8" s="546"/>
      <c r="H8" s="546"/>
      <c r="I8" s="546"/>
      <c r="J8" s="546"/>
      <c r="K8" s="546"/>
      <c r="L8" s="546"/>
      <c r="M8" s="546"/>
      <c r="N8" s="546"/>
      <c r="O8" s="546"/>
      <c r="P8" s="546"/>
      <c r="Q8" s="546"/>
      <c r="R8" s="546"/>
      <c r="S8" s="546"/>
      <c r="T8" s="546"/>
      <c r="U8" s="546"/>
      <c r="V8" s="546"/>
      <c r="W8" s="546"/>
      <c r="X8" s="546"/>
      <c r="Y8" s="546"/>
      <c r="Z8" s="546"/>
      <c r="AA8" s="546"/>
      <c r="AB8" s="546"/>
      <c r="AC8" s="546"/>
      <c r="AD8" s="546"/>
      <c r="AE8" s="546"/>
      <c r="AF8" s="546"/>
      <c r="AG8" s="546"/>
      <c r="AH8" s="546"/>
      <c r="AI8" s="546"/>
      <c r="AJ8" s="546"/>
      <c r="AK8" s="546"/>
      <c r="AL8" s="546"/>
      <c r="AM8" s="546"/>
      <c r="AN8" s="546"/>
      <c r="AO8" s="546"/>
      <c r="AP8" s="546"/>
      <c r="AQ8" s="546"/>
      <c r="AR8" s="546"/>
      <c r="AS8" s="546"/>
      <c r="AT8" s="546"/>
      <c r="AU8" s="546"/>
      <c r="AV8" s="546"/>
      <c r="AW8" s="546"/>
      <c r="AX8" s="546"/>
      <c r="AY8" s="546"/>
      <c r="AZ8" s="546"/>
      <c r="BA8" s="546"/>
      <c r="BB8" s="546"/>
      <c r="BC8" s="546"/>
      <c r="BD8" s="546"/>
      <c r="BE8" s="545"/>
    </row>
    <row r="9" spans="1:57" ht="44.25" customHeight="1" x14ac:dyDescent="0.2">
      <c r="A9" s="1519" t="s">
        <v>47</v>
      </c>
      <c r="B9" s="1519" t="s">
        <v>46</v>
      </c>
      <c r="C9" s="1542" t="s">
        <v>82</v>
      </c>
      <c r="D9" s="1515" t="s">
        <v>45</v>
      </c>
      <c r="E9" s="1521">
        <v>1</v>
      </c>
      <c r="F9" s="1521">
        <v>2</v>
      </c>
      <c r="G9" s="1521">
        <v>3</v>
      </c>
      <c r="H9" s="1521">
        <v>4</v>
      </c>
      <c r="I9" s="1521">
        <v>5</v>
      </c>
      <c r="J9" s="1521">
        <v>6</v>
      </c>
      <c r="K9" s="1521">
        <v>7</v>
      </c>
      <c r="L9" s="1538" t="s">
        <v>170</v>
      </c>
      <c r="M9" s="1532" t="s">
        <v>98</v>
      </c>
      <c r="N9" s="1521">
        <v>8</v>
      </c>
      <c r="O9" s="1521">
        <v>9</v>
      </c>
      <c r="P9" s="1521">
        <v>10</v>
      </c>
      <c r="Q9" s="1521">
        <v>11</v>
      </c>
      <c r="R9" s="1521">
        <v>12</v>
      </c>
      <c r="S9" s="1521">
        <v>13</v>
      </c>
      <c r="T9" s="1521">
        <v>14</v>
      </c>
      <c r="U9" s="1521"/>
      <c r="V9" s="1521">
        <v>15</v>
      </c>
      <c r="W9" s="1531" t="s">
        <v>170</v>
      </c>
      <c r="X9" s="1532" t="s">
        <v>98</v>
      </c>
      <c r="Y9" s="1533" t="s">
        <v>170</v>
      </c>
      <c r="Z9" s="1534" t="s">
        <v>134</v>
      </c>
      <c r="AA9" s="1535" t="s">
        <v>208</v>
      </c>
      <c r="AB9" s="1523" t="s">
        <v>16</v>
      </c>
      <c r="AC9" s="1523" t="s">
        <v>107</v>
      </c>
      <c r="AD9" s="1522" t="s">
        <v>93</v>
      </c>
      <c r="AE9" s="1523" t="s">
        <v>106</v>
      </c>
      <c r="AF9" s="1515" t="s">
        <v>44</v>
      </c>
      <c r="AG9" s="1515" t="s">
        <v>43</v>
      </c>
      <c r="AH9" s="1524" t="s">
        <v>206</v>
      </c>
      <c r="AI9" s="1527" t="s">
        <v>205</v>
      </c>
      <c r="AJ9" s="1515" t="s">
        <v>192</v>
      </c>
      <c r="AK9" s="1530" t="s">
        <v>42</v>
      </c>
      <c r="AL9" s="1530" t="s">
        <v>41</v>
      </c>
      <c r="AM9" s="1515" t="s">
        <v>191</v>
      </c>
      <c r="AN9" s="1515" t="s">
        <v>59</v>
      </c>
      <c r="AO9" s="1520" t="s">
        <v>40</v>
      </c>
      <c r="AP9" s="1515" t="s">
        <v>31</v>
      </c>
      <c r="AQ9" s="1524" t="s">
        <v>114</v>
      </c>
      <c r="AR9" s="1515" t="s">
        <v>180</v>
      </c>
      <c r="AS9" s="1520" t="s">
        <v>73</v>
      </c>
      <c r="AT9" s="1519" t="s">
        <v>38</v>
      </c>
      <c r="AU9" s="1521"/>
      <c r="AV9" s="1521"/>
      <c r="AW9" s="1515" t="s">
        <v>50</v>
      </c>
      <c r="AX9" s="1515"/>
      <c r="AY9" s="1515" t="s">
        <v>51</v>
      </c>
      <c r="AZ9" s="1519" t="s">
        <v>199</v>
      </c>
      <c r="BA9" s="1519" t="s">
        <v>53</v>
      </c>
      <c r="BB9" s="1515" t="s">
        <v>199</v>
      </c>
      <c r="BC9" s="1515" t="s">
        <v>53</v>
      </c>
      <c r="BD9" s="1515" t="s">
        <v>63</v>
      </c>
    </row>
    <row r="10" spans="1:57" s="225" customFormat="1" ht="15.6" customHeight="1" x14ac:dyDescent="0.2">
      <c r="A10" s="1519"/>
      <c r="B10" s="1519"/>
      <c r="C10" s="1542"/>
      <c r="D10" s="1515"/>
      <c r="E10" s="1521"/>
      <c r="F10" s="1521"/>
      <c r="G10" s="1521"/>
      <c r="H10" s="1521"/>
      <c r="I10" s="1521"/>
      <c r="J10" s="1521"/>
      <c r="K10" s="1521"/>
      <c r="L10" s="1538"/>
      <c r="M10" s="1532"/>
      <c r="N10" s="1521"/>
      <c r="O10" s="1521"/>
      <c r="P10" s="1521"/>
      <c r="Q10" s="1521"/>
      <c r="R10" s="1521"/>
      <c r="S10" s="1521"/>
      <c r="T10" s="1521"/>
      <c r="U10" s="1521"/>
      <c r="V10" s="1521"/>
      <c r="W10" s="1531"/>
      <c r="X10" s="1532"/>
      <c r="Y10" s="1533"/>
      <c r="Z10" s="1534"/>
      <c r="AA10" s="1536"/>
      <c r="AB10" s="1523"/>
      <c r="AC10" s="1523"/>
      <c r="AD10" s="1522"/>
      <c r="AE10" s="1523"/>
      <c r="AF10" s="1515"/>
      <c r="AG10" s="1515"/>
      <c r="AH10" s="1525"/>
      <c r="AI10" s="1528"/>
      <c r="AJ10" s="1515"/>
      <c r="AK10" s="1530"/>
      <c r="AL10" s="1530"/>
      <c r="AM10" s="1515"/>
      <c r="AN10" s="1515"/>
      <c r="AO10" s="1520"/>
      <c r="AP10" s="1515"/>
      <c r="AQ10" s="1525"/>
      <c r="AR10" s="1515"/>
      <c r="AS10" s="1520"/>
      <c r="AT10" s="1519"/>
      <c r="AU10" s="1521"/>
      <c r="AV10" s="1521"/>
      <c r="AW10" s="1515"/>
      <c r="AX10" s="1515"/>
      <c r="AY10" s="1515"/>
      <c r="AZ10" s="1519"/>
      <c r="BA10" s="1519"/>
      <c r="BB10" s="1515"/>
      <c r="BC10" s="1515"/>
      <c r="BD10" s="1515"/>
    </row>
    <row r="11" spans="1:57" ht="34.950000000000003" customHeight="1" x14ac:dyDescent="0.2">
      <c r="A11" s="1541"/>
      <c r="B11" s="1541"/>
      <c r="C11" s="1542"/>
      <c r="D11" s="1515"/>
      <c r="E11" s="277" t="s">
        <v>35</v>
      </c>
      <c r="F11" s="277" t="s">
        <v>34</v>
      </c>
      <c r="G11" s="277" t="s">
        <v>37</v>
      </c>
      <c r="H11" s="277" t="s">
        <v>33</v>
      </c>
      <c r="I11" s="277" t="s">
        <v>32</v>
      </c>
      <c r="J11" s="277" t="s">
        <v>32</v>
      </c>
      <c r="K11" s="277" t="s">
        <v>36</v>
      </c>
      <c r="L11" s="1538"/>
      <c r="M11" s="1532"/>
      <c r="N11" s="277" t="s">
        <v>35</v>
      </c>
      <c r="O11" s="277" t="s">
        <v>34</v>
      </c>
      <c r="P11" s="277" t="s">
        <v>37</v>
      </c>
      <c r="Q11" s="277" t="s">
        <v>33</v>
      </c>
      <c r="R11" s="277" t="s">
        <v>32</v>
      </c>
      <c r="S11" s="277" t="s">
        <v>32</v>
      </c>
      <c r="T11" s="277" t="s">
        <v>36</v>
      </c>
      <c r="U11" s="277"/>
      <c r="V11" s="277" t="s">
        <v>35</v>
      </c>
      <c r="W11" s="1531"/>
      <c r="X11" s="1532"/>
      <c r="Y11" s="1533"/>
      <c r="Z11" s="1534"/>
      <c r="AA11" s="1537"/>
      <c r="AB11" s="1523"/>
      <c r="AC11" s="1523"/>
      <c r="AD11" s="1522"/>
      <c r="AE11" s="1523"/>
      <c r="AF11" s="1515"/>
      <c r="AG11" s="1515"/>
      <c r="AH11" s="1526"/>
      <c r="AI11" s="1529"/>
      <c r="AJ11" s="1515"/>
      <c r="AK11" s="1530"/>
      <c r="AL11" s="1530"/>
      <c r="AM11" s="1515"/>
      <c r="AN11" s="1515"/>
      <c r="AO11" s="1520"/>
      <c r="AP11" s="1515"/>
      <c r="AQ11" s="1526"/>
      <c r="AR11" s="1515"/>
      <c r="AS11" s="1520"/>
      <c r="AT11" s="1519"/>
      <c r="AU11" s="1521"/>
      <c r="AV11" s="1521"/>
      <c r="AW11" s="1515"/>
      <c r="AX11" s="1515"/>
      <c r="AY11" s="1515"/>
      <c r="AZ11" s="1519"/>
      <c r="BA11" s="1519"/>
      <c r="BB11" s="1515"/>
      <c r="BC11" s="1515"/>
      <c r="BD11" s="1515"/>
    </row>
    <row r="12" spans="1:57" ht="72" customHeight="1" x14ac:dyDescent="0.2">
      <c r="A12" s="314">
        <v>26033631</v>
      </c>
      <c r="B12" s="315" t="s">
        <v>317</v>
      </c>
      <c r="C12" s="360">
        <v>0</v>
      </c>
      <c r="D12" s="372" t="s">
        <v>251</v>
      </c>
      <c r="E12" s="361">
        <v>0</v>
      </c>
      <c r="F12" s="361">
        <v>0</v>
      </c>
      <c r="G12" s="361">
        <v>0</v>
      </c>
      <c r="H12" s="361">
        <v>0</v>
      </c>
      <c r="I12" s="361">
        <v>0</v>
      </c>
      <c r="J12" s="361">
        <v>0</v>
      </c>
      <c r="K12" s="361">
        <v>0</v>
      </c>
      <c r="L12" s="361">
        <f>+COUNTIF(E12:K12,173.21)</f>
        <v>0</v>
      </c>
      <c r="M12" s="542">
        <f>+COUNTIF(L12,6)</f>
        <v>0</v>
      </c>
      <c r="N12" s="361">
        <v>0</v>
      </c>
      <c r="O12" s="361">
        <v>0</v>
      </c>
      <c r="P12" s="361">
        <v>0</v>
      </c>
      <c r="Q12" s="361">
        <v>0</v>
      </c>
      <c r="R12" s="361">
        <v>0</v>
      </c>
      <c r="S12" s="361">
        <v>0</v>
      </c>
      <c r="T12" s="361">
        <v>0</v>
      </c>
      <c r="U12" s="361">
        <v>173.21</v>
      </c>
      <c r="V12" s="361">
        <v>0</v>
      </c>
      <c r="W12" s="361">
        <f>+COUNTIF(N12:V12,173.21)</f>
        <v>1</v>
      </c>
      <c r="X12" s="542">
        <f>+COUNTIF(W12,6)</f>
        <v>0</v>
      </c>
      <c r="Y12" s="362">
        <v>2</v>
      </c>
      <c r="Z12" s="362">
        <f>COUNTIF(E12:V12,173.21)</f>
        <v>1</v>
      </c>
      <c r="AA12" s="362">
        <f>+Z12+Y12</f>
        <v>3</v>
      </c>
      <c r="AB12" s="362">
        <v>0</v>
      </c>
      <c r="AC12" s="363">
        <v>0</v>
      </c>
      <c r="AD12" s="363">
        <v>0</v>
      </c>
      <c r="AE12" s="364">
        <f>+P12+G12</f>
        <v>0</v>
      </c>
      <c r="AF12" s="365">
        <f>+Z12*C12</f>
        <v>0</v>
      </c>
      <c r="AG12" s="366">
        <f>+Y12*C12</f>
        <v>0</v>
      </c>
      <c r="AH12" s="366">
        <f>+AC12*C12</f>
        <v>0</v>
      </c>
      <c r="AI12" s="366">
        <f>+AE12*C12</f>
        <v>0</v>
      </c>
      <c r="AJ12" s="576">
        <f>+AG12+AF12+AH12+AI12</f>
        <v>0</v>
      </c>
      <c r="AK12" s="374">
        <f>+AJ12/12</f>
        <v>0</v>
      </c>
      <c r="AL12" s="374">
        <f>+AJ12/12</f>
        <v>0</v>
      </c>
      <c r="AM12" s="374">
        <f>+AJ12*5%</f>
        <v>0</v>
      </c>
      <c r="AN12" s="367">
        <v>0</v>
      </c>
      <c r="AO12" s="368">
        <f>+AB12*C12-AM12</f>
        <v>0</v>
      </c>
      <c r="AP12" s="368">
        <v>0</v>
      </c>
      <c r="AQ12" s="368">
        <v>0</v>
      </c>
      <c r="AR12" s="369">
        <v>0</v>
      </c>
      <c r="AS12" s="524">
        <f>+AR12+AO12-AQ12</f>
        <v>0</v>
      </c>
      <c r="AT12" s="230"/>
      <c r="AU12" s="232">
        <v>0.16</v>
      </c>
      <c r="AV12" s="233">
        <f>AO12-AL12</f>
        <v>0</v>
      </c>
      <c r="AW12" s="370">
        <f>AJ12*AU12</f>
        <v>0</v>
      </c>
      <c r="AX12" s="371">
        <v>0.02</v>
      </c>
      <c r="AY12" s="370">
        <f>AO12*AX12</f>
        <v>0</v>
      </c>
      <c r="AZ12" s="370"/>
      <c r="BA12" s="370"/>
      <c r="BB12" s="370">
        <v>0</v>
      </c>
      <c r="BC12" s="370">
        <v>0</v>
      </c>
      <c r="BD12" s="365">
        <f>AS12+AW12+AY12</f>
        <v>0</v>
      </c>
    </row>
    <row r="13" spans="1:57" s="236" customFormat="1" ht="62.25" customHeight="1" x14ac:dyDescent="0.2">
      <c r="A13" s="1516" t="s">
        <v>100</v>
      </c>
      <c r="B13" s="1516"/>
      <c r="C13" s="1517"/>
      <c r="D13" s="1517"/>
      <c r="E13" s="230">
        <f t="shared" ref="E13:AO13" si="0">SUM(E12:E12)</f>
        <v>0</v>
      </c>
      <c r="F13" s="230">
        <f t="shared" si="0"/>
        <v>0</v>
      </c>
      <c r="G13" s="230">
        <f t="shared" si="0"/>
        <v>0</v>
      </c>
      <c r="H13" s="230">
        <f t="shared" si="0"/>
        <v>0</v>
      </c>
      <c r="I13" s="230">
        <f t="shared" si="0"/>
        <v>0</v>
      </c>
      <c r="J13" s="230">
        <f t="shared" si="0"/>
        <v>0</v>
      </c>
      <c r="K13" s="230">
        <f t="shared" si="0"/>
        <v>0</v>
      </c>
      <c r="L13" s="230">
        <f t="shared" si="0"/>
        <v>0</v>
      </c>
      <c r="M13" s="230">
        <f t="shared" si="0"/>
        <v>0</v>
      </c>
      <c r="N13" s="230">
        <f t="shared" si="0"/>
        <v>0</v>
      </c>
      <c r="O13" s="230">
        <f t="shared" si="0"/>
        <v>0</v>
      </c>
      <c r="P13" s="230">
        <f t="shared" si="0"/>
        <v>0</v>
      </c>
      <c r="Q13" s="230">
        <f t="shared" si="0"/>
        <v>0</v>
      </c>
      <c r="R13" s="230">
        <f t="shared" si="0"/>
        <v>0</v>
      </c>
      <c r="S13" s="230">
        <f t="shared" si="0"/>
        <v>0</v>
      </c>
      <c r="T13" s="230">
        <f t="shared" si="0"/>
        <v>0</v>
      </c>
      <c r="U13" s="230">
        <f t="shared" si="0"/>
        <v>173.21</v>
      </c>
      <c r="V13" s="230">
        <f t="shared" si="0"/>
        <v>0</v>
      </c>
      <c r="W13" s="230">
        <f t="shared" si="0"/>
        <v>1</v>
      </c>
      <c r="X13" s="230">
        <f t="shared" si="0"/>
        <v>0</v>
      </c>
      <c r="Y13" s="230">
        <f t="shared" si="0"/>
        <v>2</v>
      </c>
      <c r="Z13" s="230">
        <f t="shared" si="0"/>
        <v>1</v>
      </c>
      <c r="AA13" s="230">
        <f t="shared" si="0"/>
        <v>3</v>
      </c>
      <c r="AB13" s="230">
        <f t="shared" si="0"/>
        <v>0</v>
      </c>
      <c r="AC13" s="230">
        <f t="shared" si="0"/>
        <v>0</v>
      </c>
      <c r="AD13" s="230">
        <f t="shared" si="0"/>
        <v>0</v>
      </c>
      <c r="AE13" s="230">
        <f t="shared" si="0"/>
        <v>0</v>
      </c>
      <c r="AF13" s="230">
        <f t="shared" si="0"/>
        <v>0</v>
      </c>
      <c r="AG13" s="230">
        <f t="shared" si="0"/>
        <v>0</v>
      </c>
      <c r="AH13" s="230">
        <f t="shared" si="0"/>
        <v>0</v>
      </c>
      <c r="AI13" s="230">
        <f t="shared" si="0"/>
        <v>0</v>
      </c>
      <c r="AJ13" s="230">
        <f t="shared" si="0"/>
        <v>0</v>
      </c>
      <c r="AK13" s="230">
        <f t="shared" si="0"/>
        <v>0</v>
      </c>
      <c r="AL13" s="230">
        <f t="shared" si="0"/>
        <v>0</v>
      </c>
      <c r="AM13" s="230">
        <f t="shared" si="0"/>
        <v>0</v>
      </c>
      <c r="AN13" s="230">
        <f t="shared" si="0"/>
        <v>0</v>
      </c>
      <c r="AO13" s="230">
        <f t="shared" si="0"/>
        <v>0</v>
      </c>
      <c r="AP13" s="231"/>
      <c r="AQ13" s="660">
        <f>SUM(AQ12:AQ12)</f>
        <v>0</v>
      </c>
      <c r="AR13" s="234">
        <v>0</v>
      </c>
      <c r="AS13" s="525">
        <f>SUM(AS12:AS12)</f>
        <v>0</v>
      </c>
      <c r="AT13" s="235" t="s">
        <v>105</v>
      </c>
      <c r="AU13" s="231" t="e">
        <f>SUM(#REF!)</f>
        <v>#REF!</v>
      </c>
      <c r="AV13" s="231" t="e">
        <f>SUM(#REF!)</f>
        <v>#REF!</v>
      </c>
      <c r="AW13" s="231" t="e">
        <f>SUM(#REF!)</f>
        <v>#REF!</v>
      </c>
      <c r="AX13" s="231" t="e">
        <f>SUM(#REF!)</f>
        <v>#REF!</v>
      </c>
      <c r="AY13" s="234" t="e">
        <f>SUM(#REF!)</f>
        <v>#REF!</v>
      </c>
      <c r="AZ13" s="234" t="e">
        <f>SUM(#REF!)</f>
        <v>#REF!</v>
      </c>
      <c r="BA13" s="234" t="e">
        <f>SUM(#REF!)</f>
        <v>#REF!</v>
      </c>
      <c r="BB13" s="234" t="e">
        <f>SUM(#REF!)</f>
        <v>#REF!</v>
      </c>
      <c r="BC13" s="234" t="e">
        <f>SUM(#REF!)</f>
        <v>#REF!</v>
      </c>
      <c r="BD13" s="231" t="e">
        <f>SUM(#REF!)</f>
        <v>#REF!</v>
      </c>
    </row>
    <row r="14" spans="1:57" x14ac:dyDescent="0.2">
      <c r="A14" s="237"/>
      <c r="B14" s="237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  <c r="AA14" s="237"/>
      <c r="AB14" s="237"/>
      <c r="AC14" s="237"/>
      <c r="AD14" s="237"/>
      <c r="AE14" s="237"/>
      <c r="AF14" s="237"/>
      <c r="AG14" s="237"/>
      <c r="AH14" s="237"/>
      <c r="AI14" s="237"/>
      <c r="AJ14" s="237"/>
      <c r="AK14" s="237"/>
      <c r="AL14" s="237"/>
      <c r="AM14" s="237"/>
      <c r="AN14" s="237"/>
      <c r="AO14" s="237"/>
      <c r="AP14" s="237"/>
      <c r="AQ14" s="237"/>
      <c r="AR14" s="237"/>
      <c r="AS14" s="237"/>
      <c r="AT14" s="237"/>
      <c r="AU14" s="237"/>
      <c r="AV14" s="237"/>
      <c r="AW14" s="237"/>
      <c r="AX14" s="237"/>
      <c r="AY14" s="237"/>
      <c r="AZ14" s="237"/>
      <c r="BA14" s="237"/>
      <c r="BB14" s="237"/>
      <c r="BC14" s="237"/>
      <c r="BD14" s="237"/>
    </row>
    <row r="15" spans="1:57" x14ac:dyDescent="0.2">
      <c r="A15" s="237"/>
      <c r="B15" s="237"/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  <c r="AB15" s="237"/>
      <c r="AC15" s="237"/>
      <c r="AD15" s="237"/>
      <c r="AE15" s="237"/>
      <c r="AF15" s="237"/>
      <c r="AG15" s="237"/>
      <c r="AH15" s="237"/>
      <c r="AI15" s="237"/>
      <c r="AJ15" s="237"/>
      <c r="AK15" s="237"/>
      <c r="AL15" s="237"/>
      <c r="AM15" s="237"/>
      <c r="AN15" s="237"/>
      <c r="AO15" s="237"/>
      <c r="AP15" s="237"/>
      <c r="AQ15" s="237"/>
      <c r="AR15" s="237"/>
      <c r="AS15" s="237"/>
      <c r="AT15" s="237"/>
      <c r="AU15" s="237"/>
      <c r="AV15" s="237"/>
      <c r="AW15" s="237"/>
      <c r="AX15" s="237"/>
      <c r="AY15" s="237"/>
      <c r="AZ15" s="237"/>
      <c r="BA15" s="237"/>
      <c r="BB15" s="237"/>
      <c r="BC15" s="237"/>
      <c r="BD15" s="237"/>
    </row>
    <row r="16" spans="1:57" x14ac:dyDescent="0.2">
      <c r="A16" s="237"/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  <c r="AB16" s="237"/>
      <c r="AC16" s="237"/>
      <c r="AD16" s="237"/>
      <c r="AE16" s="237"/>
      <c r="AF16" s="237"/>
      <c r="AG16" s="237"/>
      <c r="AH16" s="237"/>
      <c r="AI16" s="237"/>
      <c r="AJ16" s="237"/>
      <c r="AK16" s="237"/>
      <c r="AL16" s="237"/>
      <c r="AM16" s="237"/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7"/>
      <c r="BD16" s="237"/>
    </row>
    <row r="17" spans="1:56" x14ac:dyDescent="0.2">
      <c r="A17" s="237"/>
      <c r="B17" s="237"/>
      <c r="C17" s="237"/>
      <c r="D17" s="237"/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  <c r="AB17" s="237"/>
      <c r="AC17" s="237"/>
      <c r="AD17" s="237"/>
      <c r="AE17" s="237"/>
      <c r="AF17" s="237"/>
      <c r="AG17" s="237"/>
      <c r="AH17" s="237"/>
      <c r="AI17" s="237"/>
      <c r="AJ17" s="237"/>
      <c r="AK17" s="237"/>
      <c r="AL17" s="237"/>
      <c r="AM17" s="237"/>
      <c r="AN17" s="237"/>
      <c r="AO17" s="237"/>
      <c r="AP17" s="237"/>
      <c r="AQ17" s="237"/>
      <c r="AR17" s="237"/>
      <c r="AS17" s="237"/>
      <c r="AT17" s="237"/>
      <c r="AU17" s="237"/>
      <c r="AV17" s="237"/>
      <c r="AW17" s="237"/>
      <c r="AX17" s="237"/>
      <c r="AY17" s="237"/>
      <c r="AZ17" s="237"/>
      <c r="BA17" s="237"/>
      <c r="BB17" s="237"/>
      <c r="BC17" s="237"/>
      <c r="BD17" s="237"/>
    </row>
    <row r="18" spans="1:56" x14ac:dyDescent="0.2">
      <c r="A18" s="237"/>
      <c r="B18" s="237"/>
      <c r="C18" s="237"/>
      <c r="D18" s="237"/>
      <c r="E18" s="237"/>
      <c r="F18" s="237"/>
      <c r="G18" s="237"/>
      <c r="H18" s="237"/>
      <c r="I18" s="237"/>
      <c r="J18" s="237"/>
      <c r="K18" s="237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  <c r="AB18" s="237"/>
      <c r="AC18" s="237"/>
      <c r="AD18" s="237"/>
      <c r="AE18" s="237"/>
      <c r="AF18" s="237"/>
      <c r="AG18" s="237"/>
      <c r="AH18" s="237"/>
      <c r="AI18" s="237"/>
      <c r="AJ18" s="237"/>
      <c r="AK18" s="237"/>
      <c r="AL18" s="237"/>
      <c r="AM18" s="237"/>
      <c r="AN18" s="237"/>
      <c r="AO18" s="237"/>
      <c r="AP18" s="237"/>
      <c r="AQ18" s="237"/>
      <c r="AR18" s="237"/>
      <c r="AS18" s="237"/>
      <c r="AT18" s="237"/>
      <c r="AU18" s="237"/>
      <c r="AV18" s="237"/>
      <c r="AW18" s="237"/>
      <c r="AX18" s="237"/>
      <c r="AY18" s="237"/>
      <c r="AZ18" s="237"/>
      <c r="BA18" s="237"/>
      <c r="BB18" s="237"/>
      <c r="BC18" s="237"/>
      <c r="BD18" s="237"/>
    </row>
    <row r="19" spans="1:56" x14ac:dyDescent="0.2">
      <c r="A19" s="237"/>
      <c r="B19" s="237"/>
      <c r="C19" s="237"/>
      <c r="D19" s="237"/>
      <c r="E19" s="237"/>
      <c r="F19" s="237"/>
      <c r="G19" s="237"/>
      <c r="H19" s="237"/>
      <c r="I19" s="237"/>
      <c r="J19" s="237"/>
      <c r="K19" s="237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  <c r="AB19" s="237"/>
      <c r="AC19" s="237"/>
      <c r="AD19" s="237"/>
      <c r="AE19" s="237"/>
      <c r="AF19" s="237"/>
      <c r="AG19" s="237"/>
      <c r="AH19" s="237"/>
      <c r="AI19" s="237"/>
      <c r="AJ19" s="237"/>
      <c r="AK19" s="237"/>
      <c r="AL19" s="237"/>
      <c r="AM19" s="237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</row>
    <row r="20" spans="1:56" x14ac:dyDescent="0.2">
      <c r="A20" s="237"/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</row>
    <row r="21" spans="1:56" x14ac:dyDescent="0.2">
      <c r="A21" s="237"/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  <c r="AB21" s="237"/>
      <c r="AC21" s="237"/>
      <c r="AD21" s="237"/>
      <c r="AE21" s="237"/>
      <c r="AF21" s="237"/>
      <c r="AG21" s="237"/>
      <c r="AH21" s="237"/>
      <c r="AI21" s="237"/>
      <c r="AJ21" s="237"/>
      <c r="AK21" s="237"/>
      <c r="AL21" s="237"/>
      <c r="AM21" s="237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</row>
    <row r="22" spans="1:56" x14ac:dyDescent="0.2">
      <c r="A22" s="237"/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  <c r="AB22" s="237"/>
      <c r="AC22" s="237"/>
      <c r="AD22" s="237"/>
      <c r="AE22" s="237"/>
      <c r="AF22" s="237"/>
      <c r="AG22" s="237"/>
      <c r="AH22" s="237"/>
      <c r="AI22" s="237"/>
      <c r="AJ22" s="237"/>
      <c r="AK22" s="237"/>
      <c r="AL22" s="237"/>
      <c r="AM22" s="237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</row>
    <row r="23" spans="1:56" x14ac:dyDescent="0.2">
      <c r="A23" s="237"/>
      <c r="B23" s="237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  <c r="AB23" s="237"/>
      <c r="AC23" s="237"/>
      <c r="AD23" s="237"/>
      <c r="AE23" s="237"/>
      <c r="AF23" s="237"/>
      <c r="AG23" s="237"/>
      <c r="AH23" s="237"/>
      <c r="AI23" s="237"/>
      <c r="AJ23" s="237"/>
      <c r="AK23" s="237"/>
      <c r="AL23" s="237"/>
      <c r="AM23" s="237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</row>
    <row r="24" spans="1:56" x14ac:dyDescent="0.2">
      <c r="A24" s="237"/>
      <c r="B24" s="237"/>
      <c r="C24" s="237"/>
      <c r="D24" s="237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  <c r="AB24" s="237"/>
      <c r="AC24" s="237"/>
      <c r="AD24" s="237"/>
      <c r="AE24" s="237"/>
      <c r="AF24" s="237"/>
      <c r="AG24" s="237"/>
      <c r="AH24" s="237"/>
      <c r="AI24" s="237"/>
      <c r="AJ24" s="237"/>
      <c r="AK24" s="237"/>
      <c r="AL24" s="237"/>
      <c r="AM24" s="237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</row>
    <row r="25" spans="1:56" x14ac:dyDescent="0.2">
      <c r="A25" s="237"/>
      <c r="B25" s="237"/>
      <c r="C25" s="237"/>
      <c r="D25" s="237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</row>
    <row r="26" spans="1:56" x14ac:dyDescent="0.2">
      <c r="A26" s="237"/>
      <c r="B26" s="237"/>
      <c r="C26" s="237"/>
      <c r="D26" s="237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  <c r="AB26" s="237"/>
      <c r="AC26" s="237"/>
      <c r="AD26" s="237"/>
      <c r="AE26" s="237"/>
      <c r="AF26" s="237"/>
      <c r="AG26" s="237"/>
      <c r="AH26" s="237"/>
      <c r="AI26" s="237"/>
      <c r="AJ26" s="237"/>
      <c r="AK26" s="237"/>
      <c r="AL26" s="237"/>
      <c r="AM26" s="237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</row>
    <row r="27" spans="1:56" x14ac:dyDescent="0.2">
      <c r="A27" s="237"/>
      <c r="B27" s="237"/>
      <c r="C27" s="1250"/>
      <c r="D27" s="1250"/>
      <c r="E27" s="1250"/>
      <c r="F27" s="1250"/>
      <c r="G27" s="1250"/>
      <c r="H27" s="237"/>
      <c r="I27" s="237"/>
      <c r="J27" s="237"/>
      <c r="K27" s="237"/>
      <c r="L27" s="237"/>
      <c r="M27" s="237"/>
      <c r="N27" s="237"/>
      <c r="O27" s="237"/>
      <c r="P27" s="237"/>
      <c r="Q27" s="237"/>
      <c r="R27" s="237"/>
      <c r="S27" s="1250"/>
      <c r="T27" s="1250"/>
      <c r="U27" s="1250"/>
      <c r="V27" s="1250"/>
      <c r="W27" s="1250"/>
      <c r="X27" s="1250"/>
      <c r="Y27" s="1250"/>
      <c r="Z27" s="1250"/>
      <c r="AA27" s="1250"/>
      <c r="AB27" s="1250"/>
      <c r="AC27" s="1250"/>
      <c r="AD27" s="1250"/>
      <c r="AE27" s="1250"/>
      <c r="AF27" s="1250"/>
      <c r="AG27" s="237"/>
      <c r="AH27" s="237"/>
      <c r="AI27" s="237"/>
      <c r="AJ27" s="237"/>
      <c r="AK27" s="237"/>
      <c r="AL27" s="237"/>
      <c r="AM27" s="237"/>
      <c r="AN27" s="237"/>
      <c r="AO27" s="1250"/>
      <c r="AP27" s="1250"/>
      <c r="AQ27" s="1250"/>
      <c r="AR27" s="1250"/>
      <c r="AS27" s="1250"/>
      <c r="AT27" s="237"/>
      <c r="AU27" s="237"/>
      <c r="AV27" s="237"/>
      <c r="AW27" s="237"/>
      <c r="AX27" s="237"/>
      <c r="AY27" s="237"/>
      <c r="AZ27" s="237"/>
      <c r="BA27" s="237"/>
      <c r="BB27" s="237"/>
      <c r="BC27" s="237"/>
      <c r="BD27" s="237"/>
    </row>
    <row r="28" spans="1:56" ht="19.95" customHeight="1" x14ac:dyDescent="0.2">
      <c r="A28" s="237"/>
      <c r="B28" s="1518" t="s">
        <v>101</v>
      </c>
      <c r="C28" s="1518"/>
      <c r="D28" s="1518"/>
      <c r="E28" s="1518"/>
      <c r="F28" s="1518"/>
      <c r="G28" s="1518"/>
      <c r="H28" s="1518"/>
      <c r="I28" s="1518"/>
      <c r="J28" s="237"/>
      <c r="K28" s="237"/>
      <c r="L28" s="237"/>
      <c r="M28" s="237"/>
      <c r="N28" s="237"/>
      <c r="O28" s="237"/>
      <c r="P28" s="237"/>
      <c r="Q28" s="237"/>
      <c r="R28" s="1518" t="s">
        <v>102</v>
      </c>
      <c r="S28" s="1518"/>
      <c r="T28" s="1518"/>
      <c r="U28" s="1518"/>
      <c r="V28" s="1518"/>
      <c r="W28" s="1518"/>
      <c r="X28" s="1518"/>
      <c r="Y28" s="1518"/>
      <c r="Z28" s="1518"/>
      <c r="AA28" s="1518"/>
      <c r="AB28" s="1518"/>
      <c r="AC28" s="1518"/>
      <c r="AD28" s="1518"/>
      <c r="AE28" s="1518"/>
      <c r="AF28" s="1518"/>
      <c r="AG28" s="1518"/>
      <c r="AH28" s="273"/>
      <c r="AI28" s="273"/>
      <c r="AJ28" s="273"/>
      <c r="AK28" s="237"/>
      <c r="AL28" s="237"/>
      <c r="AM28" s="237"/>
      <c r="AN28" s="1518" t="s">
        <v>103</v>
      </c>
      <c r="AO28" s="1518"/>
      <c r="AP28" s="1518"/>
      <c r="AQ28" s="1518"/>
      <c r="AR28" s="1518"/>
      <c r="AS28" s="1518"/>
      <c r="AT28" s="1518"/>
      <c r="AU28" s="237"/>
      <c r="AV28" s="237"/>
      <c r="AW28" s="237"/>
      <c r="AX28" s="237"/>
      <c r="AY28" s="237"/>
      <c r="AZ28" s="237"/>
      <c r="BA28" s="237"/>
      <c r="BB28" s="237"/>
      <c r="BC28" s="237"/>
      <c r="BD28" s="237"/>
    </row>
    <row r="29" spans="1:56" ht="19.95" customHeight="1" x14ac:dyDescent="0.2">
      <c r="A29" s="237"/>
      <c r="B29" s="1514" t="s">
        <v>293</v>
      </c>
      <c r="C29" s="1514"/>
      <c r="D29" s="1514"/>
      <c r="E29" s="1514"/>
      <c r="F29" s="1514"/>
      <c r="G29" s="1514"/>
      <c r="H29" s="1514"/>
      <c r="I29" s="1514"/>
      <c r="J29" s="237"/>
      <c r="K29" s="237"/>
      <c r="L29" s="237"/>
      <c r="M29" s="237"/>
      <c r="N29" s="237"/>
      <c r="O29" s="237"/>
      <c r="P29" s="237"/>
      <c r="Q29" s="237"/>
      <c r="R29" s="1514" t="s">
        <v>269</v>
      </c>
      <c r="S29" s="1514"/>
      <c r="T29" s="1514"/>
      <c r="U29" s="1514"/>
      <c r="V29" s="1514"/>
      <c r="W29" s="1514"/>
      <c r="X29" s="1514"/>
      <c r="Y29" s="1514"/>
      <c r="Z29" s="1514"/>
      <c r="AA29" s="1514"/>
      <c r="AB29" s="1514"/>
      <c r="AC29" s="1514"/>
      <c r="AD29" s="1514"/>
      <c r="AE29" s="1514"/>
      <c r="AF29" s="1514"/>
      <c r="AG29" s="1514"/>
      <c r="AH29" s="273"/>
      <c r="AI29" s="273"/>
      <c r="AJ29" s="273"/>
      <c r="AK29" s="237"/>
      <c r="AL29" s="237"/>
      <c r="AM29" s="237"/>
      <c r="AN29" s="1514" t="s">
        <v>285</v>
      </c>
      <c r="AO29" s="1514"/>
      <c r="AP29" s="1514"/>
      <c r="AQ29" s="1514"/>
      <c r="AR29" s="1514"/>
      <c r="AS29" s="1514"/>
      <c r="AT29" s="1514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</row>
    <row r="30" spans="1:56" x14ac:dyDescent="0.2">
      <c r="A30" s="238"/>
      <c r="B30" s="238"/>
      <c r="C30" s="238"/>
      <c r="D30" s="238"/>
      <c r="E30" s="238"/>
      <c r="F30" s="238"/>
      <c r="G30" s="238"/>
      <c r="H30" s="238"/>
      <c r="I30" s="238"/>
      <c r="J30" s="238"/>
      <c r="K30" s="238"/>
      <c r="L30" s="238"/>
      <c r="M30" s="238"/>
      <c r="N30" s="238"/>
      <c r="O30" s="238"/>
      <c r="P30" s="238"/>
      <c r="Q30" s="238"/>
      <c r="R30" s="238"/>
      <c r="S30" s="238"/>
      <c r="T30" s="238"/>
      <c r="U30" s="238"/>
      <c r="V30" s="238"/>
      <c r="W30" s="238"/>
      <c r="X30" s="238"/>
      <c r="Y30" s="238"/>
      <c r="Z30" s="238"/>
      <c r="AA30" s="238"/>
      <c r="AB30" s="238"/>
      <c r="AC30" s="238"/>
      <c r="AD30" s="238"/>
      <c r="AE30" s="238"/>
      <c r="AF30" s="238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/>
      <c r="AQ30" s="238"/>
      <c r="AR30" s="238"/>
      <c r="AS30" s="238"/>
      <c r="AT30" s="238"/>
      <c r="AU30" s="238"/>
      <c r="AV30" s="238"/>
      <c r="AW30" s="238"/>
      <c r="AX30" s="238"/>
      <c r="AY30" s="238"/>
      <c r="AZ30" s="238"/>
      <c r="BA30" s="238"/>
      <c r="BB30" s="238"/>
      <c r="BC30" s="238"/>
      <c r="BD30" s="238"/>
    </row>
    <row r="31" spans="1:56" x14ac:dyDescent="0.2">
      <c r="A31" s="238"/>
      <c r="B31" s="238"/>
      <c r="C31" s="238"/>
      <c r="D31" s="238"/>
      <c r="E31" s="238"/>
      <c r="F31" s="238"/>
      <c r="G31" s="238"/>
      <c r="H31" s="238"/>
      <c r="I31" s="238"/>
      <c r="J31" s="238"/>
      <c r="K31" s="238"/>
      <c r="L31" s="238"/>
      <c r="M31" s="238"/>
      <c r="N31" s="238"/>
      <c r="O31" s="238"/>
      <c r="P31" s="238"/>
      <c r="Q31" s="238"/>
      <c r="R31" s="238"/>
      <c r="S31" s="238"/>
      <c r="T31" s="238"/>
      <c r="U31" s="238"/>
      <c r="V31" s="238"/>
      <c r="W31" s="238"/>
      <c r="X31" s="238"/>
      <c r="Y31" s="238"/>
      <c r="Z31" s="238"/>
      <c r="AA31" s="238"/>
      <c r="AB31" s="238"/>
      <c r="AC31" s="238"/>
      <c r="AD31" s="238"/>
      <c r="AE31" s="238"/>
      <c r="AF31" s="238"/>
      <c r="AG31" s="238"/>
      <c r="AH31" s="238"/>
      <c r="AI31" s="238"/>
      <c r="AJ31" s="238"/>
      <c r="AK31" s="238"/>
      <c r="AL31" s="238"/>
      <c r="AM31" s="238"/>
      <c r="AN31" s="238"/>
      <c r="AO31" s="238"/>
      <c r="AP31" s="238"/>
      <c r="AQ31" s="238"/>
      <c r="AR31" s="238"/>
      <c r="AS31" s="238"/>
      <c r="AT31" s="238"/>
      <c r="AU31" s="238"/>
      <c r="AV31" s="238"/>
      <c r="AW31" s="238"/>
      <c r="AX31" s="238"/>
      <c r="AY31" s="238"/>
      <c r="AZ31" s="238"/>
      <c r="BA31" s="238"/>
      <c r="BB31" s="238"/>
      <c r="BC31" s="238"/>
      <c r="BD31" s="238"/>
    </row>
    <row r="32" spans="1:56" x14ac:dyDescent="0.2">
      <c r="A32" s="238"/>
      <c r="B32" s="238"/>
      <c r="C32" s="238"/>
      <c r="D32" s="238"/>
      <c r="E32" s="238"/>
      <c r="F32" s="238"/>
      <c r="G32" s="238"/>
      <c r="H32" s="238"/>
      <c r="I32" s="238"/>
      <c r="J32" s="238"/>
      <c r="K32" s="238"/>
      <c r="L32" s="238"/>
      <c r="M32" s="238"/>
      <c r="N32" s="238"/>
      <c r="O32" s="238"/>
      <c r="P32" s="238"/>
      <c r="Q32" s="238"/>
      <c r="R32" s="238"/>
      <c r="S32" s="238"/>
      <c r="T32" s="238"/>
      <c r="U32" s="238"/>
      <c r="V32" s="238"/>
      <c r="W32" s="238"/>
      <c r="X32" s="238"/>
      <c r="Y32" s="238"/>
      <c r="Z32" s="238"/>
      <c r="AA32" s="238"/>
      <c r="AB32" s="238"/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8"/>
      <c r="AR32" s="238"/>
      <c r="AS32" s="238"/>
      <c r="AT32" s="238"/>
      <c r="AU32" s="238"/>
      <c r="AV32" s="238"/>
      <c r="AW32" s="238"/>
      <c r="AX32" s="238"/>
      <c r="AY32" s="238"/>
      <c r="AZ32" s="238"/>
      <c r="BA32" s="238"/>
      <c r="BB32" s="238"/>
      <c r="BC32" s="238"/>
      <c r="BD32" s="238"/>
    </row>
    <row r="33" spans="1:56" x14ac:dyDescent="0.2">
      <c r="A33" s="238"/>
      <c r="B33" s="238"/>
      <c r="C33" s="238"/>
      <c r="D33" s="238"/>
      <c r="E33" s="238"/>
      <c r="F33" s="238"/>
      <c r="G33" s="238"/>
      <c r="H33" s="238"/>
      <c r="I33" s="238"/>
      <c r="J33" s="238"/>
      <c r="K33" s="238"/>
      <c r="L33" s="238"/>
      <c r="M33" s="238"/>
      <c r="N33" s="238"/>
      <c r="O33" s="238"/>
      <c r="P33" s="238"/>
      <c r="Q33" s="238"/>
      <c r="R33" s="238"/>
      <c r="S33" s="238"/>
      <c r="T33" s="238"/>
      <c r="U33" s="238"/>
      <c r="V33" s="238"/>
      <c r="W33" s="238"/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8"/>
      <c r="AI33" s="238"/>
      <c r="AJ33" s="238"/>
      <c r="AK33" s="238"/>
      <c r="AL33" s="238"/>
      <c r="AM33" s="238"/>
      <c r="AN33" s="238"/>
      <c r="AO33" s="238"/>
      <c r="AP33" s="238"/>
      <c r="AQ33" s="238"/>
      <c r="AR33" s="238"/>
      <c r="AS33" s="238"/>
      <c r="AT33" s="238"/>
      <c r="AU33" s="238"/>
      <c r="AV33" s="238"/>
      <c r="AW33" s="238"/>
      <c r="AX33" s="238"/>
      <c r="AY33" s="238"/>
      <c r="AZ33" s="238"/>
      <c r="BA33" s="238"/>
      <c r="BB33" s="238"/>
      <c r="BC33" s="238"/>
      <c r="BD33" s="238"/>
    </row>
    <row r="34" spans="1:56" x14ac:dyDescent="0.2">
      <c r="A34" s="238"/>
      <c r="B34" s="238"/>
      <c r="C34" s="238"/>
      <c r="D34" s="238"/>
      <c r="E34" s="238"/>
      <c r="F34" s="238"/>
      <c r="G34" s="238"/>
      <c r="H34" s="238"/>
      <c r="I34" s="238"/>
      <c r="J34" s="238"/>
      <c r="K34" s="238"/>
      <c r="L34" s="238"/>
      <c r="M34" s="238"/>
      <c r="N34" s="238"/>
      <c r="O34" s="238"/>
      <c r="P34" s="238"/>
      <c r="Q34" s="238"/>
      <c r="R34" s="238"/>
      <c r="S34" s="238"/>
      <c r="T34" s="238"/>
      <c r="U34" s="238"/>
      <c r="V34" s="238"/>
      <c r="W34" s="238"/>
      <c r="X34" s="238"/>
      <c r="Y34" s="238"/>
      <c r="Z34" s="238"/>
      <c r="AA34" s="238"/>
      <c r="AB34" s="238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8"/>
      <c r="AR34" s="238"/>
      <c r="AS34" s="238"/>
      <c r="AT34" s="238"/>
      <c r="AU34" s="238"/>
      <c r="AV34" s="238"/>
      <c r="AW34" s="238"/>
      <c r="AX34" s="238"/>
      <c r="AY34" s="238"/>
      <c r="AZ34" s="238"/>
      <c r="BA34" s="238"/>
      <c r="BB34" s="238"/>
      <c r="BC34" s="238"/>
      <c r="BD34" s="238"/>
    </row>
    <row r="35" spans="1:56" x14ac:dyDescent="0.2">
      <c r="A35" s="238"/>
      <c r="B35" s="238"/>
      <c r="C35" s="238"/>
      <c r="D35" s="238"/>
      <c r="E35" s="238"/>
      <c r="F35" s="238"/>
      <c r="G35" s="238"/>
      <c r="H35" s="238"/>
      <c r="I35" s="238"/>
      <c r="J35" s="238"/>
      <c r="K35" s="238"/>
      <c r="L35" s="238"/>
      <c r="M35" s="238"/>
      <c r="N35" s="238"/>
      <c r="O35" s="238"/>
      <c r="P35" s="238"/>
      <c r="Q35" s="238"/>
      <c r="R35" s="238"/>
      <c r="S35" s="238"/>
      <c r="T35" s="238"/>
      <c r="U35" s="238"/>
      <c r="V35" s="238"/>
      <c r="W35" s="238"/>
      <c r="X35" s="238"/>
      <c r="Y35" s="238"/>
      <c r="Z35" s="238"/>
      <c r="AA35" s="238"/>
      <c r="AB35" s="238"/>
      <c r="AC35" s="238"/>
      <c r="AD35" s="238"/>
      <c r="AE35" s="238"/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8"/>
      <c r="AR35" s="238"/>
      <c r="AS35" s="238"/>
      <c r="AT35" s="238"/>
      <c r="AU35" s="238"/>
      <c r="AV35" s="238"/>
      <c r="AW35" s="238"/>
      <c r="AX35" s="238"/>
      <c r="AY35" s="238"/>
      <c r="AZ35" s="238"/>
      <c r="BA35" s="238"/>
      <c r="BB35" s="238"/>
      <c r="BC35" s="238"/>
      <c r="BD35" s="238"/>
    </row>
  </sheetData>
  <mergeCells count="71">
    <mergeCell ref="B28:I28"/>
    <mergeCell ref="R28:AG28"/>
    <mergeCell ref="AN28:AT28"/>
    <mergeCell ref="B29:I29"/>
    <mergeCell ref="R29:AG29"/>
    <mergeCell ref="AN29:AT29"/>
    <mergeCell ref="BC9:BC11"/>
    <mergeCell ref="BD9:BD11"/>
    <mergeCell ref="A13:D13"/>
    <mergeCell ref="C27:G27"/>
    <mergeCell ref="S27:AF27"/>
    <mergeCell ref="AO27:AS27"/>
    <mergeCell ref="AQ9:AQ11"/>
    <mergeCell ref="AW9:AW11"/>
    <mergeCell ref="AX9:AX11"/>
    <mergeCell ref="AY9:AY11"/>
    <mergeCell ref="AZ9:AZ11"/>
    <mergeCell ref="BA9:BA11"/>
    <mergeCell ref="BB9:BB11"/>
    <mergeCell ref="AP9:AP11"/>
    <mergeCell ref="AR9:AR11"/>
    <mergeCell ref="AS9:AS11"/>
    <mergeCell ref="AT9:AT11"/>
    <mergeCell ref="AU9:AU11"/>
    <mergeCell ref="AV9:AV11"/>
    <mergeCell ref="AJ9:AJ11"/>
    <mergeCell ref="AK9:AK11"/>
    <mergeCell ref="AL9:AL11"/>
    <mergeCell ref="AM9:AM11"/>
    <mergeCell ref="AN9:AN11"/>
    <mergeCell ref="AO9:AO11"/>
    <mergeCell ref="U9:U10"/>
    <mergeCell ref="V9:V10"/>
    <mergeCell ref="AI9:AI11"/>
    <mergeCell ref="X9:X11"/>
    <mergeCell ref="Y9:Y11"/>
    <mergeCell ref="Z9:Z11"/>
    <mergeCell ref="AA9:AA11"/>
    <mergeCell ref="AB9:AB11"/>
    <mergeCell ref="AC9:AC11"/>
    <mergeCell ref="AD9:AD11"/>
    <mergeCell ref="AE9:AE11"/>
    <mergeCell ref="AF9:AF11"/>
    <mergeCell ref="AG9:AG11"/>
    <mergeCell ref="AH9:AH11"/>
    <mergeCell ref="P9:P10"/>
    <mergeCell ref="Q9:Q10"/>
    <mergeCell ref="R9:R10"/>
    <mergeCell ref="S9:S10"/>
    <mergeCell ref="T9:T10"/>
    <mergeCell ref="K9:K10"/>
    <mergeCell ref="B1:BD1"/>
    <mergeCell ref="B2:BE2"/>
    <mergeCell ref="B3:BE3"/>
    <mergeCell ref="B4:BE4"/>
    <mergeCell ref="B5:BE5"/>
    <mergeCell ref="F9:F10"/>
    <mergeCell ref="G9:G10"/>
    <mergeCell ref="H9:H10"/>
    <mergeCell ref="I9:I10"/>
    <mergeCell ref="J9:J10"/>
    <mergeCell ref="W9:W11"/>
    <mergeCell ref="L9:L11"/>
    <mergeCell ref="M9:M11"/>
    <mergeCell ref="N9:N10"/>
    <mergeCell ref="O9:O10"/>
    <mergeCell ref="A9:A11"/>
    <mergeCell ref="B9:B11"/>
    <mergeCell ref="C9:C11"/>
    <mergeCell ref="D9:D11"/>
    <mergeCell ref="E9:E10"/>
  </mergeCells>
  <printOptions verticalCentered="1"/>
  <pageMargins left="0" right="0" top="0.74803149606299213" bottom="0.74803149606299213" header="0.31496062992125984" footer="0.31496062992125984"/>
  <pageSetup paperSize="5" scale="4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26">
    <tabColor rgb="FF92D050"/>
    <pageSetUpPr fitToPage="1"/>
  </sheetPr>
  <dimension ref="A2:CC46"/>
  <sheetViews>
    <sheetView zoomScale="115" zoomScaleNormal="115" zoomScaleSheetLayoutView="145" workbookViewId="0">
      <selection activeCell="AA10" sqref="AA10"/>
    </sheetView>
  </sheetViews>
  <sheetFormatPr baseColWidth="10" defaultColWidth="11.7109375" defaultRowHeight="12" x14ac:dyDescent="0.25"/>
  <cols>
    <col min="1" max="1" width="4.28515625" style="426" customWidth="1"/>
    <col min="2" max="2" width="5.42578125" style="426" hidden="1" customWidth="1"/>
    <col min="3" max="3" width="10.85546875" style="426" hidden="1" customWidth="1"/>
    <col min="4" max="4" width="33.42578125" style="417" customWidth="1"/>
    <col min="5" max="5" width="18.28515625" style="194" hidden="1" customWidth="1"/>
    <col min="6" max="6" width="3.85546875" style="194" customWidth="1"/>
    <col min="7" max="7" width="3.42578125" style="427" customWidth="1"/>
    <col min="8" max="8" width="6.7109375" style="427" customWidth="1"/>
    <col min="9" max="9" width="7.42578125" style="194" customWidth="1"/>
    <col min="10" max="10" width="7.140625" style="194" customWidth="1"/>
    <col min="11" max="11" width="7.85546875" style="194" customWidth="1"/>
    <col min="12" max="12" width="4" style="194" customWidth="1"/>
    <col min="13" max="13" width="7.140625" style="194" customWidth="1"/>
    <col min="14" max="14" width="7.28515625" style="194" customWidth="1"/>
    <col min="15" max="15" width="7" style="194" customWidth="1"/>
    <col min="16" max="16" width="3.42578125" style="194" hidden="1" customWidth="1"/>
    <col min="17" max="17" width="5.140625" style="194" customWidth="1"/>
    <col min="18" max="18" width="7.42578125" style="194" customWidth="1"/>
    <col min="19" max="19" width="7.28515625" style="194" customWidth="1"/>
    <col min="20" max="20" width="7.42578125" style="194" customWidth="1"/>
    <col min="21" max="21" width="4.28515625" style="194" customWidth="1"/>
    <col min="22" max="23" width="7.7109375" style="375" customWidth="1"/>
    <col min="24" max="24" width="7.140625" style="375" hidden="1" customWidth="1"/>
    <col min="25" max="25" width="6.7109375" style="375" hidden="1" customWidth="1"/>
    <col min="26" max="26" width="3.42578125" style="375" hidden="1" customWidth="1"/>
    <col min="27" max="27" width="5.7109375" style="375" customWidth="1"/>
    <col min="28" max="28" width="18" style="375" hidden="1" customWidth="1"/>
    <col min="29" max="29" width="13.140625" style="375" hidden="1" customWidth="1"/>
    <col min="30" max="30" width="6" style="375" customWidth="1"/>
    <col min="31" max="31" width="4.140625" style="375" customWidth="1"/>
    <col min="32" max="32" width="6.42578125" style="375" hidden="1" customWidth="1"/>
    <col min="33" max="33" width="7.140625" style="375" hidden="1" customWidth="1"/>
    <col min="34" max="34" width="5" style="431" customWidth="1"/>
    <col min="35" max="35" width="3.7109375" style="375" customWidth="1"/>
    <col min="36" max="36" width="8.140625" style="375" customWidth="1"/>
    <col min="37" max="37" width="7" style="432" hidden="1" customWidth="1"/>
    <col min="38" max="38" width="7.28515625" style="432" hidden="1" customWidth="1"/>
    <col min="39" max="39" width="7.140625" style="433" customWidth="1"/>
    <col min="40" max="40" width="13" style="434" hidden="1" customWidth="1"/>
    <col min="41" max="41" width="9.140625" style="434" hidden="1" customWidth="1"/>
    <col min="42" max="42" width="12.7109375" style="434" hidden="1" customWidth="1"/>
    <col min="43" max="43" width="9.7109375" style="434" hidden="1" customWidth="1"/>
    <col min="44" max="44" width="12" style="434" hidden="1" customWidth="1"/>
    <col min="45" max="45" width="7.85546875" style="435" customWidth="1"/>
    <col min="46" max="46" width="8.140625" style="435" customWidth="1"/>
    <col min="47" max="56" width="8.140625" style="434" hidden="1" customWidth="1"/>
    <col min="57" max="57" width="6.85546875" style="434" customWidth="1"/>
    <col min="58" max="58" width="8.85546875" style="436" customWidth="1"/>
    <col min="59" max="59" width="6.85546875" style="463" customWidth="1"/>
    <col min="60" max="60" width="6.85546875" style="375" customWidth="1"/>
    <col min="61" max="61" width="9" style="464" customWidth="1"/>
    <col min="62" max="62" width="13.42578125" style="436" hidden="1" customWidth="1"/>
    <col min="63" max="63" width="7" style="375" hidden="1" customWidth="1"/>
    <col min="64" max="64" width="6.28515625" style="431" hidden="1" customWidth="1"/>
    <col min="65" max="65" width="8.42578125" style="431" hidden="1" customWidth="1"/>
    <col min="66" max="66" width="7.28515625" style="437" hidden="1" customWidth="1"/>
    <col min="67" max="67" width="4.85546875" style="431" customWidth="1"/>
    <col min="68" max="68" width="8.28515625" style="431" customWidth="1"/>
    <col min="69" max="69" width="6.42578125" style="431" customWidth="1"/>
    <col min="70" max="70" width="8.28515625" style="431" hidden="1" customWidth="1"/>
    <col min="71" max="71" width="1.140625" style="431" hidden="1" customWidth="1"/>
    <col min="72" max="73" width="8.140625" style="437" customWidth="1"/>
    <col min="74" max="74" width="20.42578125" style="431" customWidth="1"/>
    <col min="75" max="75" width="39.28515625" style="438" customWidth="1"/>
    <col min="76" max="76" width="11.42578125" style="431" hidden="1" customWidth="1"/>
    <col min="77" max="77" width="10.7109375" style="431" hidden="1" customWidth="1"/>
    <col min="78" max="78" width="10.7109375" style="439" hidden="1" customWidth="1"/>
    <col min="79" max="79" width="7.7109375" style="431" hidden="1" customWidth="1"/>
    <col min="80" max="80" width="7.140625" style="439" hidden="1" customWidth="1"/>
    <col min="81" max="81" width="10.85546875" style="431" hidden="1" customWidth="1"/>
    <col min="82" max="16384" width="11.7109375" style="375"/>
  </cols>
  <sheetData>
    <row r="2" spans="1:81" ht="17.399999999999999" x14ac:dyDescent="0.2">
      <c r="A2" s="1543" t="e">
        <f>+#REF!</f>
        <v>#REF!</v>
      </c>
      <c r="B2" s="1543"/>
      <c r="C2" s="1543"/>
      <c r="D2" s="1543"/>
      <c r="E2" s="1543"/>
      <c r="F2" s="1543"/>
      <c r="G2" s="1543"/>
      <c r="H2" s="1543"/>
      <c r="I2" s="1543"/>
      <c r="J2" s="1543"/>
      <c r="K2" s="1543"/>
      <c r="L2" s="1543"/>
      <c r="M2" s="1543"/>
      <c r="N2" s="1543"/>
      <c r="O2" s="1543"/>
      <c r="P2" s="1543"/>
      <c r="Q2" s="1543"/>
      <c r="R2" s="1543"/>
      <c r="S2" s="1543"/>
      <c r="T2" s="1543"/>
      <c r="U2" s="1543"/>
      <c r="V2" s="1543"/>
      <c r="W2" s="1543"/>
      <c r="X2" s="1543"/>
      <c r="Y2" s="1543"/>
      <c r="Z2" s="1543"/>
      <c r="AA2" s="1543"/>
      <c r="AB2" s="1543"/>
      <c r="AC2" s="1543"/>
      <c r="AD2" s="1543"/>
      <c r="AE2" s="1543"/>
      <c r="AF2" s="1543"/>
      <c r="AG2" s="1543"/>
      <c r="AH2" s="1543"/>
      <c r="AI2" s="1543"/>
      <c r="AJ2" s="1543"/>
      <c r="AK2" s="1543"/>
      <c r="AL2" s="1543"/>
      <c r="AM2" s="1543"/>
      <c r="AN2" s="1543"/>
      <c r="AO2" s="1543"/>
      <c r="AP2" s="1543"/>
      <c r="AQ2" s="1543"/>
      <c r="AR2" s="1543"/>
      <c r="AS2" s="1543"/>
      <c r="AT2" s="1543"/>
      <c r="AU2" s="1543"/>
      <c r="AV2" s="1543"/>
      <c r="AW2" s="1543"/>
      <c r="AX2" s="1543"/>
      <c r="AY2" s="1543"/>
      <c r="AZ2" s="1543"/>
      <c r="BA2" s="1543"/>
      <c r="BB2" s="1543"/>
      <c r="BC2" s="1543"/>
      <c r="BD2" s="1543"/>
      <c r="BE2" s="1543"/>
      <c r="BF2" s="1543"/>
      <c r="BG2" s="1543"/>
      <c r="BH2" s="1543"/>
      <c r="BI2" s="1543"/>
      <c r="BJ2" s="1543"/>
      <c r="BK2" s="1543"/>
      <c r="BL2" s="1543"/>
      <c r="BM2" s="1543"/>
      <c r="BN2" s="1543"/>
      <c r="BO2" s="1543"/>
      <c r="BP2" s="1543"/>
      <c r="BQ2" s="1543"/>
      <c r="BR2" s="1543"/>
      <c r="BS2" s="1543"/>
      <c r="BT2" s="1543"/>
      <c r="BU2" s="1543"/>
      <c r="BV2" s="1543"/>
      <c r="BW2" s="1543"/>
      <c r="BX2" s="1543"/>
      <c r="BY2" s="1543"/>
      <c r="BZ2" s="1543"/>
      <c r="CA2" s="1543"/>
      <c r="CB2" s="1543"/>
      <c r="CC2" s="1543"/>
    </row>
    <row r="3" spans="1:81" ht="17.399999999999999" x14ac:dyDescent="0.2">
      <c r="A3" s="1543" t="s">
        <v>283</v>
      </c>
      <c r="B3" s="1543"/>
      <c r="C3" s="1543"/>
      <c r="D3" s="1543"/>
      <c r="E3" s="1543"/>
      <c r="F3" s="1543"/>
      <c r="G3" s="1543"/>
      <c r="H3" s="1543"/>
      <c r="I3" s="1543"/>
      <c r="J3" s="1543"/>
      <c r="K3" s="1543"/>
      <c r="L3" s="1543"/>
      <c r="M3" s="1543"/>
      <c r="N3" s="1543"/>
      <c r="O3" s="1543"/>
      <c r="P3" s="1543"/>
      <c r="Q3" s="1543"/>
      <c r="R3" s="1543"/>
      <c r="S3" s="1543"/>
      <c r="T3" s="1543"/>
      <c r="U3" s="1543"/>
      <c r="V3" s="1543"/>
      <c r="W3" s="1543"/>
      <c r="X3" s="1543"/>
      <c r="Y3" s="1543"/>
      <c r="Z3" s="1543"/>
      <c r="AA3" s="1543"/>
      <c r="AB3" s="1543"/>
      <c r="AC3" s="1543"/>
      <c r="AD3" s="1543"/>
      <c r="AE3" s="1543"/>
      <c r="AF3" s="1543"/>
      <c r="AG3" s="1543"/>
      <c r="AH3" s="1543"/>
      <c r="AI3" s="1543"/>
      <c r="AJ3" s="1543"/>
      <c r="AK3" s="1543"/>
      <c r="AL3" s="1543"/>
      <c r="AM3" s="1543"/>
      <c r="AN3" s="1543"/>
      <c r="AO3" s="1543"/>
      <c r="AP3" s="1543"/>
      <c r="AQ3" s="1543"/>
      <c r="AR3" s="1543"/>
      <c r="AS3" s="1543"/>
      <c r="AT3" s="1543"/>
      <c r="AU3" s="1543"/>
      <c r="AV3" s="1543"/>
      <c r="AW3" s="1543"/>
      <c r="AX3" s="1543"/>
      <c r="AY3" s="1543"/>
      <c r="AZ3" s="1543"/>
      <c r="BA3" s="1543"/>
      <c r="BB3" s="1543"/>
      <c r="BC3" s="1543"/>
      <c r="BD3" s="1543"/>
      <c r="BE3" s="1543"/>
      <c r="BF3" s="1543"/>
      <c r="BG3" s="1543"/>
      <c r="BH3" s="1543"/>
      <c r="BI3" s="1543"/>
      <c r="BJ3" s="1543"/>
      <c r="BK3" s="1543"/>
      <c r="BL3" s="1543"/>
      <c r="BM3" s="1543"/>
      <c r="BN3" s="1543"/>
      <c r="BO3" s="1543"/>
      <c r="BP3" s="1543"/>
      <c r="BQ3" s="1543"/>
      <c r="BR3" s="1543"/>
      <c r="BS3" s="1543"/>
      <c r="BT3" s="1543"/>
      <c r="BU3" s="1543"/>
      <c r="BV3" s="1543"/>
      <c r="BW3" s="1543"/>
      <c r="BX3" s="1543"/>
      <c r="BY3" s="1543"/>
      <c r="BZ3" s="1543"/>
      <c r="CA3" s="1543"/>
      <c r="CB3" s="1543"/>
      <c r="CC3" s="1543"/>
    </row>
    <row r="4" spans="1:81" ht="17.399999999999999" x14ac:dyDescent="0.3">
      <c r="A4" s="1544" t="str">
        <f>+'ADMON COM. '!A5:AC5</f>
        <v>QUINCENA DEL 16  AL 30  DE ABRIL - 2026</v>
      </c>
      <c r="B4" s="1544"/>
      <c r="C4" s="1544"/>
      <c r="D4" s="1544"/>
      <c r="E4" s="1544"/>
      <c r="F4" s="1544"/>
      <c r="G4" s="1544"/>
      <c r="H4" s="1544"/>
      <c r="I4" s="1544"/>
      <c r="J4" s="1544"/>
      <c r="K4" s="1544"/>
      <c r="L4" s="1544"/>
      <c r="M4" s="1544"/>
      <c r="N4" s="1544"/>
      <c r="O4" s="1544"/>
      <c r="P4" s="1544"/>
      <c r="Q4" s="1544"/>
      <c r="R4" s="1544"/>
      <c r="S4" s="1544"/>
      <c r="T4" s="1544"/>
      <c r="U4" s="1544"/>
      <c r="V4" s="1544"/>
      <c r="W4" s="1544"/>
      <c r="X4" s="1544"/>
      <c r="Y4" s="1544"/>
      <c r="Z4" s="1544"/>
      <c r="AA4" s="1544"/>
      <c r="AB4" s="1544"/>
      <c r="AC4" s="1544"/>
      <c r="AD4" s="1544"/>
      <c r="AE4" s="1544"/>
      <c r="AF4" s="1544"/>
      <c r="AG4" s="1544"/>
      <c r="AH4" s="1544"/>
      <c r="AI4" s="1544"/>
      <c r="AJ4" s="1544"/>
      <c r="AK4" s="1544"/>
      <c r="AL4" s="1544"/>
      <c r="AM4" s="1544"/>
      <c r="AN4" s="1544"/>
      <c r="AO4" s="1544"/>
      <c r="AP4" s="1544"/>
      <c r="AQ4" s="1544"/>
      <c r="AR4" s="1544"/>
      <c r="AS4" s="1544"/>
      <c r="AT4" s="1544"/>
      <c r="AU4" s="1544"/>
      <c r="AV4" s="1544"/>
      <c r="AW4" s="1544"/>
      <c r="AX4" s="1544"/>
      <c r="AY4" s="1544"/>
      <c r="AZ4" s="1544"/>
      <c r="BA4" s="1544"/>
      <c r="BB4" s="1544"/>
      <c r="BC4" s="1544"/>
      <c r="BD4" s="1544"/>
      <c r="BE4" s="1544"/>
      <c r="BF4" s="1544"/>
      <c r="BG4" s="1544"/>
      <c r="BH4" s="1544"/>
      <c r="BI4" s="1544"/>
      <c r="BJ4" s="1544"/>
      <c r="BK4" s="1544"/>
      <c r="BL4" s="1544"/>
      <c r="BM4" s="1544"/>
      <c r="BN4" s="1544"/>
      <c r="BO4" s="1544"/>
      <c r="BP4" s="1544"/>
      <c r="BQ4" s="1544"/>
      <c r="BR4" s="1544"/>
      <c r="BS4" s="1544"/>
      <c r="BT4" s="1544"/>
      <c r="BU4" s="1544"/>
      <c r="BV4" s="1544"/>
      <c r="BW4" s="1544"/>
      <c r="BX4" s="1544"/>
      <c r="BY4" s="1544"/>
      <c r="BZ4" s="1544"/>
      <c r="CA4" s="1544"/>
      <c r="CB4" s="1544"/>
      <c r="CC4" s="1544"/>
    </row>
    <row r="5" spans="1:81" ht="17.399999999999999" x14ac:dyDescent="0.3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</row>
    <row r="6" spans="1:81" s="378" customFormat="1" ht="24" customHeight="1" x14ac:dyDescent="0.25">
      <c r="A6" s="1608" t="s">
        <v>71</v>
      </c>
      <c r="B6" s="1613" t="s">
        <v>254</v>
      </c>
      <c r="C6" s="1611" t="s">
        <v>128</v>
      </c>
      <c r="D6" s="1614" t="s">
        <v>6</v>
      </c>
      <c r="E6" s="1586" t="s">
        <v>82</v>
      </c>
      <c r="F6" s="1586" t="s">
        <v>187</v>
      </c>
      <c r="G6" s="1586" t="s">
        <v>45</v>
      </c>
      <c r="H6" s="1601">
        <v>1</v>
      </c>
      <c r="I6" s="1601">
        <v>2</v>
      </c>
      <c r="J6" s="1601">
        <v>3</v>
      </c>
      <c r="K6" s="1601">
        <v>4</v>
      </c>
      <c r="L6" s="1601">
        <v>5</v>
      </c>
      <c r="M6" s="1601">
        <v>6</v>
      </c>
      <c r="N6" s="1601">
        <v>7</v>
      </c>
      <c r="O6" s="1601">
        <v>8</v>
      </c>
      <c r="P6" s="1602" t="s">
        <v>129</v>
      </c>
      <c r="Q6" s="1605" t="s">
        <v>83</v>
      </c>
      <c r="R6" s="1593">
        <v>9</v>
      </c>
      <c r="S6" s="1593">
        <v>10</v>
      </c>
      <c r="T6" s="1593">
        <v>11</v>
      </c>
      <c r="U6" s="1593">
        <v>12</v>
      </c>
      <c r="V6" s="1593">
        <v>13</v>
      </c>
      <c r="W6" s="1593">
        <v>14</v>
      </c>
      <c r="X6" s="1593">
        <v>15</v>
      </c>
      <c r="Y6" s="1593">
        <v>16</v>
      </c>
      <c r="Z6" s="1602" t="s">
        <v>130</v>
      </c>
      <c r="AA6" s="1594" t="s">
        <v>83</v>
      </c>
      <c r="AB6" s="1595" t="s">
        <v>131</v>
      </c>
      <c r="AC6" s="1595" t="s">
        <v>132</v>
      </c>
      <c r="AD6" s="1586" t="s">
        <v>76</v>
      </c>
      <c r="AE6" s="1586" t="s">
        <v>84</v>
      </c>
      <c r="AF6" s="1596" t="s">
        <v>255</v>
      </c>
      <c r="AG6" s="1596" t="s">
        <v>256</v>
      </c>
      <c r="AH6" s="1599" t="s">
        <v>78</v>
      </c>
      <c r="AI6" s="1600" t="s">
        <v>117</v>
      </c>
      <c r="AJ6" s="1600" t="s">
        <v>80</v>
      </c>
      <c r="AK6" s="1579" t="s">
        <v>133</v>
      </c>
      <c r="AL6" s="1579" t="s">
        <v>133</v>
      </c>
      <c r="AM6" s="1588" t="s">
        <v>81</v>
      </c>
      <c r="AN6" s="376" t="s">
        <v>70</v>
      </c>
      <c r="AO6" s="376" t="s">
        <v>70</v>
      </c>
      <c r="AP6" s="376" t="s">
        <v>69</v>
      </c>
      <c r="AQ6" s="376" t="s">
        <v>68</v>
      </c>
      <c r="AR6" s="376" t="s">
        <v>67</v>
      </c>
      <c r="AS6" s="1589" t="s">
        <v>66</v>
      </c>
      <c r="AT6" s="1615" t="s">
        <v>29</v>
      </c>
      <c r="AU6" s="1579" t="s">
        <v>194</v>
      </c>
      <c r="AV6" s="1579" t="s">
        <v>134</v>
      </c>
      <c r="AW6" s="1579" t="s">
        <v>257</v>
      </c>
      <c r="AX6" s="1579" t="s">
        <v>258</v>
      </c>
      <c r="AY6" s="1579" t="s">
        <v>259</v>
      </c>
      <c r="AZ6" s="1579" t="s">
        <v>260</v>
      </c>
      <c r="BA6" s="1579" t="s">
        <v>261</v>
      </c>
      <c r="BB6" s="1579" t="s">
        <v>58</v>
      </c>
      <c r="BC6" s="1579" t="s">
        <v>118</v>
      </c>
      <c r="BD6" s="1579" t="s">
        <v>262</v>
      </c>
      <c r="BE6" s="1582" t="s">
        <v>160</v>
      </c>
      <c r="BF6" s="1618" t="s">
        <v>89</v>
      </c>
      <c r="BG6" s="1586" t="s">
        <v>52</v>
      </c>
      <c r="BH6" s="1586" t="s">
        <v>53</v>
      </c>
      <c r="BI6" s="1619" t="s">
        <v>17</v>
      </c>
      <c r="BJ6" s="1552" t="s">
        <v>39</v>
      </c>
      <c r="BK6" s="1552"/>
      <c r="BL6" s="1553" t="s">
        <v>92</v>
      </c>
      <c r="BM6" s="1553" t="s">
        <v>65</v>
      </c>
      <c r="BN6" s="1554">
        <v>0.4</v>
      </c>
      <c r="BO6" s="1557" t="s">
        <v>263</v>
      </c>
      <c r="BP6" s="1576" t="s">
        <v>196</v>
      </c>
      <c r="BQ6" s="1553" t="s">
        <v>31</v>
      </c>
      <c r="BR6" s="377"/>
      <c r="BS6" s="1553"/>
      <c r="BT6" s="1564" t="s">
        <v>99</v>
      </c>
      <c r="BU6" s="1564" t="s">
        <v>114</v>
      </c>
      <c r="BV6" s="1621" t="s">
        <v>73</v>
      </c>
      <c r="BW6" s="1568" t="s">
        <v>38</v>
      </c>
      <c r="BX6" s="1624" t="s">
        <v>118</v>
      </c>
      <c r="BY6" s="1623" t="s">
        <v>119</v>
      </c>
      <c r="BZ6" s="1625" t="s">
        <v>64</v>
      </c>
      <c r="CA6" s="1623" t="s">
        <v>55</v>
      </c>
      <c r="CB6" s="1620" t="s">
        <v>51</v>
      </c>
      <c r="CC6" s="1623" t="s">
        <v>63</v>
      </c>
    </row>
    <row r="7" spans="1:81" s="378" customFormat="1" ht="19.95" customHeight="1" x14ac:dyDescent="0.25">
      <c r="A7" s="1609"/>
      <c r="B7" s="1613"/>
      <c r="C7" s="1611"/>
      <c r="D7" s="1614"/>
      <c r="E7" s="1586"/>
      <c r="F7" s="1586"/>
      <c r="G7" s="1586"/>
      <c r="H7" s="1601"/>
      <c r="I7" s="1601"/>
      <c r="J7" s="1601"/>
      <c r="K7" s="1601"/>
      <c r="L7" s="1601"/>
      <c r="M7" s="1601"/>
      <c r="N7" s="1601"/>
      <c r="O7" s="1601"/>
      <c r="P7" s="1603"/>
      <c r="Q7" s="1605"/>
      <c r="R7" s="1593"/>
      <c r="S7" s="1593"/>
      <c r="T7" s="1593"/>
      <c r="U7" s="1593"/>
      <c r="V7" s="1593"/>
      <c r="W7" s="1593"/>
      <c r="X7" s="1593"/>
      <c r="Y7" s="1593"/>
      <c r="Z7" s="1603"/>
      <c r="AA7" s="1594"/>
      <c r="AB7" s="1595"/>
      <c r="AC7" s="1595"/>
      <c r="AD7" s="1586"/>
      <c r="AE7" s="1586"/>
      <c r="AF7" s="1597"/>
      <c r="AG7" s="1597"/>
      <c r="AH7" s="1599"/>
      <c r="AI7" s="1600"/>
      <c r="AJ7" s="1600"/>
      <c r="AK7" s="1580"/>
      <c r="AL7" s="1580"/>
      <c r="AM7" s="1588"/>
      <c r="AN7" s="376" t="s">
        <v>62</v>
      </c>
      <c r="AO7" s="376" t="s">
        <v>61</v>
      </c>
      <c r="AP7" s="376" t="s">
        <v>60</v>
      </c>
      <c r="AQ7" s="376" t="s">
        <v>59</v>
      </c>
      <c r="AR7" s="376" t="s">
        <v>58</v>
      </c>
      <c r="AS7" s="1589"/>
      <c r="AT7" s="1616"/>
      <c r="AU7" s="1580"/>
      <c r="AV7" s="1580"/>
      <c r="AW7" s="1580"/>
      <c r="AX7" s="1580"/>
      <c r="AY7" s="1580"/>
      <c r="AZ7" s="1580"/>
      <c r="BA7" s="1580"/>
      <c r="BB7" s="1580"/>
      <c r="BC7" s="1580"/>
      <c r="BD7" s="1580"/>
      <c r="BE7" s="1583"/>
      <c r="BF7" s="1618"/>
      <c r="BG7" s="1586"/>
      <c r="BH7" s="1586"/>
      <c r="BI7" s="1619"/>
      <c r="BJ7" s="1552"/>
      <c r="BK7" s="1552"/>
      <c r="BL7" s="1553"/>
      <c r="BM7" s="1553"/>
      <c r="BN7" s="1555"/>
      <c r="BO7" s="1558"/>
      <c r="BP7" s="1577"/>
      <c r="BQ7" s="1553"/>
      <c r="BR7" s="379"/>
      <c r="BS7" s="1553"/>
      <c r="BT7" s="1565"/>
      <c r="BU7" s="1565"/>
      <c r="BV7" s="1621"/>
      <c r="BW7" s="1568"/>
      <c r="BX7" s="1624"/>
      <c r="BY7" s="1623"/>
      <c r="BZ7" s="1625"/>
      <c r="CA7" s="1623"/>
      <c r="CB7" s="1620"/>
      <c r="CC7" s="1623"/>
    </row>
    <row r="8" spans="1:81" s="378" customFormat="1" ht="25.2" customHeight="1" thickBot="1" x14ac:dyDescent="0.3">
      <c r="A8" s="1610"/>
      <c r="B8" s="1613"/>
      <c r="C8" s="1611"/>
      <c r="D8" s="1614"/>
      <c r="E8" s="1586"/>
      <c r="F8" s="1586"/>
      <c r="G8" s="1586"/>
      <c r="H8" s="380" t="s">
        <v>32</v>
      </c>
      <c r="I8" s="380" t="s">
        <v>36</v>
      </c>
      <c r="J8" s="380" t="s">
        <v>35</v>
      </c>
      <c r="K8" s="380" t="s">
        <v>34</v>
      </c>
      <c r="L8" s="381" t="s">
        <v>37</v>
      </c>
      <c r="M8" s="380" t="s">
        <v>33</v>
      </c>
      <c r="N8" s="380" t="s">
        <v>32</v>
      </c>
      <c r="O8" s="380" t="s">
        <v>32</v>
      </c>
      <c r="P8" s="1604"/>
      <c r="Q8" s="1605"/>
      <c r="R8" s="380" t="s">
        <v>36</v>
      </c>
      <c r="S8" s="380" t="s">
        <v>35</v>
      </c>
      <c r="T8" s="380" t="s">
        <v>34</v>
      </c>
      <c r="U8" s="381" t="s">
        <v>37</v>
      </c>
      <c r="V8" s="380" t="s">
        <v>33</v>
      </c>
      <c r="W8" s="380" t="s">
        <v>32</v>
      </c>
      <c r="X8" s="380" t="s">
        <v>32</v>
      </c>
      <c r="Y8" s="380" t="s">
        <v>32</v>
      </c>
      <c r="Z8" s="1604"/>
      <c r="AA8" s="1594"/>
      <c r="AB8" s="1595"/>
      <c r="AC8" s="1595"/>
      <c r="AD8" s="1586"/>
      <c r="AE8" s="1586"/>
      <c r="AF8" s="1598"/>
      <c r="AG8" s="1598"/>
      <c r="AH8" s="1599"/>
      <c r="AI8" s="1600"/>
      <c r="AJ8" s="1600"/>
      <c r="AK8" s="1581"/>
      <c r="AL8" s="1581"/>
      <c r="AM8" s="1588"/>
      <c r="AN8" s="376" t="s">
        <v>57</v>
      </c>
      <c r="AO8" s="376" t="s">
        <v>56</v>
      </c>
      <c r="AP8" s="376"/>
      <c r="AQ8" s="376"/>
      <c r="AR8" s="376"/>
      <c r="AS8" s="1589"/>
      <c r="AT8" s="1617"/>
      <c r="AU8" s="1581"/>
      <c r="AV8" s="1581"/>
      <c r="AW8" s="1581"/>
      <c r="AX8" s="1581"/>
      <c r="AY8" s="1581"/>
      <c r="AZ8" s="1581"/>
      <c r="BA8" s="1581"/>
      <c r="BB8" s="1581"/>
      <c r="BC8" s="1581"/>
      <c r="BD8" s="1581"/>
      <c r="BE8" s="1584"/>
      <c r="BF8" s="1618"/>
      <c r="BG8" s="1586"/>
      <c r="BH8" s="1586"/>
      <c r="BI8" s="1619"/>
      <c r="BJ8" s="382" t="s">
        <v>120</v>
      </c>
      <c r="BK8" s="383" t="s">
        <v>118</v>
      </c>
      <c r="BL8" s="1553"/>
      <c r="BM8" s="1553"/>
      <c r="BN8" s="1556"/>
      <c r="BO8" s="1559"/>
      <c r="BP8" s="1578"/>
      <c r="BQ8" s="1553"/>
      <c r="BR8" s="384"/>
      <c r="BS8" s="1553"/>
      <c r="BT8" s="1566"/>
      <c r="BU8" s="1566"/>
      <c r="BV8" s="1621"/>
      <c r="BW8" s="1569"/>
      <c r="BX8" s="1624"/>
      <c r="BY8" s="1623"/>
      <c r="BZ8" s="1625"/>
      <c r="CA8" s="1623"/>
      <c r="CB8" s="1620"/>
      <c r="CC8" s="1623"/>
    </row>
    <row r="9" spans="1:81" s="378" customFormat="1" ht="60" customHeight="1" thickTop="1" thickBot="1" x14ac:dyDescent="0.3">
      <c r="A9" s="543">
        <v>1</v>
      </c>
      <c r="B9" s="385">
        <v>0</v>
      </c>
      <c r="C9" s="513">
        <v>250</v>
      </c>
      <c r="D9" s="467" t="s">
        <v>274</v>
      </c>
      <c r="E9" s="387">
        <v>157.46</v>
      </c>
      <c r="F9" s="387" t="s">
        <v>32</v>
      </c>
      <c r="G9" s="481" t="s">
        <v>264</v>
      </c>
      <c r="H9" s="468">
        <v>0</v>
      </c>
      <c r="I9" s="468">
        <v>0</v>
      </c>
      <c r="J9" s="468">
        <v>0</v>
      </c>
      <c r="K9" s="468">
        <v>0</v>
      </c>
      <c r="L9" s="469">
        <v>0</v>
      </c>
      <c r="M9" s="468">
        <v>0</v>
      </c>
      <c r="N9" s="468">
        <v>0</v>
      </c>
      <c r="O9" s="468">
        <v>0</v>
      </c>
      <c r="P9" s="470">
        <f>+COUNTIF(H9:O9,157.46)</f>
        <v>0</v>
      </c>
      <c r="Q9" s="469">
        <f>+COUNTIF(P9,7)</f>
        <v>0</v>
      </c>
      <c r="R9" s="468">
        <v>0</v>
      </c>
      <c r="S9" s="468">
        <v>0</v>
      </c>
      <c r="T9" s="468">
        <v>0</v>
      </c>
      <c r="U9" s="469">
        <v>0</v>
      </c>
      <c r="V9" s="468">
        <v>0</v>
      </c>
      <c r="W9" s="468">
        <v>0</v>
      </c>
      <c r="X9" s="468">
        <v>0</v>
      </c>
      <c r="Y9" s="468">
        <v>0</v>
      </c>
      <c r="Z9" s="470">
        <f>+COUNTIF(R9:W9,157.46)</f>
        <v>0</v>
      </c>
      <c r="AA9" s="469">
        <f>+COUNTIF(Z9,5)</f>
        <v>0</v>
      </c>
      <c r="AB9" s="390">
        <f>+AA9+Q9</f>
        <v>0</v>
      </c>
      <c r="AC9" s="390">
        <f>COUNTIF(H9:AA9,157.46)</f>
        <v>0</v>
      </c>
      <c r="AD9" s="393">
        <f>+AB9+AC9+AI9+AE9</f>
        <v>0</v>
      </c>
      <c r="AE9" s="402">
        <v>0</v>
      </c>
      <c r="AF9" s="392">
        <f>+C9/8</f>
        <v>31.25</v>
      </c>
      <c r="AG9" s="392">
        <f>+AH9*AF9</f>
        <v>0</v>
      </c>
      <c r="AH9" s="389">
        <v>0</v>
      </c>
      <c r="AI9" s="390">
        <f>+L9+U9</f>
        <v>0</v>
      </c>
      <c r="AJ9" s="483">
        <f>+AC9*E9</f>
        <v>0</v>
      </c>
      <c r="AK9" s="394">
        <f>+E9*Q9</f>
        <v>0</v>
      </c>
      <c r="AL9" s="394">
        <f>+E9*AA9</f>
        <v>0</v>
      </c>
      <c r="AM9" s="395">
        <f>+AK9+AL9</f>
        <v>0</v>
      </c>
      <c r="AN9" s="396">
        <f>+E9</f>
        <v>157.46</v>
      </c>
      <c r="AO9" s="396">
        <f>+E9/8</f>
        <v>19.682500000000001</v>
      </c>
      <c r="AP9" s="396">
        <f>+AN9*AI9</f>
        <v>0</v>
      </c>
      <c r="AQ9" s="396">
        <f>+AO9*AH9</f>
        <v>0</v>
      </c>
      <c r="AR9" s="396">
        <f>+AE9*E9</f>
        <v>0</v>
      </c>
      <c r="AS9" s="395">
        <f>+AR9+AQ9+AP9</f>
        <v>0</v>
      </c>
      <c r="AT9" s="397">
        <f>+AM9+AJ9+AP9+AQ9+AR9</f>
        <v>0</v>
      </c>
      <c r="AU9" s="391">
        <f>+AW9*AC9</f>
        <v>0</v>
      </c>
      <c r="AV9" s="391">
        <f>+AD9</f>
        <v>0</v>
      </c>
      <c r="AW9" s="391">
        <f>+C9</f>
        <v>250</v>
      </c>
      <c r="AX9" s="391">
        <f>+AW9*AV9</f>
        <v>0</v>
      </c>
      <c r="AY9" s="391">
        <f>+AW9*AI9</f>
        <v>0</v>
      </c>
      <c r="AZ9" s="391">
        <f>+C9/8</f>
        <v>31.25</v>
      </c>
      <c r="BA9" s="391">
        <f>+AZ9*AH9</f>
        <v>0</v>
      </c>
      <c r="BB9" s="391">
        <f>+C9*AE9</f>
        <v>0</v>
      </c>
      <c r="BC9" s="398">
        <v>7.02</v>
      </c>
      <c r="BD9" s="391">
        <f>+BI9*7.15%</f>
        <v>0</v>
      </c>
      <c r="BE9" s="391">
        <f>+BF9-AT9+AG9</f>
        <v>0</v>
      </c>
      <c r="BF9" s="399">
        <f>+BI9-BH9-BG9</f>
        <v>0</v>
      </c>
      <c r="BG9" s="400">
        <f>+BH9</f>
        <v>0</v>
      </c>
      <c r="BH9" s="395">
        <f>+BD9</f>
        <v>0</v>
      </c>
      <c r="BI9" s="401">
        <f>+AX9+BA9</f>
        <v>0</v>
      </c>
      <c r="BJ9" s="402">
        <f>+BI9-BH9</f>
        <v>0</v>
      </c>
      <c r="BK9" s="403">
        <v>0.05</v>
      </c>
      <c r="BL9" s="395">
        <v>0</v>
      </c>
      <c r="BM9" s="399">
        <f>+BI9-BL9</f>
        <v>0</v>
      </c>
      <c r="BN9" s="404">
        <f>+C9*60%</f>
        <v>150</v>
      </c>
      <c r="BO9" s="405">
        <v>0</v>
      </c>
      <c r="BP9" s="406">
        <f>+BO9*BN9</f>
        <v>0</v>
      </c>
      <c r="BQ9" s="407">
        <v>0</v>
      </c>
      <c r="BR9" s="407">
        <v>0</v>
      </c>
      <c r="BS9" s="407">
        <v>0</v>
      </c>
      <c r="BT9" s="407">
        <v>0</v>
      </c>
      <c r="BU9" s="407">
        <v>0</v>
      </c>
      <c r="BV9" s="479">
        <f t="shared" ref="BV9" si="0">+BM9-BT9-BU9</f>
        <v>0</v>
      </c>
      <c r="BW9" s="414">
        <f>+A9</f>
        <v>1</v>
      </c>
      <c r="BX9" s="409">
        <v>0.13</v>
      </c>
      <c r="BY9" s="499">
        <f>+BI9-BH9</f>
        <v>0</v>
      </c>
      <c r="BZ9" s="500">
        <f>BI9*BX9</f>
        <v>0</v>
      </c>
      <c r="CA9" s="501">
        <v>0.02</v>
      </c>
      <c r="CB9" s="500">
        <f>BM9*CA9</f>
        <v>0</v>
      </c>
      <c r="CC9" s="502">
        <f>+BV9+BZ9+CB9</f>
        <v>0</v>
      </c>
    </row>
    <row r="10" spans="1:81" s="378" customFormat="1" ht="37.5" customHeight="1" thickTop="1" thickBot="1" x14ac:dyDescent="0.3">
      <c r="A10" s="410"/>
      <c r="B10" s="410"/>
      <c r="C10" s="410"/>
      <c r="D10" s="411">
        <f>COUNTA(#REF!,0)</f>
        <v>2</v>
      </c>
      <c r="E10" s="412" t="s">
        <v>95</v>
      </c>
      <c r="F10" s="412"/>
      <c r="G10" s="474" t="s">
        <v>95</v>
      </c>
      <c r="H10" s="400">
        <f t="shared" ref="H10:AM10" si="1">SUM(H9:H9)</f>
        <v>0</v>
      </c>
      <c r="I10" s="400">
        <f t="shared" si="1"/>
        <v>0</v>
      </c>
      <c r="J10" s="400">
        <f t="shared" si="1"/>
        <v>0</v>
      </c>
      <c r="K10" s="400">
        <f t="shared" si="1"/>
        <v>0</v>
      </c>
      <c r="L10" s="400">
        <f t="shared" si="1"/>
        <v>0</v>
      </c>
      <c r="M10" s="400">
        <f t="shared" si="1"/>
        <v>0</v>
      </c>
      <c r="N10" s="400">
        <f t="shared" si="1"/>
        <v>0</v>
      </c>
      <c r="O10" s="400">
        <f t="shared" si="1"/>
        <v>0</v>
      </c>
      <c r="P10" s="400">
        <f t="shared" si="1"/>
        <v>0</v>
      </c>
      <c r="Q10" s="400">
        <f t="shared" si="1"/>
        <v>0</v>
      </c>
      <c r="R10" s="400">
        <f t="shared" si="1"/>
        <v>0</v>
      </c>
      <c r="S10" s="400">
        <f t="shared" si="1"/>
        <v>0</v>
      </c>
      <c r="T10" s="400">
        <f t="shared" si="1"/>
        <v>0</v>
      </c>
      <c r="U10" s="400">
        <f t="shared" si="1"/>
        <v>0</v>
      </c>
      <c r="V10" s="400">
        <f t="shared" si="1"/>
        <v>0</v>
      </c>
      <c r="W10" s="400">
        <f t="shared" si="1"/>
        <v>0</v>
      </c>
      <c r="X10" s="400">
        <f t="shared" si="1"/>
        <v>0</v>
      </c>
      <c r="Y10" s="400">
        <f t="shared" si="1"/>
        <v>0</v>
      </c>
      <c r="Z10" s="400">
        <f t="shared" si="1"/>
        <v>0</v>
      </c>
      <c r="AA10" s="400">
        <f t="shared" si="1"/>
        <v>0</v>
      </c>
      <c r="AB10" s="400">
        <f t="shared" si="1"/>
        <v>0</v>
      </c>
      <c r="AC10" s="400">
        <f t="shared" si="1"/>
        <v>0</v>
      </c>
      <c r="AD10" s="400">
        <f t="shared" si="1"/>
        <v>0</v>
      </c>
      <c r="AE10" s="400">
        <f t="shared" si="1"/>
        <v>0</v>
      </c>
      <c r="AF10" s="400">
        <f t="shared" si="1"/>
        <v>31.25</v>
      </c>
      <c r="AG10" s="400">
        <f t="shared" si="1"/>
        <v>0</v>
      </c>
      <c r="AH10" s="400">
        <f t="shared" si="1"/>
        <v>0</v>
      </c>
      <c r="AI10" s="400">
        <f t="shared" si="1"/>
        <v>0</v>
      </c>
      <c r="AJ10" s="400">
        <f t="shared" si="1"/>
        <v>0</v>
      </c>
      <c r="AK10" s="400">
        <f t="shared" si="1"/>
        <v>0</v>
      </c>
      <c r="AL10" s="400">
        <f t="shared" si="1"/>
        <v>0</v>
      </c>
      <c r="AM10" s="400">
        <f t="shared" si="1"/>
        <v>0</v>
      </c>
      <c r="AN10" s="400">
        <f t="shared" ref="AN10:BS10" si="2">SUM(AN9:AN9)</f>
        <v>157.46</v>
      </c>
      <c r="AO10" s="400">
        <f t="shared" si="2"/>
        <v>19.682500000000001</v>
      </c>
      <c r="AP10" s="400">
        <f t="shared" si="2"/>
        <v>0</v>
      </c>
      <c r="AQ10" s="400">
        <f t="shared" si="2"/>
        <v>0</v>
      </c>
      <c r="AR10" s="400">
        <f t="shared" si="2"/>
        <v>0</v>
      </c>
      <c r="AS10" s="400">
        <f t="shared" si="2"/>
        <v>0</v>
      </c>
      <c r="AT10" s="400">
        <f t="shared" si="2"/>
        <v>0</v>
      </c>
      <c r="AU10" s="400">
        <f t="shared" si="2"/>
        <v>0</v>
      </c>
      <c r="AV10" s="400">
        <f t="shared" si="2"/>
        <v>0</v>
      </c>
      <c r="AW10" s="400">
        <f t="shared" si="2"/>
        <v>250</v>
      </c>
      <c r="AX10" s="400">
        <f t="shared" si="2"/>
        <v>0</v>
      </c>
      <c r="AY10" s="400">
        <f t="shared" si="2"/>
        <v>0</v>
      </c>
      <c r="AZ10" s="400">
        <f t="shared" si="2"/>
        <v>31.25</v>
      </c>
      <c r="BA10" s="400">
        <f t="shared" si="2"/>
        <v>0</v>
      </c>
      <c r="BB10" s="400">
        <f t="shared" si="2"/>
        <v>0</v>
      </c>
      <c r="BC10" s="400">
        <f t="shared" si="2"/>
        <v>7.02</v>
      </c>
      <c r="BD10" s="400">
        <f t="shared" si="2"/>
        <v>0</v>
      </c>
      <c r="BE10" s="400">
        <f t="shared" si="2"/>
        <v>0</v>
      </c>
      <c r="BF10" s="400">
        <f t="shared" si="2"/>
        <v>0</v>
      </c>
      <c r="BG10" s="400">
        <f t="shared" si="2"/>
        <v>0</v>
      </c>
      <c r="BH10" s="400">
        <f t="shared" si="2"/>
        <v>0</v>
      </c>
      <c r="BI10" s="400">
        <f t="shared" si="2"/>
        <v>0</v>
      </c>
      <c r="BJ10" s="400">
        <f t="shared" si="2"/>
        <v>0</v>
      </c>
      <c r="BK10" s="400">
        <f t="shared" si="2"/>
        <v>0.05</v>
      </c>
      <c r="BL10" s="400">
        <f t="shared" si="2"/>
        <v>0</v>
      </c>
      <c r="BM10" s="400">
        <f t="shared" si="2"/>
        <v>0</v>
      </c>
      <c r="BN10" s="400">
        <f t="shared" si="2"/>
        <v>150</v>
      </c>
      <c r="BO10" s="400">
        <f t="shared" si="2"/>
        <v>0</v>
      </c>
      <c r="BP10" s="400">
        <f t="shared" si="2"/>
        <v>0</v>
      </c>
      <c r="BQ10" s="400">
        <f t="shared" si="2"/>
        <v>0</v>
      </c>
      <c r="BR10" s="400">
        <f t="shared" si="2"/>
        <v>0</v>
      </c>
      <c r="BS10" s="400">
        <f t="shared" si="2"/>
        <v>0</v>
      </c>
      <c r="BT10" s="400">
        <f t="shared" ref="BT10:BV10" si="3">SUM(BT9:BT9)</f>
        <v>0</v>
      </c>
      <c r="BU10" s="400">
        <f t="shared" si="3"/>
        <v>0</v>
      </c>
      <c r="BV10" s="477">
        <f t="shared" si="3"/>
        <v>0</v>
      </c>
      <c r="BW10" s="87" t="s">
        <v>105</v>
      </c>
      <c r="BX10" s="415"/>
      <c r="BY10" s="503">
        <f>SUM(BY9)</f>
        <v>0</v>
      </c>
      <c r="BZ10" s="503">
        <f>SUM(BZ9)</f>
        <v>0</v>
      </c>
      <c r="CA10" s="503">
        <f t="shared" ref="CA10" si="4">SUM(CA9)</f>
        <v>0.02</v>
      </c>
      <c r="CB10" s="503">
        <f>SUM(CB9)</f>
        <v>0</v>
      </c>
      <c r="CC10" s="503">
        <f>SUM(CC9)</f>
        <v>0</v>
      </c>
    </row>
    <row r="11" spans="1:81" s="378" customFormat="1" ht="16.2" thickTop="1" x14ac:dyDescent="0.25">
      <c r="A11" s="426"/>
      <c r="B11" s="426"/>
      <c r="C11" s="426"/>
      <c r="D11" s="440"/>
      <c r="E11" s="441"/>
      <c r="F11" s="441"/>
      <c r="G11" s="442"/>
      <c r="H11" s="442"/>
      <c r="I11" s="445"/>
      <c r="J11" s="443"/>
      <c r="K11" s="426"/>
      <c r="L11" s="426"/>
      <c r="M11" s="426"/>
      <c r="N11" s="426"/>
      <c r="O11" s="426"/>
      <c r="P11" s="426"/>
      <c r="Q11" s="426"/>
      <c r="R11" s="426"/>
      <c r="S11" s="426"/>
      <c r="T11" s="426"/>
      <c r="U11" s="426"/>
      <c r="V11" s="444"/>
      <c r="W11" s="444"/>
      <c r="X11" s="444"/>
      <c r="Y11" s="444"/>
      <c r="Z11" s="444"/>
      <c r="AA11" s="444"/>
      <c r="AB11" s="444"/>
      <c r="AC11" s="444"/>
      <c r="AD11" s="444"/>
      <c r="AE11" s="444"/>
      <c r="AF11" s="444"/>
      <c r="AG11" s="444"/>
      <c r="AH11" s="445"/>
      <c r="AI11" s="444"/>
      <c r="AJ11" s="444"/>
      <c r="AK11" s="444"/>
      <c r="AL11" s="444"/>
      <c r="AM11" s="435"/>
      <c r="AN11" s="434"/>
      <c r="AO11" s="434"/>
      <c r="AP11" s="434"/>
      <c r="AQ11" s="434"/>
      <c r="AR11" s="434"/>
      <c r="AS11" s="435"/>
      <c r="AT11" s="435"/>
      <c r="AU11" s="434"/>
      <c r="AV11" s="434"/>
      <c r="AW11" s="434"/>
      <c r="AX11" s="434"/>
      <c r="AY11" s="434"/>
      <c r="AZ11" s="434"/>
      <c r="BA11" s="434"/>
      <c r="BB11" s="434"/>
      <c r="BC11" s="434"/>
      <c r="BD11" s="434"/>
      <c r="BE11" s="434"/>
      <c r="BF11" s="446"/>
      <c r="BG11" s="447"/>
      <c r="BH11" s="444"/>
      <c r="BI11" s="448"/>
      <c r="BJ11" s="449"/>
      <c r="BK11" s="444"/>
      <c r="BL11" s="445"/>
      <c r="BM11" s="445"/>
      <c r="BN11" s="99"/>
      <c r="BO11" s="445"/>
      <c r="BP11" s="445"/>
      <c r="BQ11" s="445"/>
      <c r="BR11" s="445"/>
      <c r="BS11" s="445"/>
      <c r="BT11" s="99"/>
      <c r="BU11" s="99"/>
      <c r="BV11" s="445"/>
      <c r="BW11" s="450"/>
      <c r="BX11" s="451"/>
      <c r="BY11" s="451"/>
      <c r="BZ11" s="452"/>
      <c r="CA11" s="451"/>
      <c r="CB11" s="452"/>
      <c r="CC11" s="451"/>
    </row>
    <row r="12" spans="1:81" s="378" customFormat="1" ht="15.6" x14ac:dyDescent="0.25">
      <c r="A12" s="426"/>
      <c r="B12" s="426"/>
      <c r="C12" s="426"/>
      <c r="D12" s="440"/>
      <c r="E12" s="441"/>
      <c r="F12" s="441"/>
      <c r="G12" s="442"/>
      <c r="H12" s="442"/>
      <c r="I12" s="443"/>
      <c r="J12" s="443"/>
      <c r="K12" s="426"/>
      <c r="L12" s="426"/>
      <c r="M12" s="426"/>
      <c r="N12" s="426"/>
      <c r="O12" s="426"/>
      <c r="P12" s="426"/>
      <c r="Q12" s="426"/>
      <c r="R12" s="426"/>
      <c r="S12" s="426"/>
      <c r="T12" s="426"/>
      <c r="U12" s="426"/>
      <c r="V12" s="444"/>
      <c r="W12" s="444"/>
      <c r="X12" s="444"/>
      <c r="Y12" s="444"/>
      <c r="Z12" s="444"/>
      <c r="AA12" s="444"/>
      <c r="AB12" s="444"/>
      <c r="AC12" s="444"/>
      <c r="AD12" s="444"/>
      <c r="AE12" s="444"/>
      <c r="AF12" s="444"/>
      <c r="AG12" s="444"/>
      <c r="AH12" s="445"/>
      <c r="AI12" s="444"/>
      <c r="AJ12" s="444"/>
      <c r="AK12" s="444"/>
      <c r="AL12" s="444"/>
      <c r="AM12" s="435"/>
      <c r="AN12" s="434"/>
      <c r="AO12" s="434"/>
      <c r="AP12" s="434"/>
      <c r="AQ12" s="434"/>
      <c r="AR12" s="434"/>
      <c r="AS12" s="435"/>
      <c r="AT12" s="435"/>
      <c r="AU12" s="434"/>
      <c r="AV12" s="434"/>
      <c r="AW12" s="434"/>
      <c r="AX12" s="434"/>
      <c r="AY12" s="434"/>
      <c r="AZ12" s="434"/>
      <c r="BA12" s="434"/>
      <c r="BB12" s="434"/>
      <c r="BC12" s="434"/>
      <c r="BD12" s="434"/>
      <c r="BE12" s="434"/>
      <c r="BF12" s="446"/>
      <c r="BG12" s="447"/>
      <c r="BH12" s="444"/>
      <c r="BI12" s="448"/>
      <c r="BJ12" s="449"/>
      <c r="BK12" s="444"/>
      <c r="BL12" s="445"/>
      <c r="BM12" s="445"/>
      <c r="BN12" s="99"/>
      <c r="BO12" s="445"/>
      <c r="BP12" s="445"/>
      <c r="BQ12" s="445"/>
      <c r="BR12" s="445"/>
      <c r="BS12" s="445"/>
      <c r="BT12" s="99"/>
      <c r="BU12" s="99"/>
      <c r="BV12" s="445"/>
      <c r="BW12" s="450"/>
      <c r="BX12" s="451"/>
      <c r="BY12" s="451"/>
      <c r="BZ12" s="452"/>
      <c r="CA12" s="451"/>
      <c r="CB12" s="452"/>
      <c r="CC12" s="451"/>
    </row>
    <row r="13" spans="1:81" s="378" customFormat="1" ht="15.6" x14ac:dyDescent="0.25">
      <c r="A13" s="426"/>
      <c r="B13" s="426"/>
      <c r="C13" s="426"/>
      <c r="D13" s="440"/>
      <c r="E13" s="441"/>
      <c r="F13" s="441"/>
      <c r="G13" s="442"/>
      <c r="H13" s="442"/>
      <c r="I13" s="443"/>
      <c r="J13" s="443"/>
      <c r="K13" s="426"/>
      <c r="L13" s="426"/>
      <c r="M13" s="426"/>
      <c r="N13" s="426"/>
      <c r="O13" s="426"/>
      <c r="P13" s="426"/>
      <c r="Q13" s="426"/>
      <c r="R13" s="426"/>
      <c r="S13" s="426"/>
      <c r="T13" s="426"/>
      <c r="U13" s="426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5"/>
      <c r="AI13" s="444"/>
      <c r="AJ13" s="444"/>
      <c r="AK13" s="444"/>
      <c r="AL13" s="444"/>
      <c r="AM13" s="435"/>
      <c r="AN13" s="434"/>
      <c r="AO13" s="434"/>
      <c r="AP13" s="434"/>
      <c r="AQ13" s="434"/>
      <c r="AR13" s="434"/>
      <c r="AS13" s="435"/>
      <c r="AT13" s="435"/>
      <c r="AU13" s="434"/>
      <c r="AV13" s="434"/>
      <c r="AW13" s="434"/>
      <c r="AX13" s="434"/>
      <c r="AY13" s="434"/>
      <c r="AZ13" s="434"/>
      <c r="BA13" s="434"/>
      <c r="BB13" s="434"/>
      <c r="BC13" s="434"/>
      <c r="BD13" s="434"/>
      <c r="BE13" s="434"/>
      <c r="BF13" s="446"/>
      <c r="BG13" s="447"/>
      <c r="BH13" s="444"/>
      <c r="BI13" s="448"/>
      <c r="BJ13" s="449"/>
      <c r="BK13" s="444"/>
      <c r="BL13" s="445"/>
      <c r="BM13" s="445"/>
      <c r="BN13" s="99"/>
      <c r="BO13" s="445"/>
      <c r="BP13" s="445"/>
      <c r="BQ13" s="445"/>
      <c r="BR13" s="445"/>
      <c r="BS13" s="445"/>
      <c r="BT13" s="99"/>
      <c r="BU13" s="99"/>
      <c r="BV13" s="445"/>
      <c r="BW13" s="450"/>
      <c r="BX13" s="451"/>
      <c r="BY13" s="451"/>
      <c r="BZ13" s="452"/>
      <c r="CA13" s="451"/>
      <c r="CB13" s="452"/>
      <c r="CC13" s="451"/>
    </row>
    <row r="14" spans="1:81" s="378" customFormat="1" ht="15.6" x14ac:dyDescent="0.25">
      <c r="A14" s="426"/>
      <c r="B14" s="426"/>
      <c r="C14" s="426"/>
      <c r="D14" s="440"/>
      <c r="E14" s="441"/>
      <c r="F14" s="441"/>
      <c r="G14" s="442"/>
      <c r="H14" s="442"/>
      <c r="I14" s="443"/>
      <c r="J14" s="443"/>
      <c r="K14" s="426"/>
      <c r="L14" s="426"/>
      <c r="M14" s="426"/>
      <c r="N14" s="426"/>
      <c r="O14" s="426"/>
      <c r="P14" s="426"/>
      <c r="Q14" s="426"/>
      <c r="R14" s="426"/>
      <c r="S14" s="426"/>
      <c r="T14" s="426"/>
      <c r="U14" s="426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5"/>
      <c r="AI14" s="444"/>
      <c r="AJ14" s="444"/>
      <c r="AK14" s="444"/>
      <c r="AL14" s="444"/>
      <c r="AM14" s="435"/>
      <c r="AN14" s="434"/>
      <c r="AO14" s="434"/>
      <c r="AP14" s="434"/>
      <c r="AQ14" s="434"/>
      <c r="AR14" s="434"/>
      <c r="AS14" s="435"/>
      <c r="AT14" s="435"/>
      <c r="AU14" s="434"/>
      <c r="AV14" s="434"/>
      <c r="AW14" s="434"/>
      <c r="AX14" s="434"/>
      <c r="AY14" s="434"/>
      <c r="AZ14" s="434"/>
      <c r="BA14" s="434"/>
      <c r="BB14" s="434"/>
      <c r="BC14" s="434"/>
      <c r="BD14" s="434"/>
      <c r="BE14" s="434"/>
      <c r="BF14" s="446"/>
      <c r="BG14" s="447"/>
      <c r="BH14" s="444"/>
      <c r="BI14" s="448"/>
      <c r="BJ14" s="449"/>
      <c r="BK14" s="444"/>
      <c r="BL14" s="445"/>
      <c r="BM14" s="445"/>
      <c r="BN14" s="99"/>
      <c r="BO14" s="445"/>
      <c r="BP14" s="445"/>
      <c r="BQ14" s="445"/>
      <c r="BR14" s="445"/>
      <c r="BS14" s="445"/>
      <c r="BT14" s="99"/>
      <c r="BU14" s="99"/>
      <c r="BV14" s="445"/>
      <c r="BW14" s="450"/>
      <c r="BX14" s="451"/>
      <c r="BY14" s="451"/>
      <c r="BZ14" s="452"/>
      <c r="CA14" s="451"/>
      <c r="CB14" s="452"/>
      <c r="CC14" s="451"/>
    </row>
    <row r="15" spans="1:81" s="378" customFormat="1" ht="13.2" x14ac:dyDescent="0.25">
      <c r="A15" s="426"/>
      <c r="B15" s="426"/>
      <c r="C15" s="426"/>
      <c r="D15" s="453"/>
      <c r="E15" s="269"/>
      <c r="F15" s="269"/>
      <c r="G15" s="454"/>
      <c r="H15" s="454"/>
      <c r="I15" s="269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  <c r="U15" s="269"/>
      <c r="V15" s="434"/>
      <c r="W15" s="434"/>
      <c r="X15" s="434"/>
      <c r="Y15" s="434"/>
      <c r="Z15" s="434"/>
      <c r="AA15" s="434"/>
      <c r="AB15" s="434"/>
      <c r="AC15" s="434"/>
      <c r="AD15" s="434"/>
      <c r="AE15" s="434"/>
      <c r="AF15" s="434"/>
      <c r="AG15" s="434"/>
      <c r="AH15" s="451"/>
      <c r="AI15" s="434"/>
      <c r="AJ15" s="434"/>
      <c r="AK15" s="434"/>
      <c r="AL15" s="434"/>
      <c r="AM15" s="435"/>
      <c r="AN15" s="434"/>
      <c r="AO15" s="434"/>
      <c r="AP15" s="434"/>
      <c r="AQ15" s="434"/>
      <c r="AR15" s="434"/>
      <c r="AS15" s="435"/>
      <c r="AT15" s="435"/>
      <c r="AU15" s="434"/>
      <c r="AV15" s="434"/>
      <c r="AW15" s="434"/>
      <c r="AX15" s="434"/>
      <c r="AY15" s="434"/>
      <c r="AZ15" s="434"/>
      <c r="BA15" s="434"/>
      <c r="BB15" s="434"/>
      <c r="BC15" s="434"/>
      <c r="BD15" s="434"/>
      <c r="BE15" s="434"/>
      <c r="BF15" s="446"/>
      <c r="BG15" s="455"/>
      <c r="BH15" s="455"/>
      <c r="BI15" s="455"/>
      <c r="BJ15" s="455"/>
      <c r="BK15" s="455"/>
      <c r="BL15" s="455"/>
      <c r="BM15" s="444"/>
      <c r="BN15" s="99"/>
      <c r="BO15" s="444"/>
      <c r="BP15" s="444"/>
      <c r="BQ15" s="444"/>
      <c r="BR15" s="444"/>
      <c r="BS15" s="444"/>
      <c r="BT15" s="99"/>
      <c r="BU15" s="99"/>
      <c r="BV15" s="444"/>
      <c r="BW15" s="456"/>
      <c r="BX15" s="444"/>
      <c r="BY15" s="449"/>
      <c r="BZ15" s="452"/>
      <c r="CA15" s="451"/>
      <c r="CB15" s="452"/>
      <c r="CC15" s="451"/>
    </row>
    <row r="16" spans="1:81" s="378" customFormat="1" ht="13.2" x14ac:dyDescent="0.25">
      <c r="A16" s="426"/>
      <c r="B16" s="426"/>
      <c r="C16" s="426"/>
      <c r="D16" s="453"/>
      <c r="E16" s="1546" t="s">
        <v>171</v>
      </c>
      <c r="F16" s="1546"/>
      <c r="G16" s="1546"/>
      <c r="H16" s="1546"/>
      <c r="I16" s="1546"/>
      <c r="J16" s="1546"/>
      <c r="K16" s="1546"/>
      <c r="L16" s="1546"/>
      <c r="M16" s="1546"/>
      <c r="N16" s="1546"/>
      <c r="O16" s="1546"/>
      <c r="P16" s="434"/>
      <c r="Q16" s="434"/>
      <c r="R16" s="434"/>
      <c r="S16" s="434"/>
      <c r="T16" s="434"/>
      <c r="U16" s="434"/>
      <c r="V16" s="1547"/>
      <c r="W16" s="1547"/>
      <c r="X16" s="1547"/>
      <c r="Y16" s="1547"/>
      <c r="Z16" s="1547"/>
      <c r="AA16" s="1547"/>
      <c r="AB16" s="1547"/>
      <c r="AC16" s="1547"/>
      <c r="AD16" s="1547"/>
      <c r="AE16" s="1547"/>
      <c r="AF16" s="1547"/>
      <c r="AG16" s="1547"/>
      <c r="AH16" s="1547"/>
      <c r="AI16" s="1547"/>
      <c r="AJ16" s="434"/>
      <c r="AK16" s="434"/>
      <c r="AL16" s="434"/>
      <c r="AM16" s="435"/>
      <c r="AN16" s="435"/>
      <c r="AO16" s="434"/>
      <c r="AP16" s="434"/>
      <c r="AQ16" s="434"/>
      <c r="AR16" s="434"/>
      <c r="AS16" s="434"/>
      <c r="AT16" s="434"/>
      <c r="AU16" s="434"/>
      <c r="AV16" s="434"/>
      <c r="AW16" s="434"/>
      <c r="AX16" s="434"/>
      <c r="AY16" s="434"/>
      <c r="AZ16" s="434"/>
      <c r="BA16" s="457"/>
      <c r="BB16" s="446"/>
      <c r="BC16" s="444"/>
      <c r="BD16" s="434"/>
      <c r="BE16" s="434"/>
      <c r="BF16" s="1548" t="s">
        <v>121</v>
      </c>
      <c r="BG16" s="1548"/>
      <c r="BH16" s="1548"/>
      <c r="BI16" s="1548"/>
      <c r="BJ16" s="1548"/>
      <c r="BK16" s="1548"/>
      <c r="BL16" s="1548"/>
      <c r="BM16" s="458"/>
      <c r="BN16" s="451"/>
      <c r="BO16" s="451"/>
      <c r="BP16" s="452"/>
      <c r="BQ16" s="452"/>
      <c r="BR16" s="452"/>
      <c r="BS16" s="451"/>
      <c r="BT16" s="459"/>
      <c r="BU16" s="459"/>
      <c r="BV16" s="452"/>
      <c r="BW16" s="451"/>
    </row>
    <row r="17" spans="1:77" s="378" customFormat="1" ht="13.2" x14ac:dyDescent="0.25">
      <c r="A17" s="426"/>
      <c r="B17" s="426"/>
      <c r="C17" s="426"/>
      <c r="D17" s="417"/>
      <c r="E17" s="1549"/>
      <c r="F17" s="1549"/>
      <c r="G17" s="1549"/>
      <c r="I17" s="1622" t="s">
        <v>101</v>
      </c>
      <c r="J17" s="1622"/>
      <c r="K17" s="1622"/>
      <c r="L17" s="1622"/>
      <c r="M17" s="1622"/>
      <c r="O17" s="375"/>
      <c r="P17" s="375"/>
      <c r="Q17" s="375"/>
      <c r="R17" s="375"/>
      <c r="S17" s="375"/>
      <c r="T17" s="375"/>
      <c r="U17" s="375"/>
      <c r="V17" s="1550" t="s">
        <v>172</v>
      </c>
      <c r="W17" s="1550"/>
      <c r="X17" s="1550"/>
      <c r="Y17" s="1550"/>
      <c r="Z17" s="1550"/>
      <c r="AA17" s="1550"/>
      <c r="AB17" s="1550"/>
      <c r="AC17" s="1550"/>
      <c r="AD17" s="1550"/>
      <c r="AE17" s="1550"/>
      <c r="AF17" s="1550"/>
      <c r="AG17" s="1550"/>
      <c r="AH17" s="1550"/>
      <c r="AI17" s="1550"/>
      <c r="AJ17" s="375"/>
      <c r="AK17" s="460"/>
      <c r="AL17" s="460"/>
      <c r="AM17" s="433"/>
      <c r="AN17" s="435"/>
      <c r="AO17" s="434"/>
      <c r="AP17" s="434"/>
      <c r="AQ17" s="434"/>
      <c r="AR17" s="434"/>
      <c r="AS17" s="434"/>
      <c r="AT17" s="434"/>
      <c r="AU17" s="434"/>
      <c r="AV17" s="434"/>
      <c r="AW17" s="434"/>
      <c r="AX17" s="434"/>
      <c r="AY17" s="434"/>
      <c r="AZ17" s="375"/>
      <c r="BA17" s="461"/>
      <c r="BB17" s="462"/>
      <c r="BC17" s="105"/>
      <c r="BD17" s="194"/>
      <c r="BE17" s="194"/>
      <c r="BF17" s="1551" t="s">
        <v>103</v>
      </c>
      <c r="BG17" s="1551"/>
      <c r="BH17" s="1551"/>
      <c r="BI17" s="1551"/>
      <c r="BJ17" s="1551"/>
      <c r="BK17" s="1551"/>
      <c r="BL17" s="1551"/>
      <c r="BM17" s="438"/>
      <c r="BN17" s="431"/>
      <c r="BO17" s="431"/>
      <c r="BP17" s="439"/>
      <c r="BQ17" s="439"/>
      <c r="BR17" s="439"/>
      <c r="BS17" s="431"/>
      <c r="BT17" s="437"/>
      <c r="BU17" s="437"/>
      <c r="BV17" s="439"/>
      <c r="BW17" s="431"/>
    </row>
    <row r="18" spans="1:77" s="378" customFormat="1" ht="13.2" x14ac:dyDescent="0.25">
      <c r="A18" s="426"/>
      <c r="B18" s="426"/>
      <c r="C18" s="426"/>
      <c r="D18" s="417"/>
      <c r="E18" s="1545"/>
      <c r="F18" s="1545"/>
      <c r="G18" s="1545"/>
      <c r="H18" s="1622" t="s">
        <v>238</v>
      </c>
      <c r="I18" s="1622"/>
      <c r="J18" s="1622"/>
      <c r="K18" s="1622"/>
      <c r="L18" s="1622"/>
      <c r="M18" s="1622"/>
      <c r="N18" s="1622"/>
      <c r="O18" s="194"/>
      <c r="P18" s="194"/>
      <c r="Q18" s="194"/>
      <c r="R18" s="194"/>
      <c r="S18" s="194"/>
      <c r="T18" s="194"/>
      <c r="U18" s="1549" t="e">
        <f>+#REF!</f>
        <v>#REF!</v>
      </c>
      <c r="V18" s="1549"/>
      <c r="W18" s="1549"/>
      <c r="X18" s="1549"/>
      <c r="Y18" s="1549"/>
      <c r="Z18" s="1549"/>
      <c r="AA18" s="1549"/>
      <c r="AB18" s="1549"/>
      <c r="AC18" s="1549"/>
      <c r="AD18" s="1549"/>
      <c r="AE18" s="1549"/>
      <c r="AF18" s="1549"/>
      <c r="AG18" s="1549"/>
      <c r="AH18" s="1549"/>
      <c r="AI18" s="1549"/>
      <c r="AJ18" s="1549"/>
      <c r="AK18" s="432"/>
      <c r="AL18" s="432"/>
      <c r="AM18" s="433"/>
      <c r="AN18" s="435"/>
      <c r="AO18" s="434"/>
      <c r="AP18" s="434"/>
      <c r="AQ18" s="434"/>
      <c r="AR18" s="434"/>
      <c r="AS18" s="434"/>
      <c r="AT18" s="434"/>
      <c r="AU18" s="434"/>
      <c r="AV18" s="434"/>
      <c r="AW18" s="434"/>
      <c r="AX18" s="434"/>
      <c r="AY18" s="434"/>
      <c r="AZ18" s="436"/>
      <c r="BA18" s="463"/>
      <c r="BB18" s="375"/>
      <c r="BC18" s="1551" t="s">
        <v>270</v>
      </c>
      <c r="BD18" s="1551"/>
      <c r="BE18" s="1551"/>
      <c r="BF18" s="1551"/>
      <c r="BG18" s="1551"/>
      <c r="BH18" s="1551"/>
      <c r="BI18" s="1551"/>
      <c r="BJ18" s="1551"/>
      <c r="BK18" s="1551"/>
      <c r="BL18" s="1551"/>
      <c r="BM18" s="1551"/>
      <c r="BN18" s="1551"/>
      <c r="BO18" s="1551"/>
      <c r="BP18" s="1551"/>
      <c r="BQ18" s="439"/>
      <c r="BR18" s="439"/>
      <c r="BS18" s="431"/>
      <c r="BT18" s="437"/>
      <c r="BU18" s="437"/>
      <c r="BV18" s="439"/>
      <c r="BW18" s="431"/>
    </row>
    <row r="19" spans="1:77" s="378" customFormat="1" ht="13.2" x14ac:dyDescent="0.25">
      <c r="A19" s="426"/>
      <c r="B19" s="426"/>
      <c r="C19" s="426"/>
      <c r="D19" s="417"/>
      <c r="E19" s="194"/>
      <c r="F19" s="194"/>
      <c r="G19" s="427"/>
      <c r="H19" s="427"/>
      <c r="I19" s="194"/>
      <c r="J19" s="194"/>
      <c r="K19" s="194"/>
      <c r="L19" s="194"/>
      <c r="M19" s="194"/>
      <c r="N19" s="194"/>
      <c r="O19" s="194"/>
      <c r="P19" s="194"/>
      <c r="Q19" s="194"/>
      <c r="R19" s="194"/>
      <c r="S19" s="194"/>
      <c r="T19" s="194"/>
      <c r="U19" s="194"/>
      <c r="V19" s="375"/>
      <c r="W19" s="375"/>
      <c r="X19" s="375"/>
      <c r="Y19" s="375"/>
      <c r="Z19" s="375"/>
      <c r="AA19" s="375"/>
      <c r="AB19" s="375"/>
      <c r="AC19" s="375"/>
      <c r="AD19" s="375"/>
      <c r="AE19" s="375"/>
      <c r="AF19" s="375"/>
      <c r="AG19" s="375"/>
      <c r="AH19" s="431"/>
      <c r="AI19" s="375"/>
      <c r="AJ19" s="375"/>
      <c r="AK19" s="432"/>
      <c r="AL19" s="432"/>
      <c r="AM19" s="433"/>
      <c r="AN19" s="435"/>
      <c r="AO19" s="434"/>
      <c r="AP19" s="434"/>
      <c r="AQ19" s="434"/>
      <c r="AR19" s="434"/>
      <c r="AS19" s="434"/>
      <c r="AT19" s="434"/>
      <c r="AU19" s="434"/>
      <c r="AV19" s="434"/>
      <c r="AW19" s="434"/>
      <c r="AX19" s="434"/>
      <c r="AY19" s="434"/>
      <c r="AZ19" s="436"/>
      <c r="BA19" s="463"/>
      <c r="BB19" s="375"/>
      <c r="BC19" s="464"/>
      <c r="BD19" s="436"/>
      <c r="BE19" s="375"/>
      <c r="BF19" s="431"/>
      <c r="BG19" s="431"/>
      <c r="BH19" s="437"/>
      <c r="BI19" s="431"/>
      <c r="BJ19" s="431"/>
      <c r="BK19" s="431"/>
      <c r="BL19" s="431"/>
      <c r="BM19" s="438"/>
      <c r="BN19" s="431"/>
      <c r="BO19" s="431"/>
      <c r="BP19" s="439"/>
      <c r="BQ19" s="439"/>
      <c r="BR19" s="439"/>
      <c r="BS19" s="431"/>
      <c r="BT19" s="437"/>
      <c r="BU19" s="437"/>
      <c r="BV19" s="439"/>
      <c r="BW19" s="431"/>
      <c r="BX19" s="465"/>
    </row>
    <row r="20" spans="1:77" s="378" customFormat="1" ht="13.2" x14ac:dyDescent="0.25">
      <c r="A20" s="426"/>
      <c r="B20" s="426"/>
      <c r="C20" s="426"/>
      <c r="D20" s="417"/>
      <c r="E20" s="194"/>
      <c r="F20" s="194"/>
      <c r="G20" s="427"/>
      <c r="H20" s="427"/>
      <c r="I20" s="194"/>
      <c r="J20" s="194"/>
      <c r="K20" s="194"/>
      <c r="L20" s="194"/>
      <c r="M20" s="194"/>
      <c r="N20" s="194"/>
      <c r="O20" s="194"/>
      <c r="P20" s="194"/>
      <c r="Q20" s="194"/>
      <c r="R20" s="194"/>
      <c r="S20" s="194"/>
      <c r="T20" s="194"/>
      <c r="U20" s="194"/>
      <c r="V20" s="375"/>
      <c r="W20" s="375"/>
      <c r="X20" s="375"/>
      <c r="Y20" s="375"/>
      <c r="Z20" s="375"/>
      <c r="AA20" s="375"/>
      <c r="AB20" s="375"/>
      <c r="AC20" s="375"/>
      <c r="AD20" s="375"/>
      <c r="AE20" s="375"/>
      <c r="AF20" s="375"/>
      <c r="AG20" s="375"/>
      <c r="AH20" s="431"/>
      <c r="AI20" s="375"/>
      <c r="AJ20" s="375"/>
      <c r="AK20" s="432"/>
      <c r="AL20" s="432"/>
      <c r="AM20" s="433"/>
      <c r="AN20" s="435"/>
      <c r="AO20" s="434"/>
      <c r="AP20" s="434"/>
      <c r="AQ20" s="434"/>
      <c r="AR20" s="434"/>
      <c r="AS20" s="434"/>
      <c r="AT20" s="434"/>
      <c r="AU20" s="434"/>
      <c r="AV20" s="434"/>
      <c r="AW20" s="434"/>
      <c r="AX20" s="434"/>
      <c r="AY20" s="434"/>
      <c r="AZ20" s="436"/>
      <c r="BA20" s="463"/>
      <c r="BB20" s="375"/>
      <c r="BC20" s="464"/>
      <c r="BD20" s="436"/>
      <c r="BE20" s="375"/>
      <c r="BF20" s="431"/>
      <c r="BG20" s="431"/>
      <c r="BH20" s="437"/>
      <c r="BI20" s="431"/>
      <c r="BJ20" s="431"/>
      <c r="BK20" s="431"/>
      <c r="BL20" s="431"/>
      <c r="BM20" s="438"/>
      <c r="BN20" s="431"/>
      <c r="BO20" s="431"/>
      <c r="BP20" s="439"/>
      <c r="BQ20" s="439"/>
      <c r="BR20" s="439"/>
      <c r="BS20" s="431"/>
      <c r="BT20" s="437"/>
      <c r="BU20" s="437"/>
      <c r="BV20" s="439"/>
      <c r="BW20" s="431"/>
    </row>
    <row r="21" spans="1:77" s="378" customFormat="1" ht="13.2" x14ac:dyDescent="0.25">
      <c r="A21" s="426"/>
      <c r="B21" s="426"/>
      <c r="C21" s="426"/>
      <c r="D21" s="417"/>
      <c r="E21" s="194"/>
      <c r="F21" s="194"/>
      <c r="G21" s="427"/>
      <c r="H21" s="427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375"/>
      <c r="W21" s="375"/>
      <c r="X21" s="375"/>
      <c r="Y21" s="375"/>
      <c r="Z21" s="375"/>
      <c r="AA21" s="375"/>
      <c r="AB21" s="375"/>
      <c r="AC21" s="375"/>
      <c r="AD21" s="375"/>
      <c r="AE21" s="375"/>
      <c r="AF21" s="375"/>
      <c r="AG21" s="375"/>
      <c r="AH21" s="431"/>
      <c r="AI21" s="375"/>
      <c r="AJ21" s="375"/>
      <c r="AK21" s="432"/>
      <c r="AL21" s="432"/>
      <c r="AM21" s="433"/>
      <c r="AN21" s="435"/>
      <c r="AO21" s="434"/>
      <c r="AP21" s="434"/>
      <c r="AQ21" s="434"/>
      <c r="AR21" s="434"/>
      <c r="AS21" s="434"/>
      <c r="AT21" s="434"/>
      <c r="AU21" s="434"/>
      <c r="AV21" s="434"/>
      <c r="AW21" s="434"/>
      <c r="AX21" s="434"/>
      <c r="AY21" s="434"/>
      <c r="AZ21" s="436"/>
      <c r="BA21" s="463"/>
      <c r="BB21" s="375"/>
      <c r="BC21" s="464"/>
      <c r="BD21" s="436"/>
      <c r="BE21" s="375"/>
      <c r="BF21" s="431"/>
      <c r="BG21" s="431"/>
      <c r="BH21" s="437"/>
      <c r="BI21" s="431"/>
      <c r="BJ21" s="431"/>
      <c r="BK21" s="431"/>
      <c r="BL21" s="431"/>
      <c r="BM21" s="438"/>
      <c r="BN21" s="431"/>
      <c r="BO21" s="431"/>
      <c r="BP21" s="439"/>
      <c r="BQ21" s="439"/>
      <c r="BR21" s="439"/>
      <c r="BS21" s="431"/>
      <c r="BT21" s="437"/>
      <c r="BU21" s="437"/>
      <c r="BV21" s="439"/>
      <c r="BW21" s="431"/>
    </row>
    <row r="22" spans="1:77" s="378" customFormat="1" ht="13.2" x14ac:dyDescent="0.25">
      <c r="A22" s="426"/>
      <c r="B22" s="426"/>
      <c r="C22" s="426"/>
      <c r="D22" s="417"/>
      <c r="E22" s="194"/>
      <c r="F22" s="194"/>
      <c r="G22" s="427"/>
      <c r="H22" s="427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375"/>
      <c r="W22" s="375"/>
      <c r="X22" s="375"/>
      <c r="Y22" s="375"/>
      <c r="Z22" s="375"/>
      <c r="AA22" s="375"/>
      <c r="AB22" s="375"/>
      <c r="AC22" s="375"/>
      <c r="AD22" s="375"/>
      <c r="AE22" s="375"/>
      <c r="AF22" s="375"/>
      <c r="AG22" s="375"/>
      <c r="AH22" s="431"/>
      <c r="AI22" s="375"/>
      <c r="AJ22" s="375"/>
      <c r="AK22" s="432"/>
      <c r="AL22" s="432"/>
      <c r="AM22" s="433"/>
      <c r="AN22" s="435"/>
      <c r="AO22" s="434"/>
      <c r="AP22" s="434"/>
      <c r="AQ22" s="434"/>
      <c r="AR22" s="434"/>
      <c r="AS22" s="434"/>
      <c r="AT22" s="434"/>
      <c r="AU22" s="434"/>
      <c r="AV22" s="434"/>
      <c r="AW22" s="434"/>
      <c r="AX22" s="434"/>
      <c r="AY22" s="434"/>
      <c r="AZ22" s="436"/>
      <c r="BA22" s="463"/>
      <c r="BB22" s="375"/>
      <c r="BC22" s="464"/>
      <c r="BD22" s="436"/>
      <c r="BE22" s="375"/>
      <c r="BF22" s="431"/>
      <c r="BG22" s="431"/>
      <c r="BH22" s="437"/>
      <c r="BI22" s="431"/>
      <c r="BJ22" s="431"/>
      <c r="BK22" s="431"/>
      <c r="BL22" s="431"/>
      <c r="BM22" s="438"/>
      <c r="BN22" s="431"/>
      <c r="BO22" s="431"/>
      <c r="BP22" s="439"/>
      <c r="BQ22" s="439"/>
      <c r="BR22" s="439"/>
      <c r="BS22" s="431"/>
      <c r="BT22" s="437"/>
      <c r="BU22" s="437"/>
      <c r="BV22" s="439"/>
      <c r="BW22" s="431"/>
    </row>
    <row r="23" spans="1:77" s="378" customFormat="1" ht="13.2" x14ac:dyDescent="0.25">
      <c r="A23" s="426"/>
      <c r="B23" s="426"/>
      <c r="C23" s="426"/>
      <c r="D23" s="417"/>
      <c r="E23" s="194"/>
      <c r="F23" s="194"/>
      <c r="G23" s="427"/>
      <c r="H23" s="427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375"/>
      <c r="W23" s="375"/>
      <c r="X23" s="375"/>
      <c r="Y23" s="375"/>
      <c r="Z23" s="375"/>
      <c r="AA23" s="375"/>
      <c r="AB23" s="375"/>
      <c r="AC23" s="375"/>
      <c r="AD23" s="375"/>
      <c r="AE23" s="375"/>
      <c r="AF23" s="375"/>
      <c r="AG23" s="375"/>
      <c r="AH23" s="431"/>
      <c r="AI23" s="375"/>
      <c r="AJ23" s="375"/>
      <c r="AK23" s="432"/>
      <c r="AL23" s="432"/>
      <c r="AM23" s="433"/>
      <c r="AN23" s="435"/>
      <c r="AO23" s="434"/>
      <c r="AP23" s="434"/>
      <c r="AQ23" s="434"/>
      <c r="AR23" s="434"/>
      <c r="AS23" s="434"/>
      <c r="AT23" s="434"/>
      <c r="AU23" s="434"/>
      <c r="AV23" s="434"/>
      <c r="AW23" s="434"/>
      <c r="AX23" s="434"/>
      <c r="AY23" s="434"/>
      <c r="AZ23" s="436"/>
      <c r="BA23" s="463"/>
      <c r="BB23" s="375"/>
      <c r="BC23" s="464"/>
      <c r="BD23" s="436"/>
      <c r="BE23" s="375"/>
      <c r="BF23" s="431"/>
      <c r="BG23" s="431"/>
      <c r="BH23" s="437"/>
      <c r="BI23" s="431"/>
      <c r="BJ23" s="431"/>
      <c r="BK23" s="431"/>
      <c r="BL23" s="431"/>
      <c r="BM23" s="438"/>
      <c r="BN23" s="431"/>
      <c r="BO23" s="431"/>
      <c r="BP23" s="439"/>
      <c r="BQ23" s="439"/>
      <c r="BR23" s="439"/>
      <c r="BS23" s="431"/>
      <c r="BT23" s="437"/>
      <c r="BU23" s="437"/>
      <c r="BV23" s="439"/>
      <c r="BW23" s="431"/>
    </row>
    <row r="24" spans="1:77" s="378" customFormat="1" ht="13.2" x14ac:dyDescent="0.25">
      <c r="A24" s="426"/>
      <c r="B24" s="426"/>
      <c r="C24" s="426"/>
      <c r="D24" s="417"/>
      <c r="E24" s="194"/>
      <c r="F24" s="194"/>
      <c r="G24" s="427"/>
      <c r="H24" s="427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375"/>
      <c r="W24" s="375"/>
      <c r="X24" s="375"/>
      <c r="Y24" s="375"/>
      <c r="Z24" s="375"/>
      <c r="AA24" s="375"/>
      <c r="AB24" s="375"/>
      <c r="AC24" s="375"/>
      <c r="AD24" s="375"/>
      <c r="AE24" s="375"/>
      <c r="AF24" s="375"/>
      <c r="AG24" s="375"/>
      <c r="AH24" s="431"/>
      <c r="AI24" s="375"/>
      <c r="AJ24" s="375"/>
      <c r="AK24" s="432"/>
      <c r="AL24" s="432"/>
      <c r="AM24" s="433"/>
      <c r="AN24" s="435"/>
      <c r="AO24" s="434"/>
      <c r="AP24" s="434"/>
      <c r="AQ24" s="434"/>
      <c r="AR24" s="434"/>
      <c r="AS24" s="434"/>
      <c r="AT24" s="434"/>
      <c r="AU24" s="434"/>
      <c r="AV24" s="434"/>
      <c r="AW24" s="434"/>
      <c r="AX24" s="434"/>
      <c r="AY24" s="434"/>
      <c r="AZ24" s="436"/>
      <c r="BA24" s="463"/>
      <c r="BB24" s="375"/>
      <c r="BC24" s="464"/>
      <c r="BD24" s="436"/>
      <c r="BE24" s="375"/>
      <c r="BF24" s="431"/>
      <c r="BG24" s="431"/>
      <c r="BH24" s="437"/>
      <c r="BI24" s="431"/>
      <c r="BJ24" s="431"/>
      <c r="BK24" s="431"/>
      <c r="BL24" s="431"/>
      <c r="BM24" s="438"/>
      <c r="BN24" s="431"/>
      <c r="BO24" s="431"/>
      <c r="BP24" s="439"/>
      <c r="BQ24" s="439"/>
      <c r="BR24" s="439"/>
      <c r="BS24" s="431"/>
      <c r="BT24" s="437"/>
      <c r="BU24" s="437"/>
      <c r="BV24" s="439"/>
      <c r="BW24" s="431"/>
    </row>
    <row r="25" spans="1:77" s="378" customFormat="1" ht="13.2" x14ac:dyDescent="0.25">
      <c r="A25" s="426"/>
      <c r="B25" s="426"/>
      <c r="C25" s="426"/>
      <c r="D25" s="417"/>
      <c r="E25" s="194"/>
      <c r="F25" s="194"/>
      <c r="G25" s="427"/>
      <c r="H25" s="427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375"/>
      <c r="W25" s="375"/>
      <c r="X25" s="375"/>
      <c r="Y25" s="375"/>
      <c r="Z25" s="375"/>
      <c r="AA25" s="375"/>
      <c r="AB25" s="375"/>
      <c r="AC25" s="375"/>
      <c r="AD25" s="375"/>
      <c r="AE25" s="375"/>
      <c r="AF25" s="375"/>
      <c r="AG25" s="375"/>
      <c r="AH25" s="431"/>
      <c r="AI25" s="375"/>
      <c r="AJ25" s="375"/>
      <c r="AK25" s="432"/>
      <c r="AL25" s="432"/>
      <c r="AM25" s="433"/>
      <c r="AN25" s="435"/>
      <c r="AO25" s="434"/>
      <c r="AP25" s="434"/>
      <c r="AQ25" s="434"/>
      <c r="AR25" s="434"/>
      <c r="AS25" s="434"/>
      <c r="AT25" s="434"/>
      <c r="AU25" s="434"/>
      <c r="AV25" s="434"/>
      <c r="AW25" s="434"/>
      <c r="AX25" s="434"/>
      <c r="AY25" s="434"/>
      <c r="AZ25" s="436"/>
      <c r="BA25" s="463"/>
      <c r="BB25" s="375"/>
      <c r="BC25" s="464"/>
      <c r="BD25" s="436"/>
      <c r="BE25" s="375"/>
      <c r="BF25" s="431"/>
      <c r="BG25" s="431"/>
      <c r="BH25" s="437"/>
      <c r="BI25" s="431"/>
      <c r="BJ25" s="431"/>
      <c r="BK25" s="431"/>
      <c r="BL25" s="431"/>
      <c r="BM25" s="438"/>
      <c r="BN25" s="431"/>
      <c r="BO25" s="431"/>
      <c r="BP25" s="439"/>
      <c r="BQ25" s="439"/>
      <c r="BR25" s="439"/>
      <c r="BS25" s="431"/>
      <c r="BT25" s="437"/>
      <c r="BU25" s="437"/>
      <c r="BV25" s="439"/>
      <c r="BW25" s="431"/>
    </row>
    <row r="26" spans="1:77" s="378" customFormat="1" ht="13.2" x14ac:dyDescent="0.25">
      <c r="A26" s="426"/>
      <c r="B26" s="426"/>
      <c r="C26" s="426"/>
      <c r="D26" s="417"/>
      <c r="E26" s="194"/>
      <c r="F26" s="194"/>
      <c r="G26" s="427"/>
      <c r="H26" s="427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375"/>
      <c r="W26" s="375"/>
      <c r="X26" s="375"/>
      <c r="Y26" s="375"/>
      <c r="Z26" s="375"/>
      <c r="AA26" s="375"/>
      <c r="AB26" s="375"/>
      <c r="AC26" s="375"/>
      <c r="AD26" s="375"/>
      <c r="AE26" s="375"/>
      <c r="AF26" s="375"/>
      <c r="AG26" s="375"/>
      <c r="AH26" s="431"/>
      <c r="AI26" s="375"/>
      <c r="AJ26" s="375"/>
      <c r="AK26" s="432"/>
      <c r="AL26" s="432"/>
      <c r="AM26" s="433"/>
      <c r="AN26" s="435"/>
      <c r="AO26" s="434"/>
      <c r="AP26" s="434"/>
      <c r="AQ26" s="434"/>
      <c r="AR26" s="434"/>
      <c r="AS26" s="434"/>
      <c r="AT26" s="434"/>
      <c r="AU26" s="434"/>
      <c r="AV26" s="434"/>
      <c r="AW26" s="434"/>
      <c r="AX26" s="434"/>
      <c r="AY26" s="434"/>
      <c r="AZ26" s="436"/>
      <c r="BA26" s="463"/>
      <c r="BB26" s="375"/>
      <c r="BC26" s="464"/>
      <c r="BD26" s="436"/>
      <c r="BE26" s="375"/>
      <c r="BF26" s="431"/>
      <c r="BG26" s="431"/>
      <c r="BH26" s="437"/>
      <c r="BI26" s="431"/>
      <c r="BJ26" s="431"/>
      <c r="BK26" s="431"/>
      <c r="BL26" s="431"/>
      <c r="BM26" s="438"/>
      <c r="BN26" s="431"/>
      <c r="BO26" s="431"/>
      <c r="BP26" s="439"/>
      <c r="BQ26" s="439"/>
      <c r="BR26" s="439"/>
      <c r="BS26" s="431"/>
      <c r="BT26" s="437"/>
      <c r="BU26" s="437"/>
      <c r="BV26" s="439"/>
      <c r="BW26" s="431"/>
    </row>
    <row r="27" spans="1:77" s="378" customFormat="1" ht="13.2" x14ac:dyDescent="0.25">
      <c r="A27" s="426"/>
      <c r="B27" s="426"/>
      <c r="C27" s="426"/>
      <c r="D27" s="417"/>
      <c r="E27" s="194"/>
      <c r="F27" s="194"/>
      <c r="G27" s="427"/>
      <c r="H27" s="427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431"/>
      <c r="AI27" s="375"/>
      <c r="AJ27" s="375"/>
      <c r="AK27" s="432"/>
      <c r="AL27" s="432"/>
      <c r="AM27" s="433"/>
      <c r="AN27" s="435"/>
      <c r="AO27" s="434"/>
      <c r="AP27" s="434"/>
      <c r="AQ27" s="434"/>
      <c r="AR27" s="434"/>
      <c r="AS27" s="434"/>
      <c r="AT27" s="434"/>
      <c r="AU27" s="434"/>
      <c r="AV27" s="434"/>
      <c r="AW27" s="434"/>
      <c r="AX27" s="434"/>
      <c r="AY27" s="434"/>
      <c r="AZ27" s="436"/>
      <c r="BA27" s="463"/>
      <c r="BB27" s="375"/>
      <c r="BC27" s="464"/>
      <c r="BD27" s="436"/>
      <c r="BE27" s="375"/>
      <c r="BF27" s="431"/>
      <c r="BG27" s="431"/>
      <c r="BH27" s="437"/>
      <c r="BI27" s="431"/>
      <c r="BJ27" s="431"/>
      <c r="BK27" s="431"/>
      <c r="BL27" s="431"/>
      <c r="BM27" s="438"/>
      <c r="BN27" s="431"/>
      <c r="BO27" s="431"/>
      <c r="BP27" s="439"/>
      <c r="BQ27" s="439"/>
      <c r="BR27" s="439"/>
      <c r="BS27" s="431"/>
      <c r="BT27" s="437"/>
      <c r="BU27" s="437"/>
      <c r="BV27" s="439"/>
      <c r="BW27" s="431"/>
    </row>
    <row r="28" spans="1:77" s="378" customFormat="1" ht="13.2" x14ac:dyDescent="0.25">
      <c r="A28" s="426"/>
      <c r="B28" s="426"/>
      <c r="C28" s="426"/>
      <c r="D28" s="417"/>
      <c r="E28" s="194"/>
      <c r="F28" s="194"/>
      <c r="G28" s="427"/>
      <c r="H28" s="427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375"/>
      <c r="W28" s="375"/>
      <c r="X28" s="375"/>
      <c r="Y28" s="375"/>
      <c r="Z28" s="375"/>
      <c r="AA28" s="375"/>
      <c r="AB28" s="375"/>
      <c r="AC28" s="375"/>
      <c r="AD28" s="375"/>
      <c r="AE28" s="375"/>
      <c r="AF28" s="375"/>
      <c r="AG28" s="375"/>
      <c r="AH28" s="431"/>
      <c r="AI28" s="375"/>
      <c r="AJ28" s="375"/>
      <c r="AK28" s="432"/>
      <c r="AL28" s="432"/>
      <c r="AM28" s="433"/>
      <c r="AN28" s="435"/>
      <c r="AO28" s="434"/>
      <c r="AP28" s="434"/>
      <c r="AQ28" s="434"/>
      <c r="AR28" s="434"/>
      <c r="AS28" s="434"/>
      <c r="AT28" s="434"/>
      <c r="AU28" s="434"/>
      <c r="AV28" s="434"/>
      <c r="AW28" s="434"/>
      <c r="AX28" s="434"/>
      <c r="AY28" s="434"/>
      <c r="AZ28" s="436"/>
      <c r="BA28" s="463"/>
      <c r="BB28" s="375"/>
      <c r="BC28" s="464"/>
      <c r="BD28" s="436"/>
      <c r="BE28" s="375"/>
      <c r="BF28" s="431"/>
      <c r="BG28" s="431"/>
      <c r="BH28" s="437"/>
      <c r="BI28" s="431"/>
      <c r="BJ28" s="431"/>
      <c r="BK28" s="431"/>
      <c r="BL28" s="431"/>
      <c r="BM28" s="438"/>
      <c r="BN28" s="431"/>
      <c r="BO28" s="431"/>
      <c r="BP28" s="439"/>
      <c r="BQ28" s="439"/>
      <c r="BR28" s="439"/>
      <c r="BS28" s="431"/>
      <c r="BT28" s="437"/>
      <c r="BU28" s="437"/>
      <c r="BV28" s="439"/>
      <c r="BW28" s="431"/>
    </row>
    <row r="29" spans="1:77" s="378" customFormat="1" ht="13.2" x14ac:dyDescent="0.25">
      <c r="A29" s="426"/>
      <c r="B29" s="426"/>
      <c r="C29" s="426"/>
      <c r="D29" s="417"/>
      <c r="E29" s="194"/>
      <c r="F29" s="194"/>
      <c r="G29" s="427"/>
      <c r="H29" s="427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375"/>
      <c r="W29" s="375"/>
      <c r="X29" s="375"/>
      <c r="Y29" s="375"/>
      <c r="Z29" s="375"/>
      <c r="AA29" s="375"/>
      <c r="AB29" s="375"/>
      <c r="AC29" s="375"/>
      <c r="AD29" s="375"/>
      <c r="AE29" s="375"/>
      <c r="AF29" s="375"/>
      <c r="AG29" s="375"/>
      <c r="AH29" s="431"/>
      <c r="AI29" s="375"/>
      <c r="AJ29" s="375"/>
      <c r="AK29" s="432"/>
      <c r="AL29" s="432"/>
      <c r="AM29" s="433"/>
      <c r="AN29" s="435"/>
      <c r="AO29" s="434"/>
      <c r="AP29" s="434"/>
      <c r="AQ29" s="434"/>
      <c r="AR29" s="434"/>
      <c r="AS29" s="434"/>
      <c r="AT29" s="434"/>
      <c r="AU29" s="434"/>
      <c r="AV29" s="434"/>
      <c r="AW29" s="434"/>
      <c r="AX29" s="434"/>
      <c r="AY29" s="434"/>
      <c r="AZ29" s="436"/>
      <c r="BA29" s="463"/>
      <c r="BB29" s="375"/>
      <c r="BC29" s="464"/>
      <c r="BD29" s="436"/>
      <c r="BE29" s="375"/>
      <c r="BF29" s="431"/>
      <c r="BG29" s="431"/>
      <c r="BH29" s="437"/>
      <c r="BI29" s="431"/>
      <c r="BJ29" s="431"/>
      <c r="BK29" s="431"/>
      <c r="BL29" s="431"/>
      <c r="BM29" s="438"/>
      <c r="BN29" s="431"/>
      <c r="BO29" s="431"/>
      <c r="BP29" s="439"/>
      <c r="BQ29" s="439"/>
      <c r="BR29" s="439"/>
      <c r="BS29" s="431"/>
      <c r="BT29" s="437"/>
      <c r="BU29" s="437"/>
      <c r="BV29" s="439"/>
      <c r="BW29" s="431"/>
    </row>
    <row r="30" spans="1:77" s="378" customFormat="1" ht="13.2" x14ac:dyDescent="0.25">
      <c r="A30" s="426"/>
      <c r="B30" s="426"/>
      <c r="C30" s="426"/>
      <c r="D30" s="417"/>
      <c r="E30" s="194"/>
      <c r="F30" s="194"/>
      <c r="G30" s="427"/>
      <c r="H30" s="427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431"/>
      <c r="AI30" s="375"/>
      <c r="AJ30" s="375"/>
      <c r="AK30" s="432"/>
      <c r="AL30" s="432"/>
      <c r="AM30" s="433"/>
      <c r="AN30" s="435"/>
      <c r="AO30" s="434"/>
      <c r="AP30" s="434"/>
      <c r="AQ30" s="434"/>
      <c r="AR30" s="434"/>
      <c r="AS30" s="434"/>
      <c r="AT30" s="434"/>
      <c r="AU30" s="434"/>
      <c r="AV30" s="434"/>
      <c r="AW30" s="434"/>
      <c r="AX30" s="434"/>
      <c r="AY30" s="434"/>
      <c r="AZ30" s="436"/>
      <c r="BA30" s="463"/>
      <c r="BB30" s="375"/>
      <c r="BC30" s="464"/>
      <c r="BD30" s="436"/>
      <c r="BE30" s="375"/>
      <c r="BF30" s="431"/>
      <c r="BG30" s="431"/>
      <c r="BH30" s="437"/>
      <c r="BI30" s="431"/>
      <c r="BJ30" s="431"/>
      <c r="BK30" s="431"/>
      <c r="BL30" s="431"/>
      <c r="BM30" s="438"/>
      <c r="BN30" s="431"/>
      <c r="BO30" s="431"/>
      <c r="BP30" s="439"/>
      <c r="BQ30" s="439"/>
      <c r="BR30" s="439"/>
      <c r="BS30" s="431"/>
      <c r="BT30" s="437"/>
      <c r="BU30" s="437"/>
      <c r="BV30" s="439"/>
      <c r="BW30" s="431"/>
      <c r="BX30" s="466"/>
      <c r="BY30" s="466"/>
    </row>
    <row r="31" spans="1:77" s="378" customFormat="1" ht="13.2" x14ac:dyDescent="0.25">
      <c r="A31" s="426"/>
      <c r="B31" s="426"/>
      <c r="C31" s="426"/>
      <c r="D31" s="417"/>
      <c r="E31" s="194"/>
      <c r="F31" s="194"/>
      <c r="G31" s="427"/>
      <c r="H31" s="427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  <c r="AG31" s="375"/>
      <c r="AH31" s="431"/>
      <c r="AI31" s="375"/>
      <c r="AJ31" s="375"/>
      <c r="AK31" s="432"/>
      <c r="AL31" s="432"/>
      <c r="AM31" s="433"/>
      <c r="AN31" s="435"/>
      <c r="AO31" s="434"/>
      <c r="AP31" s="434"/>
      <c r="AQ31" s="434"/>
      <c r="AR31" s="434"/>
      <c r="AS31" s="434"/>
      <c r="AT31" s="434"/>
      <c r="AU31" s="434"/>
      <c r="AV31" s="434"/>
      <c r="AW31" s="434"/>
      <c r="AX31" s="434"/>
      <c r="AY31" s="434"/>
      <c r="AZ31" s="436"/>
      <c r="BA31" s="463"/>
      <c r="BB31" s="375"/>
      <c r="BC31" s="464"/>
      <c r="BD31" s="436"/>
      <c r="BE31" s="375"/>
      <c r="BF31" s="431"/>
      <c r="BG31" s="431"/>
      <c r="BH31" s="437"/>
      <c r="BI31" s="431"/>
      <c r="BJ31" s="431"/>
      <c r="BK31" s="431"/>
      <c r="BL31" s="431"/>
      <c r="BM31" s="438"/>
      <c r="BN31" s="431"/>
      <c r="BO31" s="431"/>
      <c r="BP31" s="439"/>
      <c r="BQ31" s="439"/>
      <c r="BR31" s="439"/>
      <c r="BS31" s="431"/>
      <c r="BT31" s="437"/>
      <c r="BU31" s="437"/>
      <c r="BV31" s="439"/>
      <c r="BW31" s="431"/>
    </row>
    <row r="32" spans="1:77" s="378" customFormat="1" ht="13.2" x14ac:dyDescent="0.25">
      <c r="A32" s="426"/>
      <c r="B32" s="426"/>
      <c r="C32" s="426"/>
      <c r="D32" s="417"/>
      <c r="E32" s="194"/>
      <c r="F32" s="194"/>
      <c r="G32" s="427"/>
      <c r="H32" s="427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431"/>
      <c r="AI32" s="375"/>
      <c r="AJ32" s="375"/>
      <c r="AK32" s="432"/>
      <c r="AL32" s="432"/>
      <c r="AM32" s="433"/>
      <c r="AN32" s="435"/>
      <c r="AO32" s="434"/>
      <c r="AP32" s="434"/>
      <c r="AQ32" s="434"/>
      <c r="AR32" s="434"/>
      <c r="AS32" s="434"/>
      <c r="AT32" s="434"/>
      <c r="AU32" s="434"/>
      <c r="AV32" s="434"/>
      <c r="AW32" s="434"/>
      <c r="AX32" s="434"/>
      <c r="AY32" s="434"/>
      <c r="AZ32" s="436"/>
      <c r="BA32" s="463"/>
      <c r="BB32" s="375"/>
      <c r="BC32" s="464"/>
      <c r="BD32" s="436"/>
      <c r="BE32" s="375"/>
      <c r="BF32" s="431"/>
      <c r="BG32" s="431"/>
      <c r="BH32" s="437"/>
      <c r="BI32" s="431"/>
      <c r="BJ32" s="431"/>
      <c r="BK32" s="431"/>
      <c r="BL32" s="431"/>
      <c r="BM32" s="438"/>
      <c r="BN32" s="431"/>
      <c r="BO32" s="431"/>
      <c r="BP32" s="439"/>
      <c r="BQ32" s="439"/>
      <c r="BR32" s="439"/>
      <c r="BS32" s="431"/>
      <c r="BT32" s="437"/>
      <c r="BU32" s="437"/>
      <c r="BV32" s="439"/>
      <c r="BW32" s="431"/>
    </row>
    <row r="33" spans="1:81" s="378" customFormat="1" ht="13.2" x14ac:dyDescent="0.25">
      <c r="A33" s="426"/>
      <c r="B33" s="426"/>
      <c r="C33" s="426"/>
      <c r="D33" s="417"/>
      <c r="E33" s="194"/>
      <c r="F33" s="194"/>
      <c r="G33" s="427"/>
      <c r="H33" s="427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375"/>
      <c r="W33" s="375"/>
      <c r="X33" s="375"/>
      <c r="Y33" s="375"/>
      <c r="Z33" s="375"/>
      <c r="AA33" s="375"/>
      <c r="AB33" s="375"/>
      <c r="AC33" s="375"/>
      <c r="AD33" s="375"/>
      <c r="AE33" s="375"/>
      <c r="AF33" s="375"/>
      <c r="AG33" s="375"/>
      <c r="AH33" s="431"/>
      <c r="AI33" s="375"/>
      <c r="AJ33" s="375"/>
      <c r="AK33" s="432"/>
      <c r="AL33" s="432"/>
      <c r="AM33" s="433"/>
      <c r="AN33" s="435"/>
      <c r="AO33" s="434"/>
      <c r="AP33" s="434"/>
      <c r="AQ33" s="434"/>
      <c r="AR33" s="434"/>
      <c r="AS33" s="434"/>
      <c r="AT33" s="434"/>
      <c r="AU33" s="434"/>
      <c r="AV33" s="434"/>
      <c r="AW33" s="434"/>
      <c r="AX33" s="434"/>
      <c r="AY33" s="434"/>
      <c r="AZ33" s="436"/>
      <c r="BA33" s="463"/>
      <c r="BB33" s="375"/>
      <c r="BC33" s="464"/>
      <c r="BD33" s="436"/>
      <c r="BE33" s="375"/>
      <c r="BF33" s="431"/>
      <c r="BG33" s="431"/>
      <c r="BH33" s="437"/>
      <c r="BI33" s="431"/>
      <c r="BJ33" s="431"/>
      <c r="BK33" s="431"/>
      <c r="BL33" s="431"/>
      <c r="BM33" s="438"/>
      <c r="BN33" s="431"/>
      <c r="BO33" s="431"/>
      <c r="BP33" s="439"/>
      <c r="BQ33" s="439"/>
      <c r="BR33" s="439"/>
      <c r="BS33" s="431"/>
      <c r="BT33" s="437"/>
      <c r="BU33" s="437"/>
      <c r="BV33" s="439"/>
      <c r="BW33" s="431"/>
    </row>
    <row r="34" spans="1:81" s="378" customFormat="1" ht="13.2" x14ac:dyDescent="0.25">
      <c r="A34" s="426"/>
      <c r="B34" s="426"/>
      <c r="C34" s="426"/>
      <c r="D34" s="417"/>
      <c r="E34" s="194"/>
      <c r="F34" s="194"/>
      <c r="G34" s="427"/>
      <c r="H34" s="427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  <c r="AH34" s="431"/>
      <c r="AI34" s="375"/>
      <c r="AJ34" s="375"/>
      <c r="AK34" s="432"/>
      <c r="AL34" s="432"/>
      <c r="AM34" s="433"/>
      <c r="AN34" s="435"/>
      <c r="AO34" s="434"/>
      <c r="AP34" s="434"/>
      <c r="AQ34" s="434"/>
      <c r="AR34" s="434"/>
      <c r="AS34" s="434"/>
      <c r="AT34" s="434"/>
      <c r="AU34" s="434"/>
      <c r="AV34" s="434"/>
      <c r="AW34" s="434"/>
      <c r="AX34" s="434"/>
      <c r="AY34" s="434"/>
      <c r="AZ34" s="436"/>
      <c r="BA34" s="463"/>
      <c r="BB34" s="375"/>
      <c r="BC34" s="464"/>
      <c r="BD34" s="436"/>
      <c r="BE34" s="375"/>
      <c r="BF34" s="431"/>
      <c r="BG34" s="431"/>
      <c r="BH34" s="437"/>
      <c r="BI34" s="431"/>
      <c r="BJ34" s="431"/>
      <c r="BK34" s="431"/>
      <c r="BL34" s="431"/>
      <c r="BM34" s="438"/>
      <c r="BN34" s="431"/>
      <c r="BO34" s="431"/>
      <c r="BP34" s="439"/>
      <c r="BQ34" s="439"/>
      <c r="BR34" s="439"/>
      <c r="BS34" s="431"/>
      <c r="BT34" s="437"/>
      <c r="BU34" s="437"/>
      <c r="BV34" s="439"/>
      <c r="BW34" s="431"/>
    </row>
    <row r="35" spans="1:81" s="378" customFormat="1" ht="13.2" x14ac:dyDescent="0.25">
      <c r="A35" s="426"/>
      <c r="B35" s="426"/>
      <c r="C35" s="426"/>
      <c r="D35" s="417"/>
      <c r="E35" s="194"/>
      <c r="F35" s="194"/>
      <c r="G35" s="427"/>
      <c r="H35" s="427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431"/>
      <c r="AI35" s="375"/>
      <c r="AJ35" s="375"/>
      <c r="AK35" s="432"/>
      <c r="AL35" s="432"/>
      <c r="AM35" s="433"/>
      <c r="AN35" s="435"/>
      <c r="AO35" s="434"/>
      <c r="AP35" s="434"/>
      <c r="AQ35" s="434"/>
      <c r="AR35" s="434"/>
      <c r="AS35" s="434"/>
      <c r="AT35" s="434"/>
      <c r="AU35" s="434"/>
      <c r="AV35" s="434"/>
      <c r="AW35" s="434"/>
      <c r="AX35" s="434"/>
      <c r="AY35" s="434"/>
      <c r="AZ35" s="436"/>
      <c r="BA35" s="463"/>
      <c r="BB35" s="375"/>
      <c r="BC35" s="464"/>
      <c r="BD35" s="436"/>
      <c r="BE35" s="375"/>
      <c r="BF35" s="431"/>
      <c r="BG35" s="431"/>
      <c r="BH35" s="437"/>
      <c r="BI35" s="431"/>
      <c r="BJ35" s="431"/>
      <c r="BK35" s="431"/>
      <c r="BL35" s="431"/>
      <c r="BM35" s="438"/>
      <c r="BN35" s="431"/>
      <c r="BO35" s="431"/>
      <c r="BP35" s="439"/>
      <c r="BQ35" s="439"/>
      <c r="BR35" s="439"/>
      <c r="BS35" s="431"/>
      <c r="BT35" s="437"/>
      <c r="BU35" s="437"/>
      <c r="BV35" s="439"/>
      <c r="BW35" s="431"/>
    </row>
    <row r="36" spans="1:81" s="378" customFormat="1" ht="13.2" x14ac:dyDescent="0.25">
      <c r="A36" s="426"/>
      <c r="B36" s="426"/>
      <c r="C36" s="426"/>
      <c r="D36" s="417"/>
      <c r="E36" s="194"/>
      <c r="F36" s="194"/>
      <c r="G36" s="427"/>
      <c r="H36" s="427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  <c r="AH36" s="431"/>
      <c r="AI36" s="375"/>
      <c r="AJ36" s="375"/>
      <c r="AK36" s="432"/>
      <c r="AL36" s="432"/>
      <c r="AM36" s="433"/>
      <c r="AN36" s="435"/>
      <c r="AO36" s="434"/>
      <c r="AP36" s="434"/>
      <c r="AQ36" s="434"/>
      <c r="AR36" s="434"/>
      <c r="AS36" s="434"/>
      <c r="AT36" s="434"/>
      <c r="AU36" s="434"/>
      <c r="AV36" s="434"/>
      <c r="AW36" s="434"/>
      <c r="AX36" s="434"/>
      <c r="AY36" s="434"/>
      <c r="AZ36" s="436"/>
      <c r="BA36" s="463"/>
      <c r="BB36" s="375"/>
      <c r="BC36" s="464"/>
      <c r="BD36" s="436"/>
      <c r="BE36" s="375"/>
      <c r="BF36" s="431"/>
      <c r="BG36" s="431"/>
      <c r="BH36" s="437"/>
      <c r="BI36" s="431"/>
      <c r="BJ36" s="431"/>
      <c r="BK36" s="431"/>
      <c r="BL36" s="431"/>
      <c r="BM36" s="438"/>
      <c r="BN36" s="431"/>
      <c r="BO36" s="431"/>
      <c r="BP36" s="439"/>
      <c r="BQ36" s="439"/>
      <c r="BR36" s="439"/>
      <c r="BS36" s="431"/>
      <c r="BT36" s="437"/>
      <c r="BU36" s="437"/>
      <c r="BV36" s="439"/>
      <c r="BW36" s="431"/>
    </row>
    <row r="37" spans="1:81" s="378" customFormat="1" ht="13.2" x14ac:dyDescent="0.25">
      <c r="A37" s="426"/>
      <c r="B37" s="426"/>
      <c r="C37" s="426"/>
      <c r="D37" s="417"/>
      <c r="E37" s="194"/>
      <c r="F37" s="194"/>
      <c r="G37" s="427"/>
      <c r="H37" s="427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431"/>
      <c r="AI37" s="375"/>
      <c r="AJ37" s="375"/>
      <c r="AK37" s="432"/>
      <c r="AL37" s="432"/>
      <c r="AM37" s="433"/>
      <c r="AN37" s="435"/>
      <c r="AO37" s="434"/>
      <c r="AP37" s="434"/>
      <c r="AQ37" s="434"/>
      <c r="AR37" s="434"/>
      <c r="AS37" s="434"/>
      <c r="AT37" s="434"/>
      <c r="AU37" s="434"/>
      <c r="AV37" s="434"/>
      <c r="AW37" s="434"/>
      <c r="AX37" s="434"/>
      <c r="AY37" s="434"/>
      <c r="AZ37" s="436"/>
      <c r="BA37" s="463"/>
      <c r="BB37" s="375"/>
      <c r="BC37" s="464"/>
      <c r="BD37" s="436"/>
      <c r="BE37" s="375"/>
      <c r="BF37" s="431"/>
      <c r="BG37" s="431"/>
      <c r="BH37" s="437"/>
      <c r="BI37" s="431"/>
      <c r="BJ37" s="431"/>
      <c r="BK37" s="431"/>
      <c r="BL37" s="431"/>
      <c r="BM37" s="438"/>
      <c r="BN37" s="431"/>
      <c r="BO37" s="431"/>
      <c r="BP37" s="439"/>
      <c r="BQ37" s="439"/>
      <c r="BR37" s="439"/>
      <c r="BS37" s="431"/>
      <c r="BT37" s="437"/>
      <c r="BU37" s="437"/>
      <c r="BV37" s="439"/>
      <c r="BW37" s="431"/>
    </row>
    <row r="38" spans="1:81" s="378" customFormat="1" ht="13.2" x14ac:dyDescent="0.25">
      <c r="A38" s="426"/>
      <c r="B38" s="426"/>
      <c r="C38" s="426"/>
      <c r="D38" s="417"/>
      <c r="E38" s="194"/>
      <c r="F38" s="194"/>
      <c r="G38" s="427"/>
      <c r="H38" s="427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431"/>
      <c r="AI38" s="375"/>
      <c r="AJ38" s="375"/>
      <c r="AK38" s="432"/>
      <c r="AL38" s="432"/>
      <c r="AM38" s="433"/>
      <c r="AN38" s="435"/>
      <c r="AO38" s="434"/>
      <c r="AP38" s="434"/>
      <c r="AQ38" s="434"/>
      <c r="AR38" s="434"/>
      <c r="AS38" s="434"/>
      <c r="AT38" s="434"/>
      <c r="AU38" s="434"/>
      <c r="AV38" s="434"/>
      <c r="AW38" s="434"/>
      <c r="AX38" s="434"/>
      <c r="AY38" s="434"/>
      <c r="AZ38" s="436"/>
      <c r="BA38" s="463"/>
      <c r="BB38" s="375"/>
      <c r="BC38" s="464"/>
      <c r="BD38" s="436"/>
      <c r="BE38" s="375"/>
      <c r="BF38" s="431"/>
      <c r="BG38" s="431"/>
      <c r="BH38" s="437"/>
      <c r="BI38" s="431"/>
      <c r="BJ38" s="431"/>
      <c r="BK38" s="431"/>
      <c r="BL38" s="431"/>
      <c r="BM38" s="438"/>
      <c r="BN38" s="431"/>
      <c r="BO38" s="431"/>
      <c r="BP38" s="439"/>
      <c r="BQ38" s="439"/>
      <c r="BR38" s="439"/>
      <c r="BS38" s="431"/>
      <c r="BT38" s="437"/>
      <c r="BU38" s="437"/>
      <c r="BV38" s="439"/>
      <c r="BW38" s="431"/>
    </row>
    <row r="39" spans="1:81" s="378" customFormat="1" ht="13.2" x14ac:dyDescent="0.25">
      <c r="A39" s="426"/>
      <c r="B39" s="426"/>
      <c r="C39" s="426"/>
      <c r="D39" s="417"/>
      <c r="E39" s="194"/>
      <c r="F39" s="194"/>
      <c r="G39" s="427"/>
      <c r="H39" s="427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  <c r="AG39" s="375"/>
      <c r="AH39" s="431"/>
      <c r="AI39" s="375"/>
      <c r="AJ39" s="375"/>
      <c r="AK39" s="432"/>
      <c r="AL39" s="432"/>
      <c r="AM39" s="433"/>
      <c r="AN39" s="435"/>
      <c r="AO39" s="434"/>
      <c r="AP39" s="434"/>
      <c r="AQ39" s="434"/>
      <c r="AR39" s="434"/>
      <c r="AS39" s="434"/>
      <c r="AT39" s="434"/>
      <c r="AU39" s="434"/>
      <c r="AV39" s="434"/>
      <c r="AW39" s="434"/>
      <c r="AX39" s="434"/>
      <c r="AY39" s="434"/>
      <c r="AZ39" s="436"/>
      <c r="BA39" s="463"/>
      <c r="BB39" s="375"/>
      <c r="BC39" s="464"/>
      <c r="BD39" s="436"/>
      <c r="BE39" s="375"/>
      <c r="BF39" s="431"/>
      <c r="BG39" s="431"/>
      <c r="BH39" s="437"/>
      <c r="BI39" s="431"/>
      <c r="BJ39" s="431"/>
      <c r="BK39" s="431"/>
      <c r="BL39" s="431"/>
      <c r="BM39" s="438"/>
      <c r="BN39" s="431"/>
      <c r="BO39" s="431"/>
      <c r="BP39" s="439"/>
      <c r="BQ39" s="439"/>
      <c r="BR39" s="439"/>
      <c r="BS39" s="431"/>
      <c r="BT39" s="437"/>
      <c r="BU39" s="437"/>
      <c r="BV39" s="439"/>
      <c r="BW39" s="431"/>
    </row>
    <row r="40" spans="1:81" s="378" customFormat="1" ht="13.2" x14ac:dyDescent="0.25">
      <c r="A40" s="426"/>
      <c r="B40" s="426"/>
      <c r="C40" s="426"/>
      <c r="D40" s="417"/>
      <c r="E40" s="194"/>
      <c r="F40" s="194"/>
      <c r="G40" s="427"/>
      <c r="H40" s="427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431"/>
      <c r="AI40" s="375"/>
      <c r="AJ40" s="375"/>
      <c r="AK40" s="432"/>
      <c r="AL40" s="432"/>
      <c r="AM40" s="433"/>
      <c r="AN40" s="435"/>
      <c r="AO40" s="434"/>
      <c r="AP40" s="434"/>
      <c r="AQ40" s="434"/>
      <c r="AR40" s="434"/>
      <c r="AS40" s="434"/>
      <c r="AT40" s="434"/>
      <c r="AU40" s="434"/>
      <c r="AV40" s="434"/>
      <c r="AW40" s="434"/>
      <c r="AX40" s="434"/>
      <c r="AY40" s="434"/>
      <c r="AZ40" s="436"/>
      <c r="BA40" s="463"/>
      <c r="BB40" s="375"/>
      <c r="BC40" s="464"/>
      <c r="BD40" s="436"/>
      <c r="BE40" s="375"/>
      <c r="BF40" s="431"/>
      <c r="BG40" s="431"/>
      <c r="BH40" s="437"/>
      <c r="BI40" s="431"/>
      <c r="BJ40" s="431"/>
      <c r="BK40" s="431"/>
      <c r="BL40" s="431"/>
      <c r="BM40" s="438"/>
      <c r="BN40" s="431"/>
      <c r="BO40" s="431"/>
      <c r="BP40" s="439"/>
      <c r="BQ40" s="439"/>
      <c r="BR40" s="439"/>
      <c r="BS40" s="431"/>
      <c r="BT40" s="437"/>
      <c r="BU40" s="437"/>
      <c r="BV40" s="439"/>
      <c r="BW40" s="431"/>
    </row>
    <row r="44" spans="1:81" s="426" customFormat="1" ht="15" customHeight="1" x14ac:dyDescent="0.25">
      <c r="D44" s="417"/>
      <c r="E44" s="194"/>
      <c r="F44" s="194"/>
      <c r="G44" s="427"/>
      <c r="H44" s="427"/>
      <c r="I44" s="194"/>
      <c r="J44" s="194"/>
      <c r="K44" s="194"/>
      <c r="L44" s="194"/>
      <c r="M44" s="194"/>
      <c r="N44" s="194"/>
      <c r="O44" s="194"/>
      <c r="P44" s="194"/>
      <c r="Q44" s="194"/>
      <c r="R44" s="194"/>
      <c r="S44" s="194"/>
      <c r="T44" s="194"/>
      <c r="U44" s="194"/>
      <c r="V44" s="375"/>
      <c r="W44" s="375"/>
      <c r="X44" s="375"/>
      <c r="Y44" s="375"/>
      <c r="Z44" s="375"/>
      <c r="AA44" s="375"/>
      <c r="AB44" s="375"/>
      <c r="AC44" s="375"/>
      <c r="AD44" s="375"/>
      <c r="AE44" s="375"/>
      <c r="AF44" s="375"/>
      <c r="AG44" s="375"/>
      <c r="AH44" s="431"/>
      <c r="AI44" s="375"/>
      <c r="AJ44" s="375"/>
      <c r="AK44" s="432"/>
      <c r="AL44" s="432"/>
      <c r="AM44" s="433"/>
      <c r="AN44" s="434"/>
      <c r="AO44" s="434"/>
      <c r="AP44" s="434"/>
      <c r="AQ44" s="434"/>
      <c r="AR44" s="434"/>
      <c r="AS44" s="435"/>
      <c r="AT44" s="435"/>
      <c r="AU44" s="434"/>
      <c r="AV44" s="434"/>
      <c r="AW44" s="434"/>
      <c r="AX44" s="434"/>
      <c r="AY44" s="434"/>
      <c r="AZ44" s="434"/>
      <c r="BA44" s="434"/>
      <c r="BB44" s="434"/>
      <c r="BC44" s="434"/>
      <c r="BD44" s="434"/>
      <c r="BE44" s="434"/>
      <c r="BF44" s="436"/>
      <c r="BG44" s="463"/>
      <c r="BH44" s="375"/>
      <c r="BI44" s="464"/>
      <c r="BJ44" s="436"/>
      <c r="BK44" s="375"/>
      <c r="BL44" s="431"/>
      <c r="BM44" s="431"/>
      <c r="BN44" s="437"/>
      <c r="BO44" s="431"/>
      <c r="BP44" s="431"/>
      <c r="BQ44" s="431"/>
      <c r="BR44" s="431"/>
      <c r="BS44" s="431"/>
      <c r="BT44" s="437"/>
      <c r="BU44" s="437"/>
      <c r="BV44" s="431"/>
      <c r="BW44" s="438"/>
      <c r="BX44" s="431"/>
      <c r="BY44" s="431"/>
      <c r="BZ44" s="439"/>
      <c r="CA44" s="431"/>
      <c r="CB44" s="439"/>
      <c r="CC44" s="431"/>
    </row>
    <row r="46" spans="1:81" s="426" customFormat="1" ht="12.75" customHeight="1" x14ac:dyDescent="0.25">
      <c r="D46" s="417"/>
      <c r="E46" s="194"/>
      <c r="F46" s="194"/>
      <c r="G46" s="427"/>
      <c r="H46" s="427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  <c r="AG46" s="375"/>
      <c r="AH46" s="431"/>
      <c r="AI46" s="375"/>
      <c r="AJ46" s="375"/>
      <c r="AK46" s="432"/>
      <c r="AL46" s="432"/>
      <c r="AM46" s="433"/>
      <c r="AN46" s="434"/>
      <c r="AO46" s="434"/>
      <c r="AP46" s="434"/>
      <c r="AQ46" s="434"/>
      <c r="AR46" s="434"/>
      <c r="AS46" s="435"/>
      <c r="AT46" s="435"/>
      <c r="AU46" s="434"/>
      <c r="AV46" s="434"/>
      <c r="AW46" s="434"/>
      <c r="AX46" s="434"/>
      <c r="AY46" s="434"/>
      <c r="AZ46" s="434"/>
      <c r="BA46" s="434"/>
      <c r="BB46" s="434"/>
      <c r="BC46" s="434"/>
      <c r="BD46" s="434"/>
      <c r="BE46" s="434"/>
      <c r="BF46" s="436"/>
      <c r="BG46" s="463"/>
      <c r="BH46" s="375"/>
      <c r="BI46" s="464"/>
      <c r="BJ46" s="436"/>
      <c r="BK46" s="375"/>
      <c r="BL46" s="431"/>
      <c r="BM46" s="431"/>
      <c r="BN46" s="437"/>
      <c r="BO46" s="431"/>
      <c r="BP46" s="431"/>
      <c r="BQ46" s="431"/>
      <c r="BR46" s="431"/>
      <c r="BS46" s="431"/>
      <c r="BT46" s="437"/>
      <c r="BU46" s="437"/>
      <c r="BV46" s="431"/>
      <c r="BW46" s="438"/>
      <c r="BX46" s="431"/>
      <c r="BY46" s="431"/>
      <c r="BZ46" s="439"/>
      <c r="CA46" s="431"/>
      <c r="CB46" s="439"/>
      <c r="CC46" s="431"/>
    </row>
  </sheetData>
  <protectedRanges>
    <protectedRange sqref="BW9" name="Nomina5_1_5"/>
    <protectedRange sqref="AE9:AH9" name="Nomina2_3_5"/>
  </protectedRanges>
  <mergeCells count="88">
    <mergeCell ref="H18:N18"/>
    <mergeCell ref="E18:G18"/>
    <mergeCell ref="U18:AJ18"/>
    <mergeCell ref="CC6:CC8"/>
    <mergeCell ref="E16:O16"/>
    <mergeCell ref="V16:AI16"/>
    <mergeCell ref="BF16:BL16"/>
    <mergeCell ref="E17:G17"/>
    <mergeCell ref="I17:M17"/>
    <mergeCell ref="V17:AI17"/>
    <mergeCell ref="BF17:BL17"/>
    <mergeCell ref="BW6:BW8"/>
    <mergeCell ref="BX6:BX8"/>
    <mergeCell ref="BY6:BY8"/>
    <mergeCell ref="BZ6:BZ8"/>
    <mergeCell ref="CA6:CA8"/>
    <mergeCell ref="CB6:CB8"/>
    <mergeCell ref="BP6:BP8"/>
    <mergeCell ref="BQ6:BQ8"/>
    <mergeCell ref="BS6:BS8"/>
    <mergeCell ref="BT6:BT8"/>
    <mergeCell ref="BU6:BU8"/>
    <mergeCell ref="BV6:BV8"/>
    <mergeCell ref="BO6:BO8"/>
    <mergeCell ref="BC6:BC8"/>
    <mergeCell ref="BD6:BD8"/>
    <mergeCell ref="BE6:BE8"/>
    <mergeCell ref="BF6:BF8"/>
    <mergeCell ref="BG6:BG8"/>
    <mergeCell ref="BH6:BH8"/>
    <mergeCell ref="BI6:BI8"/>
    <mergeCell ref="BJ6:BK7"/>
    <mergeCell ref="BL6:BL8"/>
    <mergeCell ref="BM6:BM8"/>
    <mergeCell ref="BN6:BN8"/>
    <mergeCell ref="BB6:BB8"/>
    <mergeCell ref="AL6:AL8"/>
    <mergeCell ref="AM6:AM8"/>
    <mergeCell ref="AS6:AS8"/>
    <mergeCell ref="AT6:AT8"/>
    <mergeCell ref="AU6:AU8"/>
    <mergeCell ref="AV6:AV8"/>
    <mergeCell ref="AW6:AW8"/>
    <mergeCell ref="AX6:AX8"/>
    <mergeCell ref="AY6:AY8"/>
    <mergeCell ref="AZ6:AZ8"/>
    <mergeCell ref="BA6:BA8"/>
    <mergeCell ref="AK6:AK8"/>
    <mergeCell ref="Z6:Z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L6:L7"/>
    <mergeCell ref="Y6:Y7"/>
    <mergeCell ref="N6:N7"/>
    <mergeCell ref="O6:O7"/>
    <mergeCell ref="P6:P8"/>
    <mergeCell ref="Q6:Q8"/>
    <mergeCell ref="R6:R7"/>
    <mergeCell ref="S6:S7"/>
    <mergeCell ref="T6:T7"/>
    <mergeCell ref="U6:U7"/>
    <mergeCell ref="V6:V7"/>
    <mergeCell ref="W6:W7"/>
    <mergeCell ref="X6:X7"/>
    <mergeCell ref="BC18:BP18"/>
    <mergeCell ref="M6:M7"/>
    <mergeCell ref="A2:CC2"/>
    <mergeCell ref="A3:CC3"/>
    <mergeCell ref="A4:CC4"/>
    <mergeCell ref="A6:A8"/>
    <mergeCell ref="B6:B8"/>
    <mergeCell ref="C6:C8"/>
    <mergeCell ref="D6:D8"/>
    <mergeCell ref="E6:E8"/>
    <mergeCell ref="F6:F8"/>
    <mergeCell ref="G6:G8"/>
    <mergeCell ref="H6:H7"/>
    <mergeCell ref="I6:I7"/>
    <mergeCell ref="J6:J7"/>
    <mergeCell ref="K6:K7"/>
  </mergeCells>
  <conditionalFormatting sqref="L9">
    <cfRule type="cellIs" dxfId="5" priority="10" operator="equal">
      <formula>0</formula>
    </cfRule>
  </conditionalFormatting>
  <conditionalFormatting sqref="Q9">
    <cfRule type="cellIs" dxfId="4" priority="11" operator="equal">
      <formula>0</formula>
    </cfRule>
  </conditionalFormatting>
  <conditionalFormatting sqref="U9">
    <cfRule type="cellIs" dxfId="3" priority="12" operator="equal">
      <formula>0</formula>
    </cfRule>
  </conditionalFormatting>
  <pageMargins left="0" right="0" top="2.1259842519685042" bottom="0.74803149606299213" header="0.31496062992125984" footer="0.31496062992125984"/>
  <pageSetup paperSize="5" scale="54" fitToHeight="0" orientation="landscape" horizontalDpi="120" verticalDpi="72" r:id="rId1"/>
  <rowBreaks count="1" manualBreakCount="1">
    <brk id="20" max="16383" man="1"/>
  </row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28">
    <tabColor rgb="FFFF3399"/>
    <pageSetUpPr fitToPage="1"/>
  </sheetPr>
  <dimension ref="A2:CD48"/>
  <sheetViews>
    <sheetView topLeftCell="A2" zoomScale="115" zoomScaleNormal="115" zoomScaleSheetLayoutView="145" workbookViewId="0">
      <selection activeCell="V12" sqref="V12"/>
    </sheetView>
  </sheetViews>
  <sheetFormatPr baseColWidth="10" defaultColWidth="11.7109375" defaultRowHeight="12" x14ac:dyDescent="0.25"/>
  <cols>
    <col min="1" max="1" width="4.28515625" style="426" customWidth="1"/>
    <col min="2" max="2" width="5.42578125" style="426" hidden="1" customWidth="1"/>
    <col min="3" max="3" width="3.28515625" style="426" hidden="1" customWidth="1"/>
    <col min="4" max="4" width="30.28515625" style="417" customWidth="1"/>
    <col min="5" max="5" width="18.28515625" style="194" hidden="1" customWidth="1"/>
    <col min="6" max="6" width="3.85546875" style="194" customWidth="1"/>
    <col min="7" max="7" width="3.42578125" style="427" customWidth="1"/>
    <col min="8" max="8" width="6.7109375" style="427" customWidth="1"/>
    <col min="9" max="9" width="7.42578125" style="194" customWidth="1"/>
    <col min="10" max="10" width="7.140625" style="194" customWidth="1"/>
    <col min="11" max="11" width="7.85546875" style="194" customWidth="1"/>
    <col min="12" max="12" width="4" style="194" customWidth="1"/>
    <col min="13" max="13" width="7.140625" style="194" customWidth="1"/>
    <col min="14" max="14" width="7.28515625" style="194" customWidth="1"/>
    <col min="15" max="15" width="6.42578125" style="194" bestFit="1" customWidth="1"/>
    <col min="16" max="16" width="4.42578125" style="194" hidden="1" customWidth="1"/>
    <col min="17" max="17" width="5.140625" style="194" customWidth="1"/>
    <col min="18" max="18" width="7.42578125" style="194" customWidth="1"/>
    <col min="19" max="19" width="7.28515625" style="194" customWidth="1"/>
    <col min="20" max="20" width="7.42578125" style="194" customWidth="1"/>
    <col min="21" max="21" width="4.28515625" style="194" customWidth="1"/>
    <col min="22" max="22" width="7.7109375" style="375" customWidth="1"/>
    <col min="23" max="23" width="7.140625" style="375" customWidth="1"/>
    <col min="24" max="24" width="7.140625" style="375" hidden="1" customWidth="1"/>
    <col min="25" max="25" width="7.28515625" style="375" hidden="1" customWidth="1"/>
    <col min="26" max="26" width="4.42578125" style="375" bestFit="1" customWidth="1"/>
    <col min="27" max="27" width="5.7109375" style="375" customWidth="1"/>
    <col min="28" max="28" width="18" style="375" hidden="1" customWidth="1"/>
    <col min="29" max="30" width="13.140625" style="375" hidden="1" customWidth="1"/>
    <col min="31" max="31" width="6" style="375" customWidth="1"/>
    <col min="32" max="32" width="4.140625" style="375" customWidth="1"/>
    <col min="33" max="33" width="6.42578125" style="375" hidden="1" customWidth="1"/>
    <col min="34" max="34" width="7.140625" style="375" hidden="1" customWidth="1"/>
    <col min="35" max="35" width="5" style="431" customWidth="1"/>
    <col min="36" max="36" width="3.7109375" style="375" customWidth="1"/>
    <col min="37" max="37" width="8.140625" style="375" customWidth="1"/>
    <col min="38" max="38" width="7" style="432" hidden="1" customWidth="1"/>
    <col min="39" max="39" width="7.28515625" style="432" hidden="1" customWidth="1"/>
    <col min="40" max="40" width="7.140625" style="433" customWidth="1"/>
    <col min="41" max="41" width="13" style="434" hidden="1" customWidth="1"/>
    <col min="42" max="42" width="9.140625" style="434" hidden="1" customWidth="1"/>
    <col min="43" max="43" width="12.7109375" style="434" hidden="1" customWidth="1"/>
    <col min="44" max="44" width="9.7109375" style="434" hidden="1" customWidth="1"/>
    <col min="45" max="45" width="12" style="434" hidden="1" customWidth="1"/>
    <col min="46" max="46" width="6" style="435" customWidth="1"/>
    <col min="47" max="47" width="8.140625" style="435" customWidth="1"/>
    <col min="48" max="57" width="8.140625" style="434" hidden="1" customWidth="1"/>
    <col min="58" max="58" width="6.85546875" style="434" customWidth="1"/>
    <col min="59" max="59" width="6.42578125" style="436" customWidth="1"/>
    <col min="60" max="60" width="6.85546875" style="463" customWidth="1"/>
    <col min="61" max="61" width="6.85546875" style="375" customWidth="1"/>
    <col min="62" max="62" width="9" style="464" customWidth="1"/>
    <col min="63" max="63" width="13.42578125" style="436" hidden="1" customWidth="1"/>
    <col min="64" max="64" width="7" style="375" hidden="1" customWidth="1"/>
    <col min="65" max="65" width="6.28515625" style="431" hidden="1" customWidth="1"/>
    <col min="66" max="66" width="8.42578125" style="431" hidden="1" customWidth="1"/>
    <col min="67" max="67" width="7.28515625" style="437" hidden="1" customWidth="1"/>
    <col min="68" max="68" width="4.85546875" style="431" customWidth="1"/>
    <col min="69" max="69" width="8.28515625" style="431" customWidth="1"/>
    <col min="70" max="70" width="6.42578125" style="431" customWidth="1"/>
    <col min="71" max="71" width="8.28515625" style="431" hidden="1" customWidth="1"/>
    <col min="72" max="72" width="1.140625" style="431" hidden="1" customWidth="1"/>
    <col min="73" max="74" width="8.140625" style="437" customWidth="1"/>
    <col min="75" max="75" width="17.42578125" style="431" customWidth="1"/>
    <col min="76" max="76" width="39.28515625" style="438" customWidth="1"/>
    <col min="77" max="77" width="11.42578125" style="431" hidden="1" customWidth="1"/>
    <col min="78" max="78" width="10.7109375" style="431" hidden="1" customWidth="1"/>
    <col min="79" max="79" width="10.7109375" style="439" hidden="1" customWidth="1"/>
    <col min="80" max="80" width="7.7109375" style="431" hidden="1" customWidth="1"/>
    <col min="81" max="81" width="7.140625" style="439" hidden="1" customWidth="1"/>
    <col min="82" max="82" width="10.85546875" style="431" hidden="1" customWidth="1"/>
    <col min="83" max="16384" width="11.7109375" style="375"/>
  </cols>
  <sheetData>
    <row r="2" spans="1:82" ht="21" x14ac:dyDescent="0.2">
      <c r="A2" s="1626" t="s">
        <v>278</v>
      </c>
      <c r="B2" s="1626"/>
      <c r="C2" s="1626"/>
      <c r="D2" s="1626"/>
      <c r="E2" s="1626"/>
      <c r="F2" s="1626"/>
      <c r="G2" s="1626"/>
      <c r="H2" s="1626"/>
      <c r="I2" s="1626"/>
      <c r="J2" s="1626"/>
      <c r="K2" s="1626"/>
      <c r="L2" s="1626"/>
      <c r="M2" s="1626"/>
      <c r="N2" s="1626"/>
      <c r="O2" s="1626"/>
      <c r="P2" s="1626"/>
      <c r="Q2" s="1626"/>
      <c r="R2" s="1626"/>
      <c r="S2" s="1626"/>
      <c r="T2" s="1626"/>
      <c r="U2" s="1626"/>
      <c r="V2" s="1626"/>
      <c r="W2" s="1626"/>
      <c r="X2" s="1626"/>
      <c r="Y2" s="1626"/>
      <c r="Z2" s="1626"/>
      <c r="AA2" s="1626"/>
      <c r="AB2" s="1626"/>
      <c r="AC2" s="1626"/>
      <c r="AD2" s="1626"/>
      <c r="AE2" s="1626"/>
      <c r="AF2" s="1626"/>
      <c r="AG2" s="1626"/>
      <c r="AH2" s="1626"/>
      <c r="AI2" s="1626"/>
      <c r="AJ2" s="1626"/>
      <c r="AK2" s="1626"/>
      <c r="AL2" s="1626"/>
      <c r="AM2" s="1626"/>
      <c r="AN2" s="1626"/>
      <c r="AO2" s="1626"/>
      <c r="AP2" s="1626"/>
      <c r="AQ2" s="1626"/>
      <c r="AR2" s="1626"/>
      <c r="AS2" s="1626"/>
      <c r="AT2" s="1626"/>
      <c r="AU2" s="1626"/>
      <c r="AV2" s="1626"/>
      <c r="AW2" s="1626"/>
      <c r="AX2" s="1626"/>
      <c r="AY2" s="1626"/>
      <c r="AZ2" s="1626"/>
      <c r="BA2" s="1626"/>
      <c r="BB2" s="1626"/>
      <c r="BC2" s="1626"/>
      <c r="BD2" s="1626"/>
      <c r="BE2" s="1626"/>
      <c r="BF2" s="1626"/>
      <c r="BG2" s="1626"/>
      <c r="BH2" s="1626"/>
      <c r="BI2" s="1626"/>
      <c r="BJ2" s="1626"/>
      <c r="BK2" s="1626"/>
      <c r="BL2" s="1626"/>
      <c r="BM2" s="1626"/>
      <c r="BN2" s="1626"/>
      <c r="BO2" s="1626"/>
      <c r="BP2" s="1626"/>
      <c r="BQ2" s="1626"/>
      <c r="BR2" s="1626"/>
      <c r="BS2" s="1626"/>
      <c r="BT2" s="1626"/>
      <c r="BU2" s="1626"/>
      <c r="BV2" s="1626"/>
      <c r="BW2" s="1626"/>
      <c r="BX2" s="1626"/>
      <c r="BY2" s="1626"/>
      <c r="BZ2" s="1626"/>
      <c r="CA2" s="1626"/>
      <c r="CB2" s="1626"/>
      <c r="CC2" s="1626"/>
      <c r="CD2" s="1626"/>
    </row>
    <row r="3" spans="1:82" ht="21" x14ac:dyDescent="0.2">
      <c r="A3" s="1626" t="s">
        <v>279</v>
      </c>
      <c r="B3" s="1626"/>
      <c r="C3" s="1626"/>
      <c r="D3" s="1626"/>
      <c r="E3" s="1626"/>
      <c r="F3" s="1626"/>
      <c r="G3" s="1626"/>
      <c r="H3" s="1626"/>
      <c r="I3" s="1626"/>
      <c r="J3" s="1626"/>
      <c r="K3" s="1626"/>
      <c r="L3" s="1626"/>
      <c r="M3" s="1626"/>
      <c r="N3" s="1626"/>
      <c r="O3" s="1626"/>
      <c r="P3" s="1626"/>
      <c r="Q3" s="1626"/>
      <c r="R3" s="1626"/>
      <c r="S3" s="1626"/>
      <c r="T3" s="1626"/>
      <c r="U3" s="1626"/>
      <c r="V3" s="1626"/>
      <c r="W3" s="1626"/>
      <c r="X3" s="1626"/>
      <c r="Y3" s="1626"/>
      <c r="Z3" s="1626"/>
      <c r="AA3" s="1626"/>
      <c r="AB3" s="1626"/>
      <c r="AC3" s="1626"/>
      <c r="AD3" s="1626"/>
      <c r="AE3" s="1626"/>
      <c r="AF3" s="1626"/>
      <c r="AG3" s="1626"/>
      <c r="AH3" s="1626"/>
      <c r="AI3" s="1626"/>
      <c r="AJ3" s="1626"/>
      <c r="AK3" s="1626"/>
      <c r="AL3" s="1626"/>
      <c r="AM3" s="1626"/>
      <c r="AN3" s="1626"/>
      <c r="AO3" s="1626"/>
      <c r="AP3" s="1626"/>
      <c r="AQ3" s="1626"/>
      <c r="AR3" s="1626"/>
      <c r="AS3" s="1626"/>
      <c r="AT3" s="1626"/>
      <c r="AU3" s="1626"/>
      <c r="AV3" s="1626"/>
      <c r="AW3" s="1626"/>
      <c r="AX3" s="1626"/>
      <c r="AY3" s="1626"/>
      <c r="AZ3" s="1626"/>
      <c r="BA3" s="1626"/>
      <c r="BB3" s="1626"/>
      <c r="BC3" s="1626"/>
      <c r="BD3" s="1626"/>
      <c r="BE3" s="1626"/>
      <c r="BF3" s="1626"/>
      <c r="BG3" s="1626"/>
      <c r="BH3" s="1626"/>
      <c r="BI3" s="1626"/>
      <c r="BJ3" s="1626"/>
      <c r="BK3" s="1626"/>
      <c r="BL3" s="1626"/>
      <c r="BM3" s="1626"/>
      <c r="BN3" s="1626"/>
      <c r="BO3" s="1626"/>
      <c r="BP3" s="1626"/>
      <c r="BQ3" s="1626"/>
      <c r="BR3" s="1626"/>
      <c r="BS3" s="1626"/>
      <c r="BT3" s="1626"/>
      <c r="BU3" s="1626"/>
      <c r="BV3" s="1626"/>
      <c r="BW3" s="1626"/>
      <c r="BX3" s="1626"/>
      <c r="BY3" s="1626"/>
      <c r="BZ3" s="1626"/>
      <c r="CA3" s="1626"/>
      <c r="CB3" s="1626"/>
      <c r="CC3" s="1626"/>
      <c r="CD3" s="1626"/>
    </row>
    <row r="4" spans="1:82" ht="21" x14ac:dyDescent="0.4">
      <c r="A4" s="1627" t="str">
        <f>+'ADMON COM. '!A5:AC5</f>
        <v>QUINCENA DEL 16  AL 30  DE ABRIL - 2026</v>
      </c>
      <c r="B4" s="1627"/>
      <c r="C4" s="1627"/>
      <c r="D4" s="1627"/>
      <c r="E4" s="1627"/>
      <c r="F4" s="1627"/>
      <c r="G4" s="1627"/>
      <c r="H4" s="1627"/>
      <c r="I4" s="1627"/>
      <c r="J4" s="1627"/>
      <c r="K4" s="1627"/>
      <c r="L4" s="1627"/>
      <c r="M4" s="1627"/>
      <c r="N4" s="1627"/>
      <c r="O4" s="1627"/>
      <c r="P4" s="1627"/>
      <c r="Q4" s="1627"/>
      <c r="R4" s="1627"/>
      <c r="S4" s="1627"/>
      <c r="T4" s="1627"/>
      <c r="U4" s="1627"/>
      <c r="V4" s="1627"/>
      <c r="W4" s="1627"/>
      <c r="X4" s="1627"/>
      <c r="Y4" s="1627"/>
      <c r="Z4" s="1627"/>
      <c r="AA4" s="1627"/>
      <c r="AB4" s="1627"/>
      <c r="AC4" s="1627"/>
      <c r="AD4" s="1627"/>
      <c r="AE4" s="1627"/>
      <c r="AF4" s="1627"/>
      <c r="AG4" s="1627"/>
      <c r="AH4" s="1627"/>
      <c r="AI4" s="1627"/>
      <c r="AJ4" s="1627"/>
      <c r="AK4" s="1627"/>
      <c r="AL4" s="1627"/>
      <c r="AM4" s="1627"/>
      <c r="AN4" s="1627"/>
      <c r="AO4" s="1627"/>
      <c r="AP4" s="1627"/>
      <c r="AQ4" s="1627"/>
      <c r="AR4" s="1627"/>
      <c r="AS4" s="1627"/>
      <c r="AT4" s="1627"/>
      <c r="AU4" s="1627"/>
      <c r="AV4" s="1627"/>
      <c r="AW4" s="1627"/>
      <c r="AX4" s="1627"/>
      <c r="AY4" s="1627"/>
      <c r="AZ4" s="1627"/>
      <c r="BA4" s="1627"/>
      <c r="BB4" s="1627"/>
      <c r="BC4" s="1627"/>
      <c r="BD4" s="1627"/>
      <c r="BE4" s="1627"/>
      <c r="BF4" s="1627"/>
      <c r="BG4" s="1627"/>
      <c r="BH4" s="1627"/>
      <c r="BI4" s="1627"/>
      <c r="BJ4" s="1627"/>
      <c r="BK4" s="1627"/>
      <c r="BL4" s="1627"/>
      <c r="BM4" s="1627"/>
      <c r="BN4" s="1627"/>
      <c r="BO4" s="1627"/>
      <c r="BP4" s="1627"/>
      <c r="BQ4" s="1627"/>
      <c r="BR4" s="1627"/>
      <c r="BS4" s="1627"/>
      <c r="BT4" s="1627"/>
      <c r="BU4" s="1627"/>
      <c r="BV4" s="1627"/>
      <c r="BW4" s="1627"/>
      <c r="BX4" s="1627"/>
      <c r="BY4" s="1627"/>
      <c r="BZ4" s="1627"/>
      <c r="CA4" s="1627"/>
      <c r="CB4" s="1627"/>
      <c r="CC4" s="1627"/>
      <c r="CD4" s="1627"/>
    </row>
    <row r="5" spans="1:82" ht="21" x14ac:dyDescent="0.4">
      <c r="A5" s="504"/>
      <c r="B5" s="504"/>
      <c r="C5" s="504"/>
      <c r="D5" s="504"/>
      <c r="E5" s="504"/>
      <c r="F5" s="504"/>
      <c r="G5" s="504"/>
      <c r="H5" s="504"/>
      <c r="I5" s="504"/>
      <c r="J5" s="504"/>
      <c r="K5" s="504"/>
      <c r="L5" s="504"/>
      <c r="M5" s="504"/>
      <c r="N5" s="504"/>
      <c r="O5" s="504"/>
      <c r="P5" s="504"/>
      <c r="Q5" s="504"/>
      <c r="R5" s="504"/>
      <c r="S5" s="504"/>
      <c r="T5" s="504"/>
      <c r="U5" s="504"/>
      <c r="V5" s="504"/>
      <c r="W5" s="504"/>
      <c r="X5" s="504"/>
      <c r="Y5" s="504"/>
      <c r="Z5" s="504"/>
      <c r="AA5" s="504"/>
      <c r="AB5" s="504"/>
      <c r="AC5" s="504"/>
      <c r="AD5" s="504"/>
      <c r="AE5" s="504"/>
      <c r="AF5" s="504"/>
      <c r="AG5" s="504"/>
      <c r="AH5" s="504"/>
      <c r="AI5" s="504"/>
      <c r="AJ5" s="504"/>
      <c r="AK5" s="504"/>
      <c r="AL5" s="504"/>
      <c r="AM5" s="504"/>
      <c r="AN5" s="504"/>
      <c r="AO5" s="504"/>
      <c r="AP5" s="504"/>
      <c r="AQ5" s="504"/>
      <c r="AR5" s="504"/>
      <c r="AS5" s="504"/>
      <c r="AT5" s="504"/>
      <c r="AU5" s="504"/>
      <c r="AV5" s="504"/>
      <c r="AW5" s="504"/>
      <c r="AX5" s="504"/>
      <c r="AY5" s="504"/>
      <c r="AZ5" s="504"/>
      <c r="BA5" s="504"/>
      <c r="BB5" s="504"/>
      <c r="BC5" s="504"/>
      <c r="BD5" s="504"/>
      <c r="BE5" s="504"/>
      <c r="BF5" s="504"/>
      <c r="BG5" s="504"/>
      <c r="BH5" s="504"/>
      <c r="BI5" s="504"/>
      <c r="BJ5" s="504"/>
      <c r="BK5" s="504"/>
      <c r="BL5" s="504"/>
      <c r="BM5" s="504"/>
      <c r="BN5" s="504"/>
      <c r="BO5" s="504"/>
      <c r="BP5" s="504"/>
      <c r="BQ5" s="504"/>
      <c r="BR5" s="504"/>
      <c r="BS5" s="504"/>
      <c r="BT5" s="504"/>
      <c r="BU5" s="504"/>
      <c r="BV5" s="504"/>
      <c r="BW5" s="504"/>
      <c r="BX5" s="504"/>
      <c r="BY5" s="504"/>
      <c r="BZ5" s="504"/>
      <c r="CA5" s="504"/>
      <c r="CB5" s="504"/>
      <c r="CC5" s="504"/>
      <c r="CD5" s="504"/>
    </row>
    <row r="6" spans="1:82" ht="17.399999999999999" x14ac:dyDescent="0.3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</row>
    <row r="7" spans="1:82" s="378" customFormat="1" ht="15.75" customHeight="1" x14ac:dyDescent="0.25">
      <c r="A7" s="1608" t="s">
        <v>71</v>
      </c>
      <c r="B7" s="1613" t="s">
        <v>254</v>
      </c>
      <c r="C7" s="1628" t="s">
        <v>272</v>
      </c>
      <c r="D7" s="1614" t="s">
        <v>6</v>
      </c>
      <c r="E7" s="1586" t="s">
        <v>82</v>
      </c>
      <c r="F7" s="1586" t="s">
        <v>187</v>
      </c>
      <c r="G7" s="1586" t="s">
        <v>45</v>
      </c>
      <c r="H7" s="1601">
        <v>1</v>
      </c>
      <c r="I7" s="1601">
        <v>2</v>
      </c>
      <c r="J7" s="1601">
        <v>3</v>
      </c>
      <c r="K7" s="1601">
        <v>4</v>
      </c>
      <c r="L7" s="1601">
        <v>5</v>
      </c>
      <c r="M7" s="1601">
        <v>6</v>
      </c>
      <c r="N7" s="1601">
        <v>7</v>
      </c>
      <c r="O7" s="1601">
        <v>8</v>
      </c>
      <c r="P7" s="1602" t="s">
        <v>129</v>
      </c>
      <c r="Q7" s="1605" t="s">
        <v>83</v>
      </c>
      <c r="R7" s="1593">
        <v>9</v>
      </c>
      <c r="S7" s="1593">
        <v>10</v>
      </c>
      <c r="T7" s="1593">
        <v>11</v>
      </c>
      <c r="U7" s="1593">
        <v>12</v>
      </c>
      <c r="V7" s="1593">
        <v>13</v>
      </c>
      <c r="W7" s="1593">
        <v>14</v>
      </c>
      <c r="X7" s="1593">
        <v>30</v>
      </c>
      <c r="Y7" s="1593">
        <v>31</v>
      </c>
      <c r="Z7" s="1602" t="s">
        <v>130</v>
      </c>
      <c r="AA7" s="1594" t="s">
        <v>83</v>
      </c>
      <c r="AB7" s="1595" t="s">
        <v>131</v>
      </c>
      <c r="AC7" s="1595" t="s">
        <v>132</v>
      </c>
      <c r="AD7" s="515"/>
      <c r="AE7" s="1586" t="s">
        <v>76</v>
      </c>
      <c r="AF7" s="1586" t="s">
        <v>84</v>
      </c>
      <c r="AG7" s="1596" t="s">
        <v>255</v>
      </c>
      <c r="AH7" s="1596" t="s">
        <v>256</v>
      </c>
      <c r="AI7" s="1599" t="s">
        <v>78</v>
      </c>
      <c r="AJ7" s="1600" t="s">
        <v>117</v>
      </c>
      <c r="AK7" s="1600" t="s">
        <v>80</v>
      </c>
      <c r="AL7" s="1579" t="s">
        <v>133</v>
      </c>
      <c r="AM7" s="1579" t="s">
        <v>133</v>
      </c>
      <c r="AN7" s="1588" t="s">
        <v>81</v>
      </c>
      <c r="AO7" s="376" t="s">
        <v>70</v>
      </c>
      <c r="AP7" s="376" t="s">
        <v>70</v>
      </c>
      <c r="AQ7" s="376" t="s">
        <v>69</v>
      </c>
      <c r="AR7" s="376" t="s">
        <v>68</v>
      </c>
      <c r="AS7" s="376" t="s">
        <v>67</v>
      </c>
      <c r="AT7" s="1589" t="s">
        <v>66</v>
      </c>
      <c r="AU7" s="1615" t="s">
        <v>29</v>
      </c>
      <c r="AV7" s="1579" t="s">
        <v>194</v>
      </c>
      <c r="AW7" s="1579" t="s">
        <v>134</v>
      </c>
      <c r="AX7" s="1579" t="s">
        <v>257</v>
      </c>
      <c r="AY7" s="1579" t="s">
        <v>258</v>
      </c>
      <c r="AZ7" s="1579" t="s">
        <v>259</v>
      </c>
      <c r="BA7" s="1579" t="s">
        <v>260</v>
      </c>
      <c r="BB7" s="1579" t="s">
        <v>261</v>
      </c>
      <c r="BC7" s="1579" t="s">
        <v>58</v>
      </c>
      <c r="BD7" s="1579" t="s">
        <v>118</v>
      </c>
      <c r="BE7" s="1579" t="s">
        <v>262</v>
      </c>
      <c r="BF7" s="1582" t="s">
        <v>160</v>
      </c>
      <c r="BG7" s="1618" t="s">
        <v>89</v>
      </c>
      <c r="BH7" s="1586" t="s">
        <v>52</v>
      </c>
      <c r="BI7" s="1586" t="s">
        <v>53</v>
      </c>
      <c r="BJ7" s="1619" t="s">
        <v>17</v>
      </c>
      <c r="BK7" s="1552" t="s">
        <v>39</v>
      </c>
      <c r="BL7" s="1552"/>
      <c r="BM7" s="1553" t="s">
        <v>92</v>
      </c>
      <c r="BN7" s="1553" t="s">
        <v>65</v>
      </c>
      <c r="BO7" s="1554">
        <v>0.4</v>
      </c>
      <c r="BP7" s="1557" t="s">
        <v>263</v>
      </c>
      <c r="BQ7" s="1576" t="s">
        <v>196</v>
      </c>
      <c r="BR7" s="1553" t="s">
        <v>31</v>
      </c>
      <c r="BS7" s="377"/>
      <c r="BT7" s="1553"/>
      <c r="BU7" s="1564" t="s">
        <v>99</v>
      </c>
      <c r="BV7" s="1564" t="s">
        <v>114</v>
      </c>
      <c r="BW7" s="1621" t="s">
        <v>73</v>
      </c>
      <c r="BX7" s="1568" t="s">
        <v>38</v>
      </c>
      <c r="BY7" s="1624" t="s">
        <v>118</v>
      </c>
      <c r="BZ7" s="1623" t="s">
        <v>119</v>
      </c>
      <c r="CA7" s="1625" t="s">
        <v>64</v>
      </c>
      <c r="CB7" s="1623" t="s">
        <v>55</v>
      </c>
      <c r="CC7" s="1620" t="s">
        <v>51</v>
      </c>
      <c r="CD7" s="1623" t="s">
        <v>63</v>
      </c>
    </row>
    <row r="8" spans="1:82" s="378" customFormat="1" ht="10.5" customHeight="1" x14ac:dyDescent="0.25">
      <c r="A8" s="1609"/>
      <c r="B8" s="1613"/>
      <c r="C8" s="1628"/>
      <c r="D8" s="1614"/>
      <c r="E8" s="1586"/>
      <c r="F8" s="1586"/>
      <c r="G8" s="1586"/>
      <c r="H8" s="1601"/>
      <c r="I8" s="1601"/>
      <c r="J8" s="1601"/>
      <c r="K8" s="1601"/>
      <c r="L8" s="1601"/>
      <c r="M8" s="1601"/>
      <c r="N8" s="1601"/>
      <c r="O8" s="1601"/>
      <c r="P8" s="1603"/>
      <c r="Q8" s="1605"/>
      <c r="R8" s="1593"/>
      <c r="S8" s="1593"/>
      <c r="T8" s="1593"/>
      <c r="U8" s="1593"/>
      <c r="V8" s="1593"/>
      <c r="W8" s="1593"/>
      <c r="X8" s="1593"/>
      <c r="Y8" s="1593"/>
      <c r="Z8" s="1603"/>
      <c r="AA8" s="1594"/>
      <c r="AB8" s="1595"/>
      <c r="AC8" s="1595"/>
      <c r="AD8" s="515"/>
      <c r="AE8" s="1586"/>
      <c r="AF8" s="1586"/>
      <c r="AG8" s="1597"/>
      <c r="AH8" s="1597"/>
      <c r="AI8" s="1599"/>
      <c r="AJ8" s="1600"/>
      <c r="AK8" s="1600"/>
      <c r="AL8" s="1580"/>
      <c r="AM8" s="1580"/>
      <c r="AN8" s="1588"/>
      <c r="AO8" s="376" t="s">
        <v>62</v>
      </c>
      <c r="AP8" s="376" t="s">
        <v>61</v>
      </c>
      <c r="AQ8" s="376" t="s">
        <v>60</v>
      </c>
      <c r="AR8" s="376" t="s">
        <v>59</v>
      </c>
      <c r="AS8" s="376" t="s">
        <v>58</v>
      </c>
      <c r="AT8" s="1589"/>
      <c r="AU8" s="1616"/>
      <c r="AV8" s="1580"/>
      <c r="AW8" s="1580"/>
      <c r="AX8" s="1580"/>
      <c r="AY8" s="1580"/>
      <c r="AZ8" s="1580"/>
      <c r="BA8" s="1580"/>
      <c r="BB8" s="1580"/>
      <c r="BC8" s="1580"/>
      <c r="BD8" s="1580"/>
      <c r="BE8" s="1580"/>
      <c r="BF8" s="1583"/>
      <c r="BG8" s="1618"/>
      <c r="BH8" s="1586"/>
      <c r="BI8" s="1586"/>
      <c r="BJ8" s="1619"/>
      <c r="BK8" s="1552"/>
      <c r="BL8" s="1552"/>
      <c r="BM8" s="1553"/>
      <c r="BN8" s="1553"/>
      <c r="BO8" s="1555"/>
      <c r="BP8" s="1558"/>
      <c r="BQ8" s="1577"/>
      <c r="BR8" s="1553"/>
      <c r="BS8" s="379"/>
      <c r="BT8" s="1553"/>
      <c r="BU8" s="1565"/>
      <c r="BV8" s="1565"/>
      <c r="BW8" s="1621"/>
      <c r="BX8" s="1568"/>
      <c r="BY8" s="1624"/>
      <c r="BZ8" s="1623"/>
      <c r="CA8" s="1625"/>
      <c r="CB8" s="1623"/>
      <c r="CC8" s="1620"/>
      <c r="CD8" s="1623"/>
    </row>
    <row r="9" spans="1:82" s="378" customFormat="1" ht="25.2" customHeight="1" thickBot="1" x14ac:dyDescent="0.3">
      <c r="A9" s="1610"/>
      <c r="B9" s="1613"/>
      <c r="C9" s="1628"/>
      <c r="D9" s="1614"/>
      <c r="E9" s="1586"/>
      <c r="F9" s="1586"/>
      <c r="G9" s="1586"/>
      <c r="H9" s="380" t="s">
        <v>32</v>
      </c>
      <c r="I9" s="380" t="s">
        <v>36</v>
      </c>
      <c r="J9" s="380" t="s">
        <v>35</v>
      </c>
      <c r="K9" s="380" t="s">
        <v>34</v>
      </c>
      <c r="L9" s="381" t="s">
        <v>37</v>
      </c>
      <c r="M9" s="380" t="s">
        <v>33</v>
      </c>
      <c r="N9" s="380" t="s">
        <v>32</v>
      </c>
      <c r="O9" s="380" t="s">
        <v>32</v>
      </c>
      <c r="P9" s="1604"/>
      <c r="Q9" s="1605"/>
      <c r="R9" s="380" t="s">
        <v>36</v>
      </c>
      <c r="S9" s="380" t="s">
        <v>35</v>
      </c>
      <c r="T9" s="380" t="s">
        <v>34</v>
      </c>
      <c r="U9" s="381" t="s">
        <v>37</v>
      </c>
      <c r="V9" s="380" t="s">
        <v>33</v>
      </c>
      <c r="W9" s="380" t="s">
        <v>32</v>
      </c>
      <c r="X9" s="380" t="s">
        <v>33</v>
      </c>
      <c r="Y9" s="380" t="s">
        <v>32</v>
      </c>
      <c r="Z9" s="1604"/>
      <c r="AA9" s="1594"/>
      <c r="AB9" s="1595"/>
      <c r="AC9" s="1595"/>
      <c r="AD9" s="515"/>
      <c r="AE9" s="1586"/>
      <c r="AF9" s="1586"/>
      <c r="AG9" s="1598"/>
      <c r="AH9" s="1598"/>
      <c r="AI9" s="1599"/>
      <c r="AJ9" s="1600"/>
      <c r="AK9" s="1600"/>
      <c r="AL9" s="1581"/>
      <c r="AM9" s="1581"/>
      <c r="AN9" s="1588"/>
      <c r="AO9" s="376" t="s">
        <v>57</v>
      </c>
      <c r="AP9" s="376" t="s">
        <v>56</v>
      </c>
      <c r="AQ9" s="376"/>
      <c r="AR9" s="376"/>
      <c r="AS9" s="376"/>
      <c r="AT9" s="1589"/>
      <c r="AU9" s="1617"/>
      <c r="AV9" s="1581"/>
      <c r="AW9" s="1581"/>
      <c r="AX9" s="1581"/>
      <c r="AY9" s="1581"/>
      <c r="AZ9" s="1581"/>
      <c r="BA9" s="1581"/>
      <c r="BB9" s="1581"/>
      <c r="BC9" s="1581"/>
      <c r="BD9" s="1581"/>
      <c r="BE9" s="1581"/>
      <c r="BF9" s="1584"/>
      <c r="BG9" s="1618"/>
      <c r="BH9" s="1586"/>
      <c r="BI9" s="1586"/>
      <c r="BJ9" s="1619"/>
      <c r="BK9" s="382" t="s">
        <v>120</v>
      </c>
      <c r="BL9" s="383" t="s">
        <v>118</v>
      </c>
      <c r="BM9" s="1553"/>
      <c r="BN9" s="1553"/>
      <c r="BO9" s="1556"/>
      <c r="BP9" s="1559"/>
      <c r="BQ9" s="1578"/>
      <c r="BR9" s="1553"/>
      <c r="BS9" s="384"/>
      <c r="BT9" s="1553"/>
      <c r="BU9" s="1566"/>
      <c r="BV9" s="1566"/>
      <c r="BW9" s="1621"/>
      <c r="BX9" s="1569"/>
      <c r="BY9" s="1624"/>
      <c r="BZ9" s="1623"/>
      <c r="CA9" s="1625"/>
      <c r="CB9" s="1623"/>
      <c r="CC9" s="1620"/>
      <c r="CD9" s="1623"/>
    </row>
    <row r="10" spans="1:82" s="378" customFormat="1" ht="60" customHeight="1" thickTop="1" thickBot="1" x14ac:dyDescent="0.3">
      <c r="A10" s="543">
        <v>1</v>
      </c>
      <c r="B10" s="385">
        <v>0</v>
      </c>
      <c r="C10" s="386">
        <v>250</v>
      </c>
      <c r="D10" s="467" t="s">
        <v>265</v>
      </c>
      <c r="E10" s="387">
        <v>157.46</v>
      </c>
      <c r="F10" s="387" t="s">
        <v>32</v>
      </c>
      <c r="G10" s="481" t="s">
        <v>264</v>
      </c>
      <c r="H10" s="468">
        <v>0</v>
      </c>
      <c r="I10" s="468">
        <v>0</v>
      </c>
      <c r="J10" s="468">
        <v>0</v>
      </c>
      <c r="K10" s="468">
        <v>0</v>
      </c>
      <c r="L10" s="469">
        <v>0</v>
      </c>
      <c r="M10" s="468">
        <v>0</v>
      </c>
      <c r="N10" s="468">
        <v>0</v>
      </c>
      <c r="O10" s="468">
        <v>0</v>
      </c>
      <c r="P10" s="470">
        <f>+COUNTIF(H10:O10,157.46)</f>
        <v>0</v>
      </c>
      <c r="Q10" s="469">
        <v>0</v>
      </c>
      <c r="R10" s="468">
        <v>0</v>
      </c>
      <c r="S10" s="468">
        <v>0</v>
      </c>
      <c r="T10" s="468">
        <v>0</v>
      </c>
      <c r="U10" s="469">
        <v>0</v>
      </c>
      <c r="V10" s="468">
        <v>0</v>
      </c>
      <c r="W10" s="468">
        <v>0</v>
      </c>
      <c r="X10" s="468">
        <v>0</v>
      </c>
      <c r="Y10" s="468">
        <v>0</v>
      </c>
      <c r="Z10" s="470">
        <f>+COUNTIF(R10:X10,157.46)</f>
        <v>0</v>
      </c>
      <c r="AA10" s="469">
        <f>+COUNTIF(Z10,5)</f>
        <v>0</v>
      </c>
      <c r="AB10" s="390">
        <f>+AA10+Q10</f>
        <v>0</v>
      </c>
      <c r="AC10" s="390">
        <f>COUNTIF(H10:AA10,157.46)</f>
        <v>0</v>
      </c>
      <c r="AD10" s="390">
        <f>+AC10+AB10</f>
        <v>0</v>
      </c>
      <c r="AE10" s="393">
        <f>+AB10+AC10+AJ10+AF10</f>
        <v>0</v>
      </c>
      <c r="AF10" s="402">
        <v>0</v>
      </c>
      <c r="AG10" s="392">
        <f>+C10/8</f>
        <v>31.25</v>
      </c>
      <c r="AH10" s="392">
        <f>+AI10*AG10</f>
        <v>0</v>
      </c>
      <c r="AI10" s="389">
        <v>0</v>
      </c>
      <c r="AJ10" s="390">
        <f>+L10+U10</f>
        <v>0</v>
      </c>
      <c r="AK10" s="483">
        <f>+AC10*E10</f>
        <v>0</v>
      </c>
      <c r="AL10" s="394">
        <f>+E10*Q10</f>
        <v>0</v>
      </c>
      <c r="AM10" s="394">
        <f>+E10*AA10</f>
        <v>0</v>
      </c>
      <c r="AN10" s="395">
        <f>+AL10+AM10</f>
        <v>0</v>
      </c>
      <c r="AO10" s="396">
        <f>+E10</f>
        <v>157.46</v>
      </c>
      <c r="AP10" s="396">
        <f>+E10/8</f>
        <v>19.682500000000001</v>
      </c>
      <c r="AQ10" s="396">
        <f>+AO10*AJ10</f>
        <v>0</v>
      </c>
      <c r="AR10" s="396">
        <f>+AP10*AI10</f>
        <v>0</v>
      </c>
      <c r="AS10" s="396">
        <f>+AF10*E10</f>
        <v>0</v>
      </c>
      <c r="AT10" s="395">
        <f>+AS10+AR10+AQ10</f>
        <v>0</v>
      </c>
      <c r="AU10" s="397">
        <f>+AN10+AK10+AQ10+AR10+AS10</f>
        <v>0</v>
      </c>
      <c r="AV10" s="391">
        <f>+AX10*AC10</f>
        <v>0</v>
      </c>
      <c r="AW10" s="391">
        <f>+AE10</f>
        <v>0</v>
      </c>
      <c r="AX10" s="391">
        <f>+C10</f>
        <v>250</v>
      </c>
      <c r="AY10" s="391">
        <f>+AX10*AW10</f>
        <v>0</v>
      </c>
      <c r="AZ10" s="391">
        <f>+AX10*AJ10</f>
        <v>0</v>
      </c>
      <c r="BA10" s="391">
        <f>+C10/8</f>
        <v>31.25</v>
      </c>
      <c r="BB10" s="391">
        <f>+BA10*AI10</f>
        <v>0</v>
      </c>
      <c r="BC10" s="391">
        <f>+C10*AF10</f>
        <v>0</v>
      </c>
      <c r="BD10" s="398">
        <v>7.02</v>
      </c>
      <c r="BE10" s="391">
        <f>+BJ10*7.15%</f>
        <v>0</v>
      </c>
      <c r="BF10" s="391">
        <f>+BG10-AU10+AH10</f>
        <v>0</v>
      </c>
      <c r="BG10" s="399">
        <f>+BJ10-BI10-BH10</f>
        <v>0</v>
      </c>
      <c r="BH10" s="400">
        <f>+BI10</f>
        <v>0</v>
      </c>
      <c r="BI10" s="395">
        <f>+BE10</f>
        <v>0</v>
      </c>
      <c r="BJ10" s="401">
        <f>+AY10+BB10</f>
        <v>0</v>
      </c>
      <c r="BK10" s="402">
        <f>+BJ10-BI10</f>
        <v>0</v>
      </c>
      <c r="BL10" s="403">
        <v>0.05</v>
      </c>
      <c r="BM10" s="395">
        <v>0</v>
      </c>
      <c r="BN10" s="399">
        <f>+BJ10-BM10</f>
        <v>0</v>
      </c>
      <c r="BO10" s="404">
        <f>+C10*60%</f>
        <v>150</v>
      </c>
      <c r="BP10" s="405">
        <v>0</v>
      </c>
      <c r="BQ10" s="406">
        <f>+BP10*BO10</f>
        <v>0</v>
      </c>
      <c r="BR10" s="407">
        <v>0</v>
      </c>
      <c r="BS10" s="407">
        <v>0</v>
      </c>
      <c r="BT10" s="407">
        <v>0</v>
      </c>
      <c r="BU10" s="407">
        <v>0</v>
      </c>
      <c r="BV10" s="407">
        <v>0</v>
      </c>
      <c r="BW10" s="478">
        <f t="shared" ref="BW10" si="0">+BN10-BU10-BV10</f>
        <v>0</v>
      </c>
      <c r="BX10" s="414">
        <f>+A10</f>
        <v>1</v>
      </c>
      <c r="BY10" s="409">
        <v>0.13</v>
      </c>
      <c r="BZ10" s="499">
        <f>+BJ10-BI10</f>
        <v>0</v>
      </c>
      <c r="CA10" s="500">
        <f>BJ10*BY10</f>
        <v>0</v>
      </c>
      <c r="CB10" s="501">
        <v>0.02</v>
      </c>
      <c r="CC10" s="500">
        <f>BN10*CB10</f>
        <v>0</v>
      </c>
      <c r="CD10" s="502">
        <f>+BW10+CA10+CC10</f>
        <v>0</v>
      </c>
    </row>
    <row r="11" spans="1:82" s="378" customFormat="1" ht="60" customHeight="1" thickTop="1" thickBot="1" x14ac:dyDescent="0.3">
      <c r="A11" s="543">
        <v>2</v>
      </c>
      <c r="B11" s="385">
        <v>0</v>
      </c>
      <c r="C11" s="386">
        <v>250</v>
      </c>
      <c r="D11" s="467" t="s">
        <v>273</v>
      </c>
      <c r="E11" s="387">
        <v>157.46</v>
      </c>
      <c r="F11" s="387" t="s">
        <v>32</v>
      </c>
      <c r="G11" s="481" t="s">
        <v>264</v>
      </c>
      <c r="H11" s="468">
        <v>0</v>
      </c>
      <c r="I11" s="468">
        <v>0</v>
      </c>
      <c r="J11" s="468">
        <v>0</v>
      </c>
      <c r="K11" s="468">
        <v>0</v>
      </c>
      <c r="L11" s="469">
        <v>0</v>
      </c>
      <c r="M11" s="468">
        <v>0</v>
      </c>
      <c r="N11" s="468">
        <v>0</v>
      </c>
      <c r="O11" s="468">
        <v>0</v>
      </c>
      <c r="P11" s="470">
        <f>+COUNTIF(H11:O11,157.46)</f>
        <v>0</v>
      </c>
      <c r="Q11" s="469">
        <v>0</v>
      </c>
      <c r="R11" s="468">
        <v>0</v>
      </c>
      <c r="S11" s="468">
        <v>0</v>
      </c>
      <c r="T11" s="468">
        <v>0</v>
      </c>
      <c r="U11" s="469">
        <v>0</v>
      </c>
      <c r="V11" s="468">
        <v>0</v>
      </c>
      <c r="W11" s="468">
        <v>0</v>
      </c>
      <c r="X11" s="468">
        <v>0</v>
      </c>
      <c r="Y11" s="468">
        <v>0</v>
      </c>
      <c r="Z11" s="470">
        <f>+COUNTIF(R11:X11,157.46)</f>
        <v>0</v>
      </c>
      <c r="AA11" s="469">
        <f>+COUNTIF(Z11,5)</f>
        <v>0</v>
      </c>
      <c r="AB11" s="390">
        <f>+AA11+Q11</f>
        <v>0</v>
      </c>
      <c r="AC11" s="390">
        <f>COUNTIF(H11:AA11,157.46)</f>
        <v>0</v>
      </c>
      <c r="AD11" s="390">
        <f>+AC11+AB11</f>
        <v>0</v>
      </c>
      <c r="AE11" s="393">
        <f>+AB11+AC11+AJ11+AF11</f>
        <v>0</v>
      </c>
      <c r="AF11" s="402">
        <v>0</v>
      </c>
      <c r="AG11" s="392">
        <f>+C11/8</f>
        <v>31.25</v>
      </c>
      <c r="AH11" s="392">
        <f>+AI11*AG11</f>
        <v>0</v>
      </c>
      <c r="AI11" s="389">
        <v>0</v>
      </c>
      <c r="AJ11" s="390">
        <f>+L11+U11</f>
        <v>0</v>
      </c>
      <c r="AK11" s="483">
        <f>+AC11*E11</f>
        <v>0</v>
      </c>
      <c r="AL11" s="394">
        <f>+E11*Q11</f>
        <v>0</v>
      </c>
      <c r="AM11" s="394">
        <f>+E11*AA11</f>
        <v>0</v>
      </c>
      <c r="AN11" s="395">
        <f>+AL11+AM11</f>
        <v>0</v>
      </c>
      <c r="AO11" s="396">
        <f>+E11</f>
        <v>157.46</v>
      </c>
      <c r="AP11" s="396">
        <f>+E11/8</f>
        <v>19.682500000000001</v>
      </c>
      <c r="AQ11" s="396">
        <f>+AO11*AJ11</f>
        <v>0</v>
      </c>
      <c r="AR11" s="396">
        <f>+AP11*AI11</f>
        <v>0</v>
      </c>
      <c r="AS11" s="396">
        <f>+AF11*E11</f>
        <v>0</v>
      </c>
      <c r="AT11" s="395">
        <f>+AS11+AR11+AQ11</f>
        <v>0</v>
      </c>
      <c r="AU11" s="397">
        <f>+AN11+AK11+AQ11+AR11+AS11</f>
        <v>0</v>
      </c>
      <c r="AV11" s="391">
        <f>+AX11*AC11</f>
        <v>0</v>
      </c>
      <c r="AW11" s="391">
        <f>+AE11</f>
        <v>0</v>
      </c>
      <c r="AX11" s="391">
        <f>+C11</f>
        <v>250</v>
      </c>
      <c r="AY11" s="391">
        <f>+AX11*AW11</f>
        <v>0</v>
      </c>
      <c r="AZ11" s="391">
        <f>+AX11*AJ11</f>
        <v>0</v>
      </c>
      <c r="BA11" s="391">
        <f>+C11/8</f>
        <v>31.25</v>
      </c>
      <c r="BB11" s="391">
        <f>+BA11*AI11</f>
        <v>0</v>
      </c>
      <c r="BC11" s="391">
        <f>+C11*AF11</f>
        <v>0</v>
      </c>
      <c r="BD11" s="398">
        <v>7.02</v>
      </c>
      <c r="BE11" s="391">
        <f>+BJ11*7.15%</f>
        <v>0</v>
      </c>
      <c r="BF11" s="391">
        <f>+BG11-AU11+AH11</f>
        <v>0</v>
      </c>
      <c r="BG11" s="399">
        <f>+BJ11-BI11-BH11</f>
        <v>0</v>
      </c>
      <c r="BH11" s="400">
        <f>+BI11</f>
        <v>0</v>
      </c>
      <c r="BI11" s="395">
        <f>+BE11</f>
        <v>0</v>
      </c>
      <c r="BJ11" s="401">
        <f>+AY11+BB11</f>
        <v>0</v>
      </c>
      <c r="BK11" s="402">
        <f>+BJ11-BI11</f>
        <v>0</v>
      </c>
      <c r="BL11" s="403">
        <v>0.05</v>
      </c>
      <c r="BM11" s="395">
        <v>0</v>
      </c>
      <c r="BN11" s="399">
        <f>+BJ11-BM11</f>
        <v>0</v>
      </c>
      <c r="BO11" s="404">
        <f>+C11*60%</f>
        <v>150</v>
      </c>
      <c r="BP11" s="405">
        <v>0</v>
      </c>
      <c r="BQ11" s="406">
        <f>+BP11*BO11</f>
        <v>0</v>
      </c>
      <c r="BR11" s="407">
        <v>0</v>
      </c>
      <c r="BS11" s="407">
        <v>0</v>
      </c>
      <c r="BT11" s="407">
        <v>0</v>
      </c>
      <c r="BU11" s="407">
        <v>0</v>
      </c>
      <c r="BV11" s="407">
        <v>0</v>
      </c>
      <c r="BW11" s="478">
        <f t="shared" ref="BW11" si="1">+BN11-BU11-BV11</f>
        <v>0</v>
      </c>
      <c r="BX11" s="414">
        <f>+A11</f>
        <v>2</v>
      </c>
      <c r="BY11" s="409">
        <v>0.13</v>
      </c>
      <c r="BZ11" s="499">
        <f>+BJ11-BI11</f>
        <v>0</v>
      </c>
      <c r="CA11" s="500">
        <f>BJ11*BY11</f>
        <v>0</v>
      </c>
      <c r="CB11" s="501">
        <v>0.02</v>
      </c>
      <c r="CC11" s="500">
        <f>BN11*CB11</f>
        <v>0</v>
      </c>
      <c r="CD11" s="502">
        <f>+BW11+CA11+CC11</f>
        <v>0</v>
      </c>
    </row>
    <row r="12" spans="1:82" s="378" customFormat="1" ht="37.5" customHeight="1" thickTop="1" thickBot="1" x14ac:dyDescent="0.3">
      <c r="A12" s="410"/>
      <c r="B12" s="410"/>
      <c r="C12" s="410"/>
      <c r="D12" s="411">
        <f>COUNTA(#REF!,0)</f>
        <v>2</v>
      </c>
      <c r="E12" s="412" t="s">
        <v>95</v>
      </c>
      <c r="F12" s="412"/>
      <c r="G12" s="474" t="s">
        <v>95</v>
      </c>
      <c r="H12" s="400">
        <f>SUM(H10:H11)</f>
        <v>0</v>
      </c>
      <c r="I12" s="400">
        <f t="shared" ref="I12:BT12" si="2">SUM(I10:I11)</f>
        <v>0</v>
      </c>
      <c r="J12" s="400">
        <f t="shared" si="2"/>
        <v>0</v>
      </c>
      <c r="K12" s="400">
        <f t="shared" si="2"/>
        <v>0</v>
      </c>
      <c r="L12" s="400">
        <f t="shared" si="2"/>
        <v>0</v>
      </c>
      <c r="M12" s="400">
        <f t="shared" si="2"/>
        <v>0</v>
      </c>
      <c r="N12" s="400">
        <f t="shared" si="2"/>
        <v>0</v>
      </c>
      <c r="O12" s="400">
        <f t="shared" si="2"/>
        <v>0</v>
      </c>
      <c r="P12" s="400">
        <f t="shared" si="2"/>
        <v>0</v>
      </c>
      <c r="Q12" s="400">
        <f t="shared" si="2"/>
        <v>0</v>
      </c>
      <c r="R12" s="400">
        <f t="shared" si="2"/>
        <v>0</v>
      </c>
      <c r="S12" s="400">
        <f t="shared" si="2"/>
        <v>0</v>
      </c>
      <c r="T12" s="400">
        <f t="shared" si="2"/>
        <v>0</v>
      </c>
      <c r="U12" s="400">
        <f t="shared" si="2"/>
        <v>0</v>
      </c>
      <c r="V12" s="400">
        <f t="shared" si="2"/>
        <v>0</v>
      </c>
      <c r="W12" s="400">
        <f t="shared" si="2"/>
        <v>0</v>
      </c>
      <c r="X12" s="400">
        <f t="shared" si="2"/>
        <v>0</v>
      </c>
      <c r="Y12" s="400">
        <f t="shared" si="2"/>
        <v>0</v>
      </c>
      <c r="Z12" s="400">
        <f t="shared" si="2"/>
        <v>0</v>
      </c>
      <c r="AA12" s="400">
        <f t="shared" si="2"/>
        <v>0</v>
      </c>
      <c r="AB12" s="400">
        <f t="shared" si="2"/>
        <v>0</v>
      </c>
      <c r="AC12" s="400">
        <f t="shared" si="2"/>
        <v>0</v>
      </c>
      <c r="AD12" s="400">
        <f t="shared" si="2"/>
        <v>0</v>
      </c>
      <c r="AE12" s="400">
        <f t="shared" si="2"/>
        <v>0</v>
      </c>
      <c r="AF12" s="400">
        <f t="shared" si="2"/>
        <v>0</v>
      </c>
      <c r="AG12" s="400">
        <f t="shared" si="2"/>
        <v>62.5</v>
      </c>
      <c r="AH12" s="400">
        <f t="shared" si="2"/>
        <v>0</v>
      </c>
      <c r="AI12" s="400">
        <f t="shared" si="2"/>
        <v>0</v>
      </c>
      <c r="AJ12" s="400">
        <f t="shared" si="2"/>
        <v>0</v>
      </c>
      <c r="AK12" s="400">
        <f t="shared" si="2"/>
        <v>0</v>
      </c>
      <c r="AL12" s="400">
        <f t="shared" si="2"/>
        <v>0</v>
      </c>
      <c r="AM12" s="400">
        <f t="shared" si="2"/>
        <v>0</v>
      </c>
      <c r="AN12" s="400">
        <f t="shared" si="2"/>
        <v>0</v>
      </c>
      <c r="AO12" s="400">
        <f t="shared" si="2"/>
        <v>314.92</v>
      </c>
      <c r="AP12" s="400">
        <f t="shared" si="2"/>
        <v>39.365000000000002</v>
      </c>
      <c r="AQ12" s="400">
        <f t="shared" si="2"/>
        <v>0</v>
      </c>
      <c r="AR12" s="400">
        <f t="shared" si="2"/>
        <v>0</v>
      </c>
      <c r="AS12" s="400">
        <f t="shared" si="2"/>
        <v>0</v>
      </c>
      <c r="AT12" s="400">
        <f t="shared" si="2"/>
        <v>0</v>
      </c>
      <c r="AU12" s="400">
        <f t="shared" si="2"/>
        <v>0</v>
      </c>
      <c r="AV12" s="400">
        <f t="shared" si="2"/>
        <v>0</v>
      </c>
      <c r="AW12" s="400">
        <f t="shared" si="2"/>
        <v>0</v>
      </c>
      <c r="AX12" s="400">
        <f t="shared" si="2"/>
        <v>500</v>
      </c>
      <c r="AY12" s="400">
        <f t="shared" si="2"/>
        <v>0</v>
      </c>
      <c r="AZ12" s="400">
        <f t="shared" si="2"/>
        <v>0</v>
      </c>
      <c r="BA12" s="400">
        <f t="shared" si="2"/>
        <v>62.5</v>
      </c>
      <c r="BB12" s="400">
        <f t="shared" si="2"/>
        <v>0</v>
      </c>
      <c r="BC12" s="400">
        <f t="shared" si="2"/>
        <v>0</v>
      </c>
      <c r="BD12" s="400">
        <f t="shared" si="2"/>
        <v>14.04</v>
      </c>
      <c r="BE12" s="400">
        <f t="shared" si="2"/>
        <v>0</v>
      </c>
      <c r="BF12" s="400">
        <f t="shared" si="2"/>
        <v>0</v>
      </c>
      <c r="BG12" s="400">
        <f t="shared" si="2"/>
        <v>0</v>
      </c>
      <c r="BH12" s="400">
        <f t="shared" si="2"/>
        <v>0</v>
      </c>
      <c r="BI12" s="400">
        <f t="shared" si="2"/>
        <v>0</v>
      </c>
      <c r="BJ12" s="400">
        <f t="shared" si="2"/>
        <v>0</v>
      </c>
      <c r="BK12" s="400">
        <f t="shared" si="2"/>
        <v>0</v>
      </c>
      <c r="BL12" s="400">
        <f t="shared" si="2"/>
        <v>0.1</v>
      </c>
      <c r="BM12" s="400">
        <f t="shared" si="2"/>
        <v>0</v>
      </c>
      <c r="BN12" s="400">
        <f t="shared" si="2"/>
        <v>0</v>
      </c>
      <c r="BO12" s="400">
        <f t="shared" si="2"/>
        <v>300</v>
      </c>
      <c r="BP12" s="400">
        <f t="shared" si="2"/>
        <v>0</v>
      </c>
      <c r="BQ12" s="400">
        <f t="shared" si="2"/>
        <v>0</v>
      </c>
      <c r="BR12" s="400">
        <f t="shared" si="2"/>
        <v>0</v>
      </c>
      <c r="BS12" s="400">
        <f t="shared" si="2"/>
        <v>0</v>
      </c>
      <c r="BT12" s="400">
        <f t="shared" si="2"/>
        <v>0</v>
      </c>
      <c r="BU12" s="400">
        <f t="shared" ref="BU12:BV12" si="3">SUM(BU10:BU11)</f>
        <v>0</v>
      </c>
      <c r="BV12" s="400">
        <f t="shared" si="3"/>
        <v>0</v>
      </c>
      <c r="BW12" s="477">
        <f>SUM(BW10:BW11)</f>
        <v>0</v>
      </c>
      <c r="BX12" s="87" t="s">
        <v>105</v>
      </c>
      <c r="BY12" s="415"/>
      <c r="BZ12" s="503" t="e">
        <f>SUM(#REF!)</f>
        <v>#REF!</v>
      </c>
      <c r="CA12" s="503" t="e">
        <f>SUM(#REF!)</f>
        <v>#REF!</v>
      </c>
      <c r="CB12" s="503" t="e">
        <f>SUM(#REF!)</f>
        <v>#REF!</v>
      </c>
      <c r="CC12" s="503" t="e">
        <f>SUM(#REF!)</f>
        <v>#REF!</v>
      </c>
      <c r="CD12" s="503" t="e">
        <f>SUM(#REF!)</f>
        <v>#REF!</v>
      </c>
    </row>
    <row r="13" spans="1:82" s="378" customFormat="1" ht="16.2" thickTop="1" x14ac:dyDescent="0.25">
      <c r="A13" s="426"/>
      <c r="B13" s="426"/>
      <c r="C13" s="426"/>
      <c r="D13" s="440"/>
      <c r="E13" s="441"/>
      <c r="F13" s="441"/>
      <c r="G13" s="442"/>
      <c r="H13" s="442"/>
      <c r="I13" s="445"/>
      <c r="J13" s="443"/>
      <c r="K13" s="426"/>
      <c r="L13" s="426"/>
      <c r="M13" s="426"/>
      <c r="N13" s="426"/>
      <c r="O13" s="426"/>
      <c r="P13" s="426"/>
      <c r="Q13" s="426"/>
      <c r="R13" s="426"/>
      <c r="S13" s="426"/>
      <c r="T13" s="426"/>
      <c r="U13" s="426"/>
      <c r="V13" s="444"/>
      <c r="W13" s="444"/>
      <c r="X13" s="444"/>
      <c r="Y13" s="444"/>
      <c r="Z13" s="444"/>
      <c r="AA13" s="444"/>
      <c r="AB13" s="444"/>
      <c r="AC13" s="444"/>
      <c r="AD13" s="444"/>
      <c r="AE13" s="444"/>
      <c r="AF13" s="444"/>
      <c r="AG13" s="444"/>
      <c r="AH13" s="444"/>
      <c r="AI13" s="445"/>
      <c r="AJ13" s="444"/>
      <c r="AK13" s="444"/>
      <c r="AL13" s="444"/>
      <c r="AM13" s="444"/>
      <c r="AN13" s="435"/>
      <c r="AO13" s="434"/>
      <c r="AP13" s="434"/>
      <c r="AQ13" s="434"/>
      <c r="AR13" s="434"/>
      <c r="AS13" s="434"/>
      <c r="AT13" s="435"/>
      <c r="AU13" s="435"/>
      <c r="AV13" s="434"/>
      <c r="AW13" s="434"/>
      <c r="AX13" s="434"/>
      <c r="AY13" s="434"/>
      <c r="AZ13" s="434"/>
      <c r="BA13" s="434"/>
      <c r="BB13" s="434"/>
      <c r="BC13" s="434"/>
      <c r="BD13" s="434"/>
      <c r="BE13" s="434"/>
      <c r="BF13" s="434"/>
      <c r="BG13" s="446"/>
      <c r="BH13" s="447"/>
      <c r="BI13" s="444"/>
      <c r="BJ13" s="448"/>
      <c r="BK13" s="449"/>
      <c r="BL13" s="444"/>
      <c r="BM13" s="445"/>
      <c r="BN13" s="445"/>
      <c r="BO13" s="99"/>
      <c r="BP13" s="445"/>
      <c r="BQ13" s="445"/>
      <c r="BR13" s="445"/>
      <c r="BS13" s="445"/>
      <c r="BT13" s="445"/>
      <c r="BU13" s="99"/>
      <c r="BV13" s="99"/>
      <c r="BW13" s="445"/>
      <c r="BX13" s="450"/>
      <c r="BY13" s="451"/>
      <c r="BZ13" s="451"/>
      <c r="CA13" s="452"/>
      <c r="CB13" s="451"/>
      <c r="CC13" s="452"/>
      <c r="CD13" s="451"/>
    </row>
    <row r="14" spans="1:82" s="378" customFormat="1" ht="15.6" x14ac:dyDescent="0.25">
      <c r="A14" s="426"/>
      <c r="B14" s="426"/>
      <c r="C14" s="426"/>
      <c r="D14" s="440"/>
      <c r="E14" s="441"/>
      <c r="F14" s="441"/>
      <c r="G14" s="442"/>
      <c r="H14" s="442"/>
      <c r="I14" s="443"/>
      <c r="J14" s="443"/>
      <c r="K14" s="426"/>
      <c r="L14" s="426"/>
      <c r="M14" s="426"/>
      <c r="N14" s="426"/>
      <c r="O14" s="426"/>
      <c r="P14" s="426"/>
      <c r="Q14" s="426"/>
      <c r="R14" s="426"/>
      <c r="S14" s="426"/>
      <c r="T14" s="426"/>
      <c r="U14" s="426"/>
      <c r="V14" s="444"/>
      <c r="W14" s="444"/>
      <c r="X14" s="444"/>
      <c r="Y14" s="444"/>
      <c r="Z14" s="444"/>
      <c r="AA14" s="444"/>
      <c r="AB14" s="444"/>
      <c r="AC14" s="444"/>
      <c r="AD14" s="444"/>
      <c r="AE14" s="444"/>
      <c r="AF14" s="444"/>
      <c r="AG14" s="444"/>
      <c r="AH14" s="444"/>
      <c r="AI14" s="445"/>
      <c r="AJ14" s="444"/>
      <c r="AK14" s="444"/>
      <c r="AL14" s="444"/>
      <c r="AM14" s="444"/>
      <c r="AN14" s="435"/>
      <c r="AO14" s="434"/>
      <c r="AP14" s="434"/>
      <c r="AQ14" s="434"/>
      <c r="AR14" s="434"/>
      <c r="AS14" s="434"/>
      <c r="AT14" s="435"/>
      <c r="AU14" s="435"/>
      <c r="AV14" s="434"/>
      <c r="AW14" s="434"/>
      <c r="AX14" s="434"/>
      <c r="AY14" s="434"/>
      <c r="AZ14" s="434"/>
      <c r="BA14" s="434"/>
      <c r="BB14" s="434"/>
      <c r="BC14" s="434"/>
      <c r="BD14" s="434"/>
      <c r="BE14" s="434"/>
      <c r="BF14" s="434"/>
      <c r="BG14" s="446"/>
      <c r="BH14" s="447"/>
      <c r="BI14" s="444"/>
      <c r="BJ14" s="448"/>
      <c r="BK14" s="449"/>
      <c r="BL14" s="444"/>
      <c r="BM14" s="445"/>
      <c r="BN14" s="445"/>
      <c r="BO14" s="99"/>
      <c r="BP14" s="445"/>
      <c r="BQ14" s="445"/>
      <c r="BR14" s="445"/>
      <c r="BS14" s="445"/>
      <c r="BT14" s="445"/>
      <c r="BU14" s="99"/>
      <c r="BV14" s="99"/>
      <c r="BW14" s="445"/>
      <c r="BX14" s="450"/>
      <c r="BY14" s="451"/>
      <c r="BZ14" s="451"/>
      <c r="CA14" s="452"/>
      <c r="CB14" s="451"/>
      <c r="CC14" s="452"/>
      <c r="CD14" s="451"/>
    </row>
    <row r="15" spans="1:82" s="378" customFormat="1" ht="15.6" x14ac:dyDescent="0.25">
      <c r="A15" s="426"/>
      <c r="B15" s="426"/>
      <c r="C15" s="426"/>
      <c r="D15" s="440"/>
      <c r="E15" s="441"/>
      <c r="F15" s="441"/>
      <c r="G15" s="442"/>
      <c r="H15" s="442"/>
      <c r="I15" s="443"/>
      <c r="J15" s="443"/>
      <c r="K15" s="426"/>
      <c r="L15" s="426"/>
      <c r="M15" s="426"/>
      <c r="N15" s="426"/>
      <c r="O15" s="426"/>
      <c r="P15" s="426"/>
      <c r="Q15" s="426"/>
      <c r="R15" s="426"/>
      <c r="S15" s="426"/>
      <c r="T15" s="426"/>
      <c r="U15" s="426"/>
      <c r="V15" s="444"/>
      <c r="W15" s="444"/>
      <c r="X15" s="444"/>
      <c r="Y15" s="444"/>
      <c r="Z15" s="444"/>
      <c r="AA15" s="444"/>
      <c r="AB15" s="444"/>
      <c r="AC15" s="444"/>
      <c r="AD15" s="444"/>
      <c r="AE15" s="444"/>
      <c r="AF15" s="444"/>
      <c r="AG15" s="444"/>
      <c r="AH15" s="444"/>
      <c r="AI15" s="445"/>
      <c r="AJ15" s="444"/>
      <c r="AK15" s="444"/>
      <c r="AL15" s="444"/>
      <c r="AM15" s="444"/>
      <c r="AN15" s="435"/>
      <c r="AO15" s="434"/>
      <c r="AP15" s="434"/>
      <c r="AQ15" s="434"/>
      <c r="AR15" s="434"/>
      <c r="AS15" s="434"/>
      <c r="AT15" s="435"/>
      <c r="AU15" s="435"/>
      <c r="AV15" s="434"/>
      <c r="AW15" s="434"/>
      <c r="AX15" s="434"/>
      <c r="AY15" s="434"/>
      <c r="AZ15" s="434"/>
      <c r="BA15" s="434"/>
      <c r="BB15" s="434"/>
      <c r="BC15" s="434"/>
      <c r="BD15" s="434"/>
      <c r="BE15" s="434"/>
      <c r="BF15" s="434"/>
      <c r="BG15" s="446"/>
      <c r="BH15" s="447"/>
      <c r="BI15" s="444"/>
      <c r="BJ15" s="448"/>
      <c r="BK15" s="449"/>
      <c r="BL15" s="444"/>
      <c r="BM15" s="445"/>
      <c r="BN15" s="445"/>
      <c r="BO15" s="99"/>
      <c r="BP15" s="445"/>
      <c r="BQ15" s="445"/>
      <c r="BR15" s="445"/>
      <c r="BS15" s="445"/>
      <c r="BT15" s="445"/>
      <c r="BU15" s="99"/>
      <c r="BV15" s="99"/>
      <c r="BW15" s="445"/>
      <c r="BX15" s="450"/>
      <c r="BY15" s="451"/>
      <c r="BZ15" s="451"/>
      <c r="CA15" s="452"/>
      <c r="CB15" s="451"/>
      <c r="CC15" s="452"/>
      <c r="CD15" s="451"/>
    </row>
    <row r="16" spans="1:82" s="378" customFormat="1" ht="15.6" x14ac:dyDescent="0.25">
      <c r="A16" s="426"/>
      <c r="B16" s="426"/>
      <c r="C16" s="426"/>
      <c r="D16" s="440"/>
      <c r="E16" s="441"/>
      <c r="F16" s="441"/>
      <c r="G16" s="442"/>
      <c r="H16" s="442"/>
      <c r="I16" s="443"/>
      <c r="J16" s="443"/>
      <c r="K16" s="426"/>
      <c r="L16" s="426"/>
      <c r="M16" s="426"/>
      <c r="N16" s="426"/>
      <c r="O16" s="426"/>
      <c r="P16" s="426"/>
      <c r="Q16" s="426"/>
      <c r="R16" s="426"/>
      <c r="S16" s="426"/>
      <c r="T16" s="426"/>
      <c r="U16" s="426"/>
      <c r="V16" s="444"/>
      <c r="W16" s="444"/>
      <c r="X16" s="444"/>
      <c r="Y16" s="444"/>
      <c r="Z16" s="444"/>
      <c r="AA16" s="444"/>
      <c r="AB16" s="444"/>
      <c r="AC16" s="444"/>
      <c r="AD16" s="444"/>
      <c r="AE16" s="444"/>
      <c r="AF16" s="444"/>
      <c r="AG16" s="444"/>
      <c r="AH16" s="444"/>
      <c r="AI16" s="445"/>
      <c r="AJ16" s="444"/>
      <c r="AK16" s="444"/>
      <c r="AL16" s="444"/>
      <c r="AM16" s="444"/>
      <c r="AN16" s="435"/>
      <c r="AO16" s="434"/>
      <c r="AP16" s="434"/>
      <c r="AQ16" s="434"/>
      <c r="AR16" s="434"/>
      <c r="AS16" s="434"/>
      <c r="AT16" s="435"/>
      <c r="AU16" s="435"/>
      <c r="AV16" s="434"/>
      <c r="AW16" s="434"/>
      <c r="AX16" s="434"/>
      <c r="AY16" s="434"/>
      <c r="AZ16" s="434"/>
      <c r="BA16" s="434"/>
      <c r="BB16" s="434"/>
      <c r="BC16" s="434"/>
      <c r="BD16" s="434"/>
      <c r="BE16" s="434"/>
      <c r="BF16" s="434"/>
      <c r="BG16" s="446"/>
      <c r="BH16" s="447"/>
      <c r="BI16" s="444"/>
      <c r="BJ16" s="448"/>
      <c r="BK16" s="449"/>
      <c r="BL16" s="444"/>
      <c r="BM16" s="445"/>
      <c r="BN16" s="445"/>
      <c r="BO16" s="99"/>
      <c r="BP16" s="445"/>
      <c r="BQ16" s="445"/>
      <c r="BR16" s="445"/>
      <c r="BS16" s="445"/>
      <c r="BT16" s="445"/>
      <c r="BU16" s="99"/>
      <c r="BV16" s="99"/>
      <c r="BW16" s="445"/>
      <c r="BX16" s="450"/>
      <c r="BY16" s="451"/>
      <c r="BZ16" s="451"/>
      <c r="CA16" s="452"/>
      <c r="CB16" s="451"/>
      <c r="CC16" s="452"/>
      <c r="CD16" s="451"/>
    </row>
    <row r="17" spans="1:82" s="378" customFormat="1" ht="13.2" x14ac:dyDescent="0.25">
      <c r="A17" s="426"/>
      <c r="B17" s="426"/>
      <c r="C17" s="426"/>
      <c r="D17" s="453"/>
      <c r="E17" s="269"/>
      <c r="F17" s="269"/>
      <c r="G17" s="454"/>
      <c r="H17" s="454"/>
      <c r="I17" s="269"/>
      <c r="J17" s="269"/>
      <c r="K17" s="269"/>
      <c r="L17" s="269"/>
      <c r="M17" s="269"/>
      <c r="N17" s="269"/>
      <c r="O17" s="269"/>
      <c r="P17" s="269"/>
      <c r="Q17" s="269"/>
      <c r="R17" s="269"/>
      <c r="S17" s="269"/>
      <c r="T17" s="269"/>
      <c r="U17" s="269"/>
      <c r="V17" s="434"/>
      <c r="W17" s="434"/>
      <c r="X17" s="434"/>
      <c r="Y17" s="434"/>
      <c r="Z17" s="434"/>
      <c r="AA17" s="434"/>
      <c r="AB17" s="434"/>
      <c r="AC17" s="434"/>
      <c r="AD17" s="434"/>
      <c r="AE17" s="434"/>
      <c r="AF17" s="434"/>
      <c r="AG17" s="434"/>
      <c r="AH17" s="434"/>
      <c r="AI17" s="451"/>
      <c r="AJ17" s="434"/>
      <c r="AK17" s="434"/>
      <c r="AL17" s="434"/>
      <c r="AM17" s="434"/>
      <c r="AN17" s="435"/>
      <c r="AO17" s="434"/>
      <c r="AP17" s="434"/>
      <c r="AQ17" s="434"/>
      <c r="AR17" s="434"/>
      <c r="AS17" s="434"/>
      <c r="AT17" s="435"/>
      <c r="AU17" s="435"/>
      <c r="AV17" s="434"/>
      <c r="AW17" s="434"/>
      <c r="AX17" s="434"/>
      <c r="AY17" s="434"/>
      <c r="AZ17" s="434"/>
      <c r="BA17" s="434"/>
      <c r="BB17" s="434"/>
      <c r="BC17" s="434"/>
      <c r="BD17" s="434"/>
      <c r="BE17" s="434"/>
      <c r="BF17" s="434"/>
      <c r="BG17" s="446"/>
      <c r="BH17" s="455"/>
      <c r="BI17" s="455"/>
      <c r="BJ17" s="455"/>
      <c r="BK17" s="455"/>
      <c r="BL17" s="455"/>
      <c r="BM17" s="455"/>
      <c r="BN17" s="444"/>
      <c r="BO17" s="99"/>
      <c r="BP17" s="444"/>
      <c r="BQ17" s="444"/>
      <c r="BR17" s="444"/>
      <c r="BS17" s="444"/>
      <c r="BT17" s="444"/>
      <c r="BU17" s="99"/>
      <c r="BV17" s="99"/>
      <c r="BW17" s="444"/>
      <c r="BX17" s="456"/>
      <c r="BY17" s="444"/>
      <c r="BZ17" s="449"/>
      <c r="CA17" s="452"/>
      <c r="CB17" s="451"/>
      <c r="CC17" s="452"/>
      <c r="CD17" s="451"/>
    </row>
    <row r="18" spans="1:82" s="378" customFormat="1" ht="13.2" x14ac:dyDescent="0.25">
      <c r="A18" s="426"/>
      <c r="B18" s="426"/>
      <c r="C18" s="426"/>
      <c r="D18" s="453"/>
      <c r="E18" s="1546" t="s">
        <v>171</v>
      </c>
      <c r="F18" s="1546"/>
      <c r="G18" s="1546"/>
      <c r="H18" s="1546"/>
      <c r="I18" s="1546"/>
      <c r="J18" s="1546"/>
      <c r="K18" s="1546"/>
      <c r="L18" s="1546"/>
      <c r="M18" s="1546"/>
      <c r="N18" s="1546"/>
      <c r="O18" s="1546"/>
      <c r="P18" s="434"/>
      <c r="Q18" s="434"/>
      <c r="R18" s="434"/>
      <c r="S18" s="434"/>
      <c r="T18" s="434"/>
      <c r="U18" s="434"/>
      <c r="V18" s="1547"/>
      <c r="W18" s="1547"/>
      <c r="X18" s="1547"/>
      <c r="Y18" s="1547"/>
      <c r="Z18" s="1547"/>
      <c r="AA18" s="1547"/>
      <c r="AB18" s="1547"/>
      <c r="AC18" s="1547"/>
      <c r="AD18" s="1547"/>
      <c r="AE18" s="1547"/>
      <c r="AF18" s="1547"/>
      <c r="AG18" s="1547"/>
      <c r="AH18" s="1547"/>
      <c r="AI18" s="1547"/>
      <c r="AJ18" s="1547"/>
      <c r="AK18" s="434"/>
      <c r="AL18" s="434"/>
      <c r="AM18" s="434"/>
      <c r="AN18" s="435"/>
      <c r="AO18" s="435"/>
      <c r="AP18" s="434"/>
      <c r="AQ18" s="434"/>
      <c r="AR18" s="434"/>
      <c r="AS18" s="434"/>
      <c r="AT18" s="434"/>
      <c r="AU18" s="434"/>
      <c r="AV18" s="434"/>
      <c r="AW18" s="434"/>
      <c r="AX18" s="434"/>
      <c r="AY18" s="434"/>
      <c r="AZ18" s="434"/>
      <c r="BA18" s="434"/>
      <c r="BB18" s="457"/>
      <c r="BC18" s="446"/>
      <c r="BD18" s="444"/>
      <c r="BE18" s="434"/>
      <c r="BF18" s="434"/>
      <c r="BG18" s="1548" t="s">
        <v>121</v>
      </c>
      <c r="BH18" s="1548"/>
      <c r="BI18" s="1548"/>
      <c r="BJ18" s="1548"/>
      <c r="BK18" s="1548"/>
      <c r="BL18" s="1548"/>
      <c r="BM18" s="1548"/>
      <c r="BN18" s="458"/>
      <c r="BO18" s="451"/>
      <c r="BP18" s="451"/>
      <c r="BQ18" s="452"/>
      <c r="BR18" s="452"/>
      <c r="BS18" s="452"/>
      <c r="BT18" s="451"/>
      <c r="BU18" s="459"/>
      <c r="BV18" s="459"/>
      <c r="BW18" s="452"/>
      <c r="BX18" s="451"/>
    </row>
    <row r="19" spans="1:82" s="378" customFormat="1" ht="13.2" x14ac:dyDescent="0.25">
      <c r="A19" s="426"/>
      <c r="B19" s="426"/>
      <c r="C19" s="426"/>
      <c r="D19" s="417"/>
      <c r="E19" s="1549"/>
      <c r="F19" s="1549"/>
      <c r="G19" s="1549"/>
      <c r="H19" s="375"/>
      <c r="I19" s="1549" t="s">
        <v>101</v>
      </c>
      <c r="J19" s="1549"/>
      <c r="K19" s="1549"/>
      <c r="L19" s="1549"/>
      <c r="M19" s="1549"/>
      <c r="N19" s="375"/>
      <c r="O19" s="375"/>
      <c r="P19" s="375"/>
      <c r="Q19" s="375"/>
      <c r="R19" s="375"/>
      <c r="S19" s="375"/>
      <c r="T19" s="375"/>
      <c r="U19" s="375"/>
      <c r="V19" s="1550" t="s">
        <v>172</v>
      </c>
      <c r="W19" s="1550"/>
      <c r="X19" s="1550"/>
      <c r="Y19" s="1550"/>
      <c r="Z19" s="1550"/>
      <c r="AA19" s="1550"/>
      <c r="AB19" s="1550"/>
      <c r="AC19" s="1550"/>
      <c r="AD19" s="1550"/>
      <c r="AE19" s="1550"/>
      <c r="AF19" s="1550"/>
      <c r="AG19" s="1550"/>
      <c r="AH19" s="1550"/>
      <c r="AI19" s="1550"/>
      <c r="AJ19" s="1550"/>
      <c r="AK19" s="375"/>
      <c r="AL19" s="460"/>
      <c r="AM19" s="460"/>
      <c r="AN19" s="433"/>
      <c r="AO19" s="435"/>
      <c r="AP19" s="434"/>
      <c r="AQ19" s="434"/>
      <c r="AR19" s="434"/>
      <c r="AS19" s="434"/>
      <c r="AT19" s="434"/>
      <c r="AU19" s="434"/>
      <c r="AV19" s="434"/>
      <c r="AW19" s="434"/>
      <c r="AX19" s="434"/>
      <c r="AY19" s="434"/>
      <c r="AZ19" s="434"/>
      <c r="BA19" s="375"/>
      <c r="BB19" s="461"/>
      <c r="BC19" s="462"/>
      <c r="BD19" s="105"/>
      <c r="BE19" s="194"/>
      <c r="BF19" s="194"/>
      <c r="BG19" s="1551" t="s">
        <v>103</v>
      </c>
      <c r="BH19" s="1551"/>
      <c r="BI19" s="1551"/>
      <c r="BJ19" s="1551"/>
      <c r="BK19" s="1551"/>
      <c r="BL19" s="1551"/>
      <c r="BM19" s="1551"/>
      <c r="BN19" s="438"/>
      <c r="BO19" s="431"/>
      <c r="BP19" s="431"/>
      <c r="BQ19" s="439"/>
      <c r="BR19" s="439"/>
      <c r="BS19" s="439"/>
      <c r="BT19" s="431"/>
      <c r="BU19" s="437"/>
      <c r="BV19" s="437"/>
      <c r="BW19" s="439"/>
      <c r="BX19" s="431"/>
    </row>
    <row r="20" spans="1:82" s="378" customFormat="1" ht="13.2" x14ac:dyDescent="0.25">
      <c r="A20" s="426"/>
      <c r="B20" s="426"/>
      <c r="C20" s="426"/>
      <c r="D20" s="417"/>
      <c r="E20" s="1545"/>
      <c r="F20" s="1545"/>
      <c r="G20" s="1545"/>
      <c r="H20" s="471"/>
      <c r="I20" s="1549" t="s">
        <v>238</v>
      </c>
      <c r="J20" s="1549"/>
      <c r="K20" s="1549"/>
      <c r="L20" s="1549"/>
      <c r="M20" s="1549"/>
      <c r="N20" s="194"/>
      <c r="O20" s="194"/>
      <c r="P20" s="194"/>
      <c r="Q20" s="194"/>
      <c r="R20" s="194"/>
      <c r="S20" s="194"/>
      <c r="T20" s="194"/>
      <c r="U20" s="1549" t="e">
        <f>+#REF!</f>
        <v>#REF!</v>
      </c>
      <c r="V20" s="1549"/>
      <c r="W20" s="1549"/>
      <c r="X20" s="1549"/>
      <c r="Y20" s="1549"/>
      <c r="Z20" s="1549"/>
      <c r="AA20" s="1549"/>
      <c r="AB20" s="1549"/>
      <c r="AC20" s="1549"/>
      <c r="AD20" s="1549"/>
      <c r="AE20" s="1549"/>
      <c r="AF20" s="1549"/>
      <c r="AG20" s="1549"/>
      <c r="AH20" s="1549"/>
      <c r="AI20" s="1549"/>
      <c r="AJ20" s="1549"/>
      <c r="AK20" s="1549"/>
      <c r="AL20" s="432"/>
      <c r="AM20" s="432"/>
      <c r="AN20" s="433"/>
      <c r="AO20" s="435"/>
      <c r="AP20" s="434"/>
      <c r="AQ20" s="434"/>
      <c r="AR20" s="434"/>
      <c r="AS20" s="434"/>
      <c r="AT20" s="434"/>
      <c r="AU20" s="434"/>
      <c r="AV20" s="434"/>
      <c r="AW20" s="434"/>
      <c r="AX20" s="434"/>
      <c r="AY20" s="434"/>
      <c r="AZ20" s="434"/>
      <c r="BA20" s="436"/>
      <c r="BB20" s="463"/>
      <c r="BC20" s="375"/>
      <c r="BD20" s="1551" t="s">
        <v>270</v>
      </c>
      <c r="BE20" s="1551"/>
      <c r="BF20" s="1551"/>
      <c r="BG20" s="1551"/>
      <c r="BH20" s="1551"/>
      <c r="BI20" s="1551"/>
      <c r="BJ20" s="1551"/>
      <c r="BK20" s="1551"/>
      <c r="BL20" s="1551"/>
      <c r="BM20" s="1551"/>
      <c r="BN20" s="1551"/>
      <c r="BO20" s="1551"/>
      <c r="BP20" s="1551"/>
      <c r="BQ20" s="439"/>
      <c r="BR20" s="439"/>
      <c r="BS20" s="439"/>
      <c r="BT20" s="431"/>
      <c r="BU20" s="437"/>
      <c r="BV20" s="437"/>
      <c r="BW20" s="439"/>
      <c r="BX20" s="431"/>
    </row>
    <row r="21" spans="1:82" s="378" customFormat="1" ht="13.2" x14ac:dyDescent="0.25">
      <c r="A21" s="426"/>
      <c r="B21" s="426"/>
      <c r="C21" s="426"/>
      <c r="D21" s="417"/>
      <c r="E21" s="194"/>
      <c r="F21" s="194"/>
      <c r="G21" s="427"/>
      <c r="H21" s="427"/>
      <c r="I21" s="194"/>
      <c r="J21" s="194"/>
      <c r="K21" s="194"/>
      <c r="L21" s="194"/>
      <c r="M21" s="194"/>
      <c r="N21" s="194"/>
      <c r="O21" s="194"/>
      <c r="P21" s="194"/>
      <c r="Q21" s="194"/>
      <c r="R21" s="194"/>
      <c r="S21" s="194"/>
      <c r="T21" s="194"/>
      <c r="U21" s="194"/>
      <c r="V21" s="375"/>
      <c r="W21" s="375"/>
      <c r="X21" s="375"/>
      <c r="Y21" s="375"/>
      <c r="Z21" s="375"/>
      <c r="AA21" s="375"/>
      <c r="AB21" s="375"/>
      <c r="AC21" s="375"/>
      <c r="AD21" s="375"/>
      <c r="AE21" s="375"/>
      <c r="AF21" s="375"/>
      <c r="AG21" s="375"/>
      <c r="AH21" s="375"/>
      <c r="AI21" s="431"/>
      <c r="AJ21" s="375"/>
      <c r="AK21" s="375"/>
      <c r="AL21" s="432"/>
      <c r="AM21" s="432"/>
      <c r="AN21" s="433"/>
      <c r="AO21" s="435"/>
      <c r="AP21" s="434"/>
      <c r="AQ21" s="434"/>
      <c r="AR21" s="434"/>
      <c r="AS21" s="434"/>
      <c r="AT21" s="434"/>
      <c r="AU21" s="434"/>
      <c r="AV21" s="434"/>
      <c r="AW21" s="434"/>
      <c r="AX21" s="434"/>
      <c r="AY21" s="434"/>
      <c r="AZ21" s="434"/>
      <c r="BA21" s="436"/>
      <c r="BB21" s="463"/>
      <c r="BC21" s="375"/>
      <c r="BD21" s="464"/>
      <c r="BE21" s="436"/>
      <c r="BF21" s="375"/>
      <c r="BG21" s="431"/>
      <c r="BH21" s="431"/>
      <c r="BI21" s="437"/>
      <c r="BJ21" s="431"/>
      <c r="BK21" s="431"/>
      <c r="BL21" s="431"/>
      <c r="BM21" s="431"/>
      <c r="BN21" s="438"/>
      <c r="BO21" s="431"/>
      <c r="BP21" s="431"/>
      <c r="BQ21" s="439"/>
      <c r="BR21" s="439"/>
      <c r="BS21" s="439"/>
      <c r="BT21" s="431"/>
      <c r="BU21" s="437"/>
      <c r="BV21" s="437"/>
      <c r="BW21" s="439"/>
      <c r="BX21" s="431"/>
      <c r="BY21" s="465"/>
    </row>
    <row r="22" spans="1:82" s="378" customFormat="1" ht="13.2" x14ac:dyDescent="0.25">
      <c r="A22" s="426"/>
      <c r="B22" s="426"/>
      <c r="C22" s="426"/>
      <c r="D22" s="417"/>
      <c r="E22" s="194"/>
      <c r="F22" s="194"/>
      <c r="G22" s="427"/>
      <c r="H22" s="427"/>
      <c r="I22" s="194"/>
      <c r="J22" s="194"/>
      <c r="K22" s="194"/>
      <c r="L22" s="194"/>
      <c r="M22" s="194"/>
      <c r="N22" s="194"/>
      <c r="O22" s="194"/>
      <c r="P22" s="194"/>
      <c r="Q22" s="194"/>
      <c r="R22" s="194"/>
      <c r="S22" s="194"/>
      <c r="T22" s="194"/>
      <c r="U22" s="194"/>
      <c r="V22" s="375"/>
      <c r="W22" s="375"/>
      <c r="X22" s="375"/>
      <c r="Y22" s="375"/>
      <c r="Z22" s="375"/>
      <c r="AA22" s="375"/>
      <c r="AB22" s="375"/>
      <c r="AC22" s="375"/>
      <c r="AD22" s="375"/>
      <c r="AE22" s="375"/>
      <c r="AF22" s="375"/>
      <c r="AG22" s="375"/>
      <c r="AH22" s="375"/>
      <c r="AI22" s="431"/>
      <c r="AJ22" s="375"/>
      <c r="AK22" s="375"/>
      <c r="AL22" s="432"/>
      <c r="AM22" s="432"/>
      <c r="AN22" s="433"/>
      <c r="AO22" s="435"/>
      <c r="AP22" s="434"/>
      <c r="AQ22" s="434"/>
      <c r="AR22" s="434"/>
      <c r="AS22" s="434"/>
      <c r="AT22" s="434"/>
      <c r="AU22" s="434"/>
      <c r="AV22" s="434"/>
      <c r="AW22" s="434"/>
      <c r="AX22" s="434"/>
      <c r="AY22" s="434"/>
      <c r="AZ22" s="434"/>
      <c r="BA22" s="436"/>
      <c r="BB22" s="463"/>
      <c r="BC22" s="375"/>
      <c r="BD22" s="464"/>
      <c r="BE22" s="436"/>
      <c r="BF22" s="375"/>
      <c r="BG22" s="431"/>
      <c r="BH22" s="431"/>
      <c r="BI22" s="437"/>
      <c r="BJ22" s="431"/>
      <c r="BK22" s="431"/>
      <c r="BL22" s="431"/>
      <c r="BM22" s="431"/>
      <c r="BN22" s="438"/>
      <c r="BO22" s="431"/>
      <c r="BP22" s="431"/>
      <c r="BQ22" s="439"/>
      <c r="BR22" s="439"/>
      <c r="BS22" s="439"/>
      <c r="BT22" s="431"/>
      <c r="BU22" s="437"/>
      <c r="BV22" s="437"/>
      <c r="BW22" s="439"/>
      <c r="BX22" s="431"/>
    </row>
    <row r="23" spans="1:82" s="378" customFormat="1" ht="13.2" x14ac:dyDescent="0.25">
      <c r="A23" s="426"/>
      <c r="B23" s="426"/>
      <c r="C23" s="426"/>
      <c r="D23" s="417"/>
      <c r="E23" s="194"/>
      <c r="F23" s="194"/>
      <c r="G23" s="427"/>
      <c r="H23" s="427"/>
      <c r="I23" s="194"/>
      <c r="J23" s="194"/>
      <c r="K23" s="194"/>
      <c r="L23" s="194"/>
      <c r="M23" s="194"/>
      <c r="N23" s="194"/>
      <c r="O23" s="194"/>
      <c r="P23" s="194"/>
      <c r="Q23" s="194"/>
      <c r="R23" s="194"/>
      <c r="S23" s="194"/>
      <c r="T23" s="194"/>
      <c r="U23" s="194"/>
      <c r="V23" s="375"/>
      <c r="W23" s="375"/>
      <c r="X23" s="375"/>
      <c r="Y23" s="375"/>
      <c r="Z23" s="375"/>
      <c r="AA23" s="375"/>
      <c r="AB23" s="375"/>
      <c r="AC23" s="375"/>
      <c r="AD23" s="375"/>
      <c r="AE23" s="375"/>
      <c r="AF23" s="375"/>
      <c r="AG23" s="375"/>
      <c r="AH23" s="375"/>
      <c r="AI23" s="431"/>
      <c r="AJ23" s="375"/>
      <c r="AK23" s="375"/>
      <c r="AL23" s="432"/>
      <c r="AM23" s="432"/>
      <c r="AN23" s="433"/>
      <c r="AO23" s="435"/>
      <c r="AP23" s="434"/>
      <c r="AQ23" s="434"/>
      <c r="AR23" s="434"/>
      <c r="AS23" s="434"/>
      <c r="AT23" s="434"/>
      <c r="AU23" s="434"/>
      <c r="AV23" s="434"/>
      <c r="AW23" s="434"/>
      <c r="AX23" s="434"/>
      <c r="AY23" s="434"/>
      <c r="AZ23" s="434"/>
      <c r="BA23" s="436"/>
      <c r="BB23" s="463"/>
      <c r="BC23" s="375"/>
      <c r="BD23" s="464"/>
      <c r="BE23" s="436"/>
      <c r="BF23" s="375"/>
      <c r="BG23" s="431"/>
      <c r="BH23" s="431"/>
      <c r="BI23" s="437"/>
      <c r="BJ23" s="431"/>
      <c r="BK23" s="431"/>
      <c r="BL23" s="431"/>
      <c r="BM23" s="431"/>
      <c r="BN23" s="438"/>
      <c r="BO23" s="431"/>
      <c r="BP23" s="431"/>
      <c r="BQ23" s="439"/>
      <c r="BR23" s="439"/>
      <c r="BS23" s="439"/>
      <c r="BT23" s="431"/>
      <c r="BU23" s="437"/>
      <c r="BV23" s="437"/>
      <c r="BW23" s="439"/>
      <c r="BX23" s="431"/>
    </row>
    <row r="24" spans="1:82" s="378" customFormat="1" ht="13.2" x14ac:dyDescent="0.25">
      <c r="A24" s="426"/>
      <c r="B24" s="426"/>
      <c r="C24" s="426"/>
      <c r="D24" s="417"/>
      <c r="E24" s="194"/>
      <c r="F24" s="194"/>
      <c r="G24" s="427"/>
      <c r="H24" s="427"/>
      <c r="I24" s="194"/>
      <c r="J24" s="194"/>
      <c r="K24" s="194"/>
      <c r="L24" s="194"/>
      <c r="M24" s="194"/>
      <c r="N24" s="194"/>
      <c r="O24" s="194"/>
      <c r="P24" s="194"/>
      <c r="Q24" s="194"/>
      <c r="R24" s="194"/>
      <c r="S24" s="194"/>
      <c r="T24" s="194"/>
      <c r="U24" s="194"/>
      <c r="V24" s="375"/>
      <c r="W24" s="375"/>
      <c r="X24" s="375"/>
      <c r="Y24" s="375"/>
      <c r="Z24" s="375"/>
      <c r="AA24" s="375"/>
      <c r="AB24" s="375"/>
      <c r="AC24" s="375"/>
      <c r="AD24" s="375"/>
      <c r="AE24" s="375"/>
      <c r="AF24" s="375"/>
      <c r="AG24" s="375"/>
      <c r="AH24" s="375"/>
      <c r="AI24" s="431"/>
      <c r="AJ24" s="375"/>
      <c r="AK24" s="375"/>
      <c r="AL24" s="432"/>
      <c r="AM24" s="432"/>
      <c r="AN24" s="433"/>
      <c r="AO24" s="435"/>
      <c r="AP24" s="434"/>
      <c r="AQ24" s="434"/>
      <c r="AR24" s="434"/>
      <c r="AS24" s="434"/>
      <c r="AT24" s="434"/>
      <c r="AU24" s="434"/>
      <c r="AV24" s="434"/>
      <c r="AW24" s="434"/>
      <c r="AX24" s="434"/>
      <c r="AY24" s="434"/>
      <c r="AZ24" s="434"/>
      <c r="BA24" s="436"/>
      <c r="BB24" s="463"/>
      <c r="BC24" s="375"/>
      <c r="BD24" s="464"/>
      <c r="BE24" s="436"/>
      <c r="BF24" s="375"/>
      <c r="BG24" s="431"/>
      <c r="BH24" s="431"/>
      <c r="BI24" s="437"/>
      <c r="BJ24" s="431"/>
      <c r="BK24" s="431"/>
      <c r="BL24" s="431"/>
      <c r="BM24" s="431"/>
      <c r="BN24" s="438"/>
      <c r="BO24" s="431"/>
      <c r="BP24" s="431"/>
      <c r="BQ24" s="439"/>
      <c r="BR24" s="439"/>
      <c r="BS24" s="439"/>
      <c r="BT24" s="431"/>
      <c r="BU24" s="437"/>
      <c r="BV24" s="437"/>
      <c r="BW24" s="439"/>
      <c r="BX24" s="431"/>
    </row>
    <row r="25" spans="1:82" s="378" customFormat="1" ht="13.2" x14ac:dyDescent="0.25">
      <c r="A25" s="426"/>
      <c r="B25" s="426"/>
      <c r="C25" s="426"/>
      <c r="D25" s="417"/>
      <c r="E25" s="194"/>
      <c r="F25" s="194"/>
      <c r="G25" s="427"/>
      <c r="H25" s="427"/>
      <c r="I25" s="194"/>
      <c r="J25" s="194"/>
      <c r="K25" s="194"/>
      <c r="L25" s="194"/>
      <c r="M25" s="194"/>
      <c r="N25" s="194"/>
      <c r="O25" s="194"/>
      <c r="P25" s="194"/>
      <c r="Q25" s="194"/>
      <c r="R25" s="194"/>
      <c r="S25" s="194"/>
      <c r="T25" s="194"/>
      <c r="U25" s="194"/>
      <c r="V25" s="375"/>
      <c r="W25" s="375"/>
      <c r="X25" s="375"/>
      <c r="Y25" s="375"/>
      <c r="Z25" s="375"/>
      <c r="AA25" s="375"/>
      <c r="AB25" s="375"/>
      <c r="AC25" s="375"/>
      <c r="AD25" s="375"/>
      <c r="AE25" s="375"/>
      <c r="AF25" s="375"/>
      <c r="AG25" s="375"/>
      <c r="AH25" s="375"/>
      <c r="AI25" s="431"/>
      <c r="AJ25" s="375"/>
      <c r="AK25" s="375"/>
      <c r="AL25" s="432"/>
      <c r="AM25" s="432"/>
      <c r="AN25" s="433"/>
      <c r="AO25" s="435"/>
      <c r="AP25" s="434"/>
      <c r="AQ25" s="434"/>
      <c r="AR25" s="434"/>
      <c r="AS25" s="434"/>
      <c r="AT25" s="434"/>
      <c r="AU25" s="434"/>
      <c r="AV25" s="434"/>
      <c r="AW25" s="434"/>
      <c r="AX25" s="434"/>
      <c r="AY25" s="434"/>
      <c r="AZ25" s="434"/>
      <c r="BA25" s="436"/>
      <c r="BB25" s="463"/>
      <c r="BC25" s="375"/>
      <c r="BD25" s="464"/>
      <c r="BE25" s="436"/>
      <c r="BF25" s="375"/>
      <c r="BG25" s="431"/>
      <c r="BH25" s="431"/>
      <c r="BI25" s="437"/>
      <c r="BJ25" s="431"/>
      <c r="BK25" s="431"/>
      <c r="BL25" s="431"/>
      <c r="BM25" s="431"/>
      <c r="BN25" s="438"/>
      <c r="BO25" s="431"/>
      <c r="BP25" s="431"/>
      <c r="BQ25" s="439"/>
      <c r="BR25" s="439"/>
      <c r="BS25" s="439"/>
      <c r="BT25" s="431"/>
      <c r="BU25" s="437"/>
      <c r="BV25" s="437"/>
      <c r="BW25" s="439"/>
      <c r="BX25" s="431"/>
    </row>
    <row r="26" spans="1:82" s="378" customFormat="1" ht="13.2" x14ac:dyDescent="0.25">
      <c r="A26" s="426"/>
      <c r="B26" s="426"/>
      <c r="C26" s="426"/>
      <c r="D26" s="417"/>
      <c r="E26" s="194"/>
      <c r="F26" s="194"/>
      <c r="G26" s="427"/>
      <c r="H26" s="427"/>
      <c r="I26" s="194"/>
      <c r="J26" s="194"/>
      <c r="K26" s="194"/>
      <c r="L26" s="194"/>
      <c r="M26" s="194"/>
      <c r="N26" s="194"/>
      <c r="O26" s="194"/>
      <c r="P26" s="194"/>
      <c r="Q26" s="194"/>
      <c r="R26" s="194"/>
      <c r="S26" s="194"/>
      <c r="T26" s="194"/>
      <c r="U26" s="194"/>
      <c r="V26" s="375"/>
      <c r="W26" s="375"/>
      <c r="X26" s="375"/>
      <c r="Y26" s="375"/>
      <c r="Z26" s="375"/>
      <c r="AA26" s="375"/>
      <c r="AB26" s="375"/>
      <c r="AC26" s="375"/>
      <c r="AD26" s="375"/>
      <c r="AE26" s="375"/>
      <c r="AF26" s="375"/>
      <c r="AG26" s="375"/>
      <c r="AH26" s="375"/>
      <c r="AI26" s="431"/>
      <c r="AJ26" s="375"/>
      <c r="AK26" s="375"/>
      <c r="AL26" s="432"/>
      <c r="AM26" s="432"/>
      <c r="AN26" s="433"/>
      <c r="AO26" s="435"/>
      <c r="AP26" s="434"/>
      <c r="AQ26" s="434"/>
      <c r="AR26" s="434"/>
      <c r="AS26" s="434"/>
      <c r="AT26" s="434"/>
      <c r="AU26" s="434"/>
      <c r="AV26" s="434"/>
      <c r="AW26" s="434"/>
      <c r="AX26" s="434"/>
      <c r="AY26" s="434"/>
      <c r="AZ26" s="434"/>
      <c r="BA26" s="436"/>
      <c r="BB26" s="463"/>
      <c r="BC26" s="375"/>
      <c r="BD26" s="464"/>
      <c r="BE26" s="436"/>
      <c r="BF26" s="375"/>
      <c r="BG26" s="431"/>
      <c r="BH26" s="431"/>
      <c r="BI26" s="437"/>
      <c r="BJ26" s="431"/>
      <c r="BK26" s="431"/>
      <c r="BL26" s="431"/>
      <c r="BM26" s="431"/>
      <c r="BN26" s="438"/>
      <c r="BO26" s="431"/>
      <c r="BP26" s="431"/>
      <c r="BQ26" s="439"/>
      <c r="BR26" s="439"/>
      <c r="BS26" s="439"/>
      <c r="BT26" s="431"/>
      <c r="BU26" s="437"/>
      <c r="BV26" s="437"/>
      <c r="BW26" s="439"/>
      <c r="BX26" s="431"/>
    </row>
    <row r="27" spans="1:82" s="378" customFormat="1" ht="13.2" x14ac:dyDescent="0.25">
      <c r="A27" s="426"/>
      <c r="B27" s="426"/>
      <c r="C27" s="426"/>
      <c r="D27" s="417"/>
      <c r="E27" s="194"/>
      <c r="F27" s="194"/>
      <c r="G27" s="427"/>
      <c r="H27" s="427"/>
      <c r="I27" s="194"/>
      <c r="J27" s="194"/>
      <c r="K27" s="194"/>
      <c r="L27" s="194"/>
      <c r="M27" s="194"/>
      <c r="N27" s="194"/>
      <c r="O27" s="194"/>
      <c r="P27" s="194"/>
      <c r="Q27" s="194"/>
      <c r="R27" s="194"/>
      <c r="S27" s="194"/>
      <c r="T27" s="194"/>
      <c r="U27" s="194"/>
      <c r="V27" s="375"/>
      <c r="W27" s="375"/>
      <c r="X27" s="375"/>
      <c r="Y27" s="375"/>
      <c r="Z27" s="375"/>
      <c r="AA27" s="375"/>
      <c r="AB27" s="375"/>
      <c r="AC27" s="375"/>
      <c r="AD27" s="375"/>
      <c r="AE27" s="375"/>
      <c r="AF27" s="375"/>
      <c r="AG27" s="375"/>
      <c r="AH27" s="375"/>
      <c r="AI27" s="431"/>
      <c r="AJ27" s="375"/>
      <c r="AK27" s="375"/>
      <c r="AL27" s="432"/>
      <c r="AM27" s="432"/>
      <c r="AN27" s="433"/>
      <c r="AO27" s="435"/>
      <c r="AP27" s="434"/>
      <c r="AQ27" s="434"/>
      <c r="AR27" s="434"/>
      <c r="AS27" s="434"/>
      <c r="AT27" s="434"/>
      <c r="AU27" s="434"/>
      <c r="AV27" s="434"/>
      <c r="AW27" s="434"/>
      <c r="AX27" s="434"/>
      <c r="AY27" s="434"/>
      <c r="AZ27" s="434"/>
      <c r="BA27" s="436"/>
      <c r="BB27" s="463"/>
      <c r="BC27" s="375"/>
      <c r="BD27" s="464"/>
      <c r="BE27" s="436"/>
      <c r="BF27" s="375"/>
      <c r="BG27" s="431"/>
      <c r="BH27" s="431"/>
      <c r="BI27" s="437"/>
      <c r="BJ27" s="431"/>
      <c r="BK27" s="431"/>
      <c r="BL27" s="431"/>
      <c r="BM27" s="431"/>
      <c r="BN27" s="438"/>
      <c r="BO27" s="431"/>
      <c r="BP27" s="431"/>
      <c r="BQ27" s="439"/>
      <c r="BR27" s="439"/>
      <c r="BS27" s="439"/>
      <c r="BT27" s="431"/>
      <c r="BU27" s="437"/>
      <c r="BV27" s="437"/>
      <c r="BW27" s="439"/>
      <c r="BX27" s="431"/>
    </row>
    <row r="28" spans="1:82" s="378" customFormat="1" ht="13.2" x14ac:dyDescent="0.25">
      <c r="A28" s="426"/>
      <c r="B28" s="426"/>
      <c r="C28" s="426"/>
      <c r="D28" s="417"/>
      <c r="E28" s="194"/>
      <c r="F28" s="194"/>
      <c r="G28" s="427"/>
      <c r="H28" s="427"/>
      <c r="I28" s="194"/>
      <c r="J28" s="194"/>
      <c r="K28" s="194"/>
      <c r="L28" s="194"/>
      <c r="M28" s="194"/>
      <c r="N28" s="194"/>
      <c r="O28" s="194"/>
      <c r="P28" s="194"/>
      <c r="Q28" s="194"/>
      <c r="R28" s="194"/>
      <c r="S28" s="194"/>
      <c r="T28" s="194"/>
      <c r="U28" s="194"/>
      <c r="V28" s="375"/>
      <c r="W28" s="375"/>
      <c r="X28" s="375"/>
      <c r="Y28" s="375"/>
      <c r="Z28" s="375"/>
      <c r="AA28" s="375"/>
      <c r="AB28" s="375"/>
      <c r="AC28" s="375"/>
      <c r="AD28" s="375"/>
      <c r="AE28" s="375"/>
      <c r="AF28" s="375"/>
      <c r="AG28" s="375"/>
      <c r="AH28" s="375"/>
      <c r="AI28" s="431"/>
      <c r="AJ28" s="375"/>
      <c r="AK28" s="375"/>
      <c r="AL28" s="432"/>
      <c r="AM28" s="432"/>
      <c r="AN28" s="433"/>
      <c r="AO28" s="435"/>
      <c r="AP28" s="434"/>
      <c r="AQ28" s="434"/>
      <c r="AR28" s="434"/>
      <c r="AS28" s="434"/>
      <c r="AT28" s="434"/>
      <c r="AU28" s="434"/>
      <c r="AV28" s="434"/>
      <c r="AW28" s="434"/>
      <c r="AX28" s="434"/>
      <c r="AY28" s="434"/>
      <c r="AZ28" s="434"/>
      <c r="BA28" s="436"/>
      <c r="BB28" s="463"/>
      <c r="BC28" s="375"/>
      <c r="BD28" s="464"/>
      <c r="BE28" s="436"/>
      <c r="BF28" s="375"/>
      <c r="BG28" s="431"/>
      <c r="BH28" s="431"/>
      <c r="BI28" s="437"/>
      <c r="BJ28" s="431"/>
      <c r="BK28" s="431"/>
      <c r="BL28" s="431"/>
      <c r="BM28" s="431"/>
      <c r="BN28" s="438"/>
      <c r="BO28" s="431"/>
      <c r="BP28" s="431"/>
      <c r="BQ28" s="439"/>
      <c r="BR28" s="439"/>
      <c r="BS28" s="439"/>
      <c r="BT28" s="431"/>
      <c r="BU28" s="437"/>
      <c r="BV28" s="437"/>
      <c r="BW28" s="439"/>
      <c r="BX28" s="431"/>
    </row>
    <row r="29" spans="1:82" s="378" customFormat="1" ht="13.2" x14ac:dyDescent="0.25">
      <c r="A29" s="426"/>
      <c r="B29" s="426"/>
      <c r="C29" s="426"/>
      <c r="D29" s="417"/>
      <c r="E29" s="194"/>
      <c r="F29" s="194"/>
      <c r="G29" s="427"/>
      <c r="H29" s="427"/>
      <c r="I29" s="194"/>
      <c r="J29" s="194"/>
      <c r="K29" s="194"/>
      <c r="L29" s="194"/>
      <c r="M29" s="194"/>
      <c r="N29" s="194"/>
      <c r="O29" s="194"/>
      <c r="P29" s="194"/>
      <c r="Q29" s="194"/>
      <c r="R29" s="194"/>
      <c r="S29" s="194"/>
      <c r="T29" s="194"/>
      <c r="U29" s="194"/>
      <c r="V29" s="375"/>
      <c r="W29" s="375"/>
      <c r="X29" s="375"/>
      <c r="Y29" s="375"/>
      <c r="Z29" s="375"/>
      <c r="AA29" s="375"/>
      <c r="AB29" s="375"/>
      <c r="AC29" s="375"/>
      <c r="AD29" s="375"/>
      <c r="AE29" s="375"/>
      <c r="AF29" s="375"/>
      <c r="AG29" s="375"/>
      <c r="AH29" s="375"/>
      <c r="AI29" s="431"/>
      <c r="AJ29" s="375"/>
      <c r="AK29" s="375"/>
      <c r="AL29" s="432"/>
      <c r="AM29" s="432"/>
      <c r="AN29" s="433"/>
      <c r="AO29" s="435"/>
      <c r="AP29" s="434"/>
      <c r="AQ29" s="434"/>
      <c r="AR29" s="434"/>
      <c r="AS29" s="434"/>
      <c r="AT29" s="434"/>
      <c r="AU29" s="434"/>
      <c r="AV29" s="434"/>
      <c r="AW29" s="434"/>
      <c r="AX29" s="434"/>
      <c r="AY29" s="434"/>
      <c r="AZ29" s="434"/>
      <c r="BA29" s="436"/>
      <c r="BB29" s="463"/>
      <c r="BC29" s="375"/>
      <c r="BD29" s="464"/>
      <c r="BE29" s="436"/>
      <c r="BF29" s="375"/>
      <c r="BG29" s="431"/>
      <c r="BH29" s="431"/>
      <c r="BI29" s="437"/>
      <c r="BJ29" s="431"/>
      <c r="BK29" s="431"/>
      <c r="BL29" s="431"/>
      <c r="BM29" s="431"/>
      <c r="BN29" s="438"/>
      <c r="BO29" s="431"/>
      <c r="BP29" s="431"/>
      <c r="BQ29" s="439"/>
      <c r="BR29" s="439"/>
      <c r="BS29" s="439"/>
      <c r="BT29" s="431"/>
      <c r="BU29" s="437"/>
      <c r="BV29" s="437"/>
      <c r="BW29" s="439"/>
      <c r="BX29" s="431"/>
    </row>
    <row r="30" spans="1:82" s="378" customFormat="1" ht="13.2" x14ac:dyDescent="0.25">
      <c r="A30" s="426"/>
      <c r="B30" s="426"/>
      <c r="C30" s="426"/>
      <c r="D30" s="417"/>
      <c r="E30" s="194"/>
      <c r="F30" s="194"/>
      <c r="G30" s="427"/>
      <c r="H30" s="427"/>
      <c r="I30" s="194"/>
      <c r="J30" s="194"/>
      <c r="K30" s="194"/>
      <c r="L30" s="194"/>
      <c r="M30" s="194"/>
      <c r="N30" s="194"/>
      <c r="O30" s="194"/>
      <c r="P30" s="194"/>
      <c r="Q30" s="194"/>
      <c r="R30" s="194"/>
      <c r="S30" s="194"/>
      <c r="T30" s="194"/>
      <c r="U30" s="194"/>
      <c r="V30" s="375"/>
      <c r="W30" s="375"/>
      <c r="X30" s="375"/>
      <c r="Y30" s="375"/>
      <c r="Z30" s="375"/>
      <c r="AA30" s="375"/>
      <c r="AB30" s="375"/>
      <c r="AC30" s="375"/>
      <c r="AD30" s="375"/>
      <c r="AE30" s="375"/>
      <c r="AF30" s="375"/>
      <c r="AG30" s="375"/>
      <c r="AH30" s="375"/>
      <c r="AI30" s="431"/>
      <c r="AJ30" s="375"/>
      <c r="AK30" s="375"/>
      <c r="AL30" s="432"/>
      <c r="AM30" s="432"/>
      <c r="AN30" s="433"/>
      <c r="AO30" s="435"/>
      <c r="AP30" s="434"/>
      <c r="AQ30" s="434"/>
      <c r="AR30" s="434"/>
      <c r="AS30" s="434"/>
      <c r="AT30" s="434"/>
      <c r="AU30" s="434"/>
      <c r="AV30" s="434"/>
      <c r="AW30" s="434"/>
      <c r="AX30" s="434"/>
      <c r="AY30" s="434"/>
      <c r="AZ30" s="434"/>
      <c r="BA30" s="436"/>
      <c r="BB30" s="463"/>
      <c r="BC30" s="375"/>
      <c r="BD30" s="464"/>
      <c r="BE30" s="436"/>
      <c r="BF30" s="375"/>
      <c r="BG30" s="431"/>
      <c r="BH30" s="431"/>
      <c r="BI30" s="437"/>
      <c r="BJ30" s="431"/>
      <c r="BK30" s="431"/>
      <c r="BL30" s="431"/>
      <c r="BM30" s="431"/>
      <c r="BN30" s="438"/>
      <c r="BO30" s="431"/>
      <c r="BP30" s="431"/>
      <c r="BQ30" s="439"/>
      <c r="BR30" s="439"/>
      <c r="BS30" s="439"/>
      <c r="BT30" s="431"/>
      <c r="BU30" s="437"/>
      <c r="BV30" s="437"/>
      <c r="BW30" s="439"/>
      <c r="BX30" s="431"/>
    </row>
    <row r="31" spans="1:82" s="378" customFormat="1" ht="13.2" x14ac:dyDescent="0.25">
      <c r="A31" s="426"/>
      <c r="B31" s="426"/>
      <c r="C31" s="426"/>
      <c r="D31" s="417"/>
      <c r="E31" s="194"/>
      <c r="F31" s="194"/>
      <c r="G31" s="427"/>
      <c r="H31" s="427"/>
      <c r="I31" s="194"/>
      <c r="J31" s="194"/>
      <c r="K31" s="194"/>
      <c r="L31" s="194"/>
      <c r="M31" s="194"/>
      <c r="N31" s="194"/>
      <c r="O31" s="194"/>
      <c r="P31" s="194"/>
      <c r="Q31" s="194"/>
      <c r="R31" s="194"/>
      <c r="S31" s="194"/>
      <c r="T31" s="194"/>
      <c r="U31" s="194"/>
      <c r="V31" s="375"/>
      <c r="W31" s="375"/>
      <c r="X31" s="375"/>
      <c r="Y31" s="375"/>
      <c r="Z31" s="375"/>
      <c r="AA31" s="375"/>
      <c r="AB31" s="375"/>
      <c r="AC31" s="375"/>
      <c r="AD31" s="375"/>
      <c r="AE31" s="375"/>
      <c r="AF31" s="375"/>
      <c r="AG31" s="375"/>
      <c r="AH31" s="375"/>
      <c r="AI31" s="431"/>
      <c r="AJ31" s="375"/>
      <c r="AK31" s="375"/>
      <c r="AL31" s="432"/>
      <c r="AM31" s="432"/>
      <c r="AN31" s="433"/>
      <c r="AO31" s="435"/>
      <c r="AP31" s="434"/>
      <c r="AQ31" s="434"/>
      <c r="AR31" s="434"/>
      <c r="AS31" s="434"/>
      <c r="AT31" s="434"/>
      <c r="AU31" s="434"/>
      <c r="AV31" s="434"/>
      <c r="AW31" s="434"/>
      <c r="AX31" s="434"/>
      <c r="AY31" s="434"/>
      <c r="AZ31" s="434"/>
      <c r="BA31" s="436"/>
      <c r="BB31" s="463"/>
      <c r="BC31" s="375"/>
      <c r="BD31" s="464"/>
      <c r="BE31" s="436"/>
      <c r="BF31" s="375"/>
      <c r="BG31" s="431"/>
      <c r="BH31" s="431"/>
      <c r="BI31" s="437"/>
      <c r="BJ31" s="431"/>
      <c r="BK31" s="431"/>
      <c r="BL31" s="431"/>
      <c r="BM31" s="431"/>
      <c r="BN31" s="438"/>
      <c r="BO31" s="431"/>
      <c r="BP31" s="431"/>
      <c r="BQ31" s="439"/>
      <c r="BR31" s="439"/>
      <c r="BS31" s="439"/>
      <c r="BT31" s="431"/>
      <c r="BU31" s="437"/>
      <c r="BV31" s="437"/>
      <c r="BW31" s="439"/>
      <c r="BX31" s="431"/>
    </row>
    <row r="32" spans="1:82" s="378" customFormat="1" ht="13.2" x14ac:dyDescent="0.25">
      <c r="A32" s="426"/>
      <c r="B32" s="426"/>
      <c r="C32" s="426"/>
      <c r="D32" s="417"/>
      <c r="E32" s="194"/>
      <c r="F32" s="194"/>
      <c r="G32" s="427"/>
      <c r="H32" s="427"/>
      <c r="I32" s="194"/>
      <c r="J32" s="194"/>
      <c r="K32" s="194"/>
      <c r="L32" s="194"/>
      <c r="M32" s="194"/>
      <c r="N32" s="194"/>
      <c r="O32" s="194"/>
      <c r="P32" s="194"/>
      <c r="Q32" s="194"/>
      <c r="R32" s="194"/>
      <c r="S32" s="194"/>
      <c r="T32" s="194"/>
      <c r="U32" s="194"/>
      <c r="V32" s="375"/>
      <c r="W32" s="375"/>
      <c r="X32" s="375"/>
      <c r="Y32" s="375"/>
      <c r="Z32" s="375"/>
      <c r="AA32" s="375"/>
      <c r="AB32" s="375"/>
      <c r="AC32" s="375"/>
      <c r="AD32" s="375"/>
      <c r="AE32" s="375"/>
      <c r="AF32" s="375"/>
      <c r="AG32" s="375"/>
      <c r="AH32" s="375"/>
      <c r="AI32" s="431"/>
      <c r="AJ32" s="375"/>
      <c r="AK32" s="375"/>
      <c r="AL32" s="432"/>
      <c r="AM32" s="432"/>
      <c r="AN32" s="433"/>
      <c r="AO32" s="435"/>
      <c r="AP32" s="434"/>
      <c r="AQ32" s="434"/>
      <c r="AR32" s="434"/>
      <c r="AS32" s="434"/>
      <c r="AT32" s="434"/>
      <c r="AU32" s="434"/>
      <c r="AV32" s="434"/>
      <c r="AW32" s="434"/>
      <c r="AX32" s="434"/>
      <c r="AY32" s="434"/>
      <c r="AZ32" s="434"/>
      <c r="BA32" s="436"/>
      <c r="BB32" s="463"/>
      <c r="BC32" s="375"/>
      <c r="BD32" s="464"/>
      <c r="BE32" s="436"/>
      <c r="BF32" s="375"/>
      <c r="BG32" s="431"/>
      <c r="BH32" s="431"/>
      <c r="BI32" s="437"/>
      <c r="BJ32" s="431"/>
      <c r="BK32" s="431"/>
      <c r="BL32" s="431"/>
      <c r="BM32" s="431"/>
      <c r="BN32" s="438"/>
      <c r="BO32" s="431"/>
      <c r="BP32" s="431"/>
      <c r="BQ32" s="439"/>
      <c r="BR32" s="439"/>
      <c r="BS32" s="439"/>
      <c r="BT32" s="431"/>
      <c r="BU32" s="437"/>
      <c r="BV32" s="437"/>
      <c r="BW32" s="439"/>
      <c r="BX32" s="431"/>
      <c r="BY32" s="466"/>
      <c r="BZ32" s="466"/>
    </row>
    <row r="33" spans="1:82" s="378" customFormat="1" ht="13.2" x14ac:dyDescent="0.25">
      <c r="A33" s="426"/>
      <c r="B33" s="426"/>
      <c r="C33" s="426"/>
      <c r="D33" s="417"/>
      <c r="E33" s="194"/>
      <c r="F33" s="194"/>
      <c r="G33" s="427"/>
      <c r="H33" s="427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375"/>
      <c r="W33" s="375"/>
      <c r="X33" s="375"/>
      <c r="Y33" s="375"/>
      <c r="Z33" s="375"/>
      <c r="AA33" s="375"/>
      <c r="AB33" s="375"/>
      <c r="AC33" s="375"/>
      <c r="AD33" s="375"/>
      <c r="AE33" s="375"/>
      <c r="AF33" s="375"/>
      <c r="AG33" s="375"/>
      <c r="AH33" s="375"/>
      <c r="AI33" s="431"/>
      <c r="AJ33" s="375"/>
      <c r="AK33" s="375"/>
      <c r="AL33" s="432"/>
      <c r="AM33" s="432"/>
      <c r="AN33" s="433"/>
      <c r="AO33" s="435"/>
      <c r="AP33" s="434"/>
      <c r="AQ33" s="434"/>
      <c r="AR33" s="434"/>
      <c r="AS33" s="434"/>
      <c r="AT33" s="434"/>
      <c r="AU33" s="434"/>
      <c r="AV33" s="434"/>
      <c r="AW33" s="434"/>
      <c r="AX33" s="434"/>
      <c r="AY33" s="434"/>
      <c r="AZ33" s="434"/>
      <c r="BA33" s="436"/>
      <c r="BB33" s="463"/>
      <c r="BC33" s="375"/>
      <c r="BD33" s="464"/>
      <c r="BE33" s="436"/>
      <c r="BF33" s="375"/>
      <c r="BG33" s="431"/>
      <c r="BH33" s="431"/>
      <c r="BI33" s="437"/>
      <c r="BJ33" s="431"/>
      <c r="BK33" s="431"/>
      <c r="BL33" s="431"/>
      <c r="BM33" s="431"/>
      <c r="BN33" s="438"/>
      <c r="BO33" s="431"/>
      <c r="BP33" s="431"/>
      <c r="BQ33" s="439"/>
      <c r="BR33" s="439"/>
      <c r="BS33" s="439"/>
      <c r="BT33" s="431"/>
      <c r="BU33" s="437"/>
      <c r="BV33" s="437"/>
      <c r="BW33" s="439"/>
      <c r="BX33" s="431"/>
    </row>
    <row r="34" spans="1:82" s="378" customFormat="1" ht="13.2" x14ac:dyDescent="0.25">
      <c r="A34" s="426"/>
      <c r="B34" s="426"/>
      <c r="C34" s="426"/>
      <c r="D34" s="417"/>
      <c r="E34" s="194"/>
      <c r="F34" s="194"/>
      <c r="G34" s="427"/>
      <c r="H34" s="427"/>
      <c r="I34" s="194"/>
      <c r="J34" s="194"/>
      <c r="K34" s="194"/>
      <c r="L34" s="194"/>
      <c r="M34" s="194"/>
      <c r="N34" s="194"/>
      <c r="O34" s="194"/>
      <c r="P34" s="194"/>
      <c r="Q34" s="194"/>
      <c r="R34" s="194"/>
      <c r="S34" s="194"/>
      <c r="T34" s="194"/>
      <c r="U34" s="194"/>
      <c r="V34" s="375"/>
      <c r="W34" s="375"/>
      <c r="X34" s="375"/>
      <c r="Y34" s="375"/>
      <c r="Z34" s="375"/>
      <c r="AA34" s="375"/>
      <c r="AB34" s="375"/>
      <c r="AC34" s="375"/>
      <c r="AD34" s="375"/>
      <c r="AE34" s="375"/>
      <c r="AF34" s="375"/>
      <c r="AG34" s="375"/>
      <c r="AH34" s="375"/>
      <c r="AI34" s="431"/>
      <c r="AJ34" s="375"/>
      <c r="AK34" s="375"/>
      <c r="AL34" s="432"/>
      <c r="AM34" s="432"/>
      <c r="AN34" s="433"/>
      <c r="AO34" s="435"/>
      <c r="AP34" s="434"/>
      <c r="AQ34" s="434"/>
      <c r="AR34" s="434"/>
      <c r="AS34" s="434"/>
      <c r="AT34" s="434"/>
      <c r="AU34" s="434"/>
      <c r="AV34" s="434"/>
      <c r="AW34" s="434"/>
      <c r="AX34" s="434"/>
      <c r="AY34" s="434"/>
      <c r="AZ34" s="434"/>
      <c r="BA34" s="436"/>
      <c r="BB34" s="463"/>
      <c r="BC34" s="375"/>
      <c r="BD34" s="464"/>
      <c r="BE34" s="436"/>
      <c r="BF34" s="375"/>
      <c r="BG34" s="431"/>
      <c r="BH34" s="431"/>
      <c r="BI34" s="437"/>
      <c r="BJ34" s="431"/>
      <c r="BK34" s="431"/>
      <c r="BL34" s="431"/>
      <c r="BM34" s="431"/>
      <c r="BN34" s="438"/>
      <c r="BO34" s="431"/>
      <c r="BP34" s="431"/>
      <c r="BQ34" s="439"/>
      <c r="BR34" s="439"/>
      <c r="BS34" s="439"/>
      <c r="BT34" s="431"/>
      <c r="BU34" s="437"/>
      <c r="BV34" s="437"/>
      <c r="BW34" s="439"/>
      <c r="BX34" s="431"/>
    </row>
    <row r="35" spans="1:82" s="378" customFormat="1" ht="13.2" x14ac:dyDescent="0.25">
      <c r="A35" s="426"/>
      <c r="B35" s="426"/>
      <c r="C35" s="426"/>
      <c r="D35" s="417"/>
      <c r="E35" s="194"/>
      <c r="F35" s="194"/>
      <c r="G35" s="427"/>
      <c r="H35" s="427"/>
      <c r="I35" s="194"/>
      <c r="J35" s="194"/>
      <c r="K35" s="194"/>
      <c r="L35" s="194"/>
      <c r="M35" s="194"/>
      <c r="N35" s="194"/>
      <c r="O35" s="194"/>
      <c r="P35" s="194"/>
      <c r="Q35" s="194"/>
      <c r="R35" s="194"/>
      <c r="S35" s="194"/>
      <c r="T35" s="194"/>
      <c r="U35" s="194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431"/>
      <c r="AJ35" s="375"/>
      <c r="AK35" s="375"/>
      <c r="AL35" s="432"/>
      <c r="AM35" s="432"/>
      <c r="AN35" s="433"/>
      <c r="AO35" s="435"/>
      <c r="AP35" s="434"/>
      <c r="AQ35" s="434"/>
      <c r="AR35" s="434"/>
      <c r="AS35" s="434"/>
      <c r="AT35" s="434"/>
      <c r="AU35" s="434"/>
      <c r="AV35" s="434"/>
      <c r="AW35" s="434"/>
      <c r="AX35" s="434"/>
      <c r="AY35" s="434"/>
      <c r="AZ35" s="434"/>
      <c r="BA35" s="436"/>
      <c r="BB35" s="463"/>
      <c r="BC35" s="375"/>
      <c r="BD35" s="464"/>
      <c r="BE35" s="436"/>
      <c r="BF35" s="375"/>
      <c r="BG35" s="431"/>
      <c r="BH35" s="431"/>
      <c r="BI35" s="437"/>
      <c r="BJ35" s="431"/>
      <c r="BK35" s="431"/>
      <c r="BL35" s="431"/>
      <c r="BM35" s="431"/>
      <c r="BN35" s="438"/>
      <c r="BO35" s="431"/>
      <c r="BP35" s="431"/>
      <c r="BQ35" s="439"/>
      <c r="BR35" s="439"/>
      <c r="BS35" s="439"/>
      <c r="BT35" s="431"/>
      <c r="BU35" s="437"/>
      <c r="BV35" s="437"/>
      <c r="BW35" s="439"/>
      <c r="BX35" s="431"/>
    </row>
    <row r="36" spans="1:82" s="378" customFormat="1" ht="13.2" x14ac:dyDescent="0.25">
      <c r="A36" s="426"/>
      <c r="B36" s="426"/>
      <c r="C36" s="426"/>
      <c r="D36" s="417"/>
      <c r="E36" s="194"/>
      <c r="F36" s="194"/>
      <c r="G36" s="427"/>
      <c r="H36" s="427"/>
      <c r="I36" s="194"/>
      <c r="J36" s="194"/>
      <c r="K36" s="194"/>
      <c r="L36" s="194"/>
      <c r="M36" s="194"/>
      <c r="N36" s="194"/>
      <c r="O36" s="194"/>
      <c r="P36" s="194"/>
      <c r="Q36" s="194"/>
      <c r="R36" s="194"/>
      <c r="S36" s="194"/>
      <c r="T36" s="194"/>
      <c r="U36" s="194"/>
      <c r="V36" s="375"/>
      <c r="W36" s="375"/>
      <c r="X36" s="375"/>
      <c r="Y36" s="375"/>
      <c r="Z36" s="375"/>
      <c r="AA36" s="375"/>
      <c r="AB36" s="375"/>
      <c r="AC36" s="375"/>
      <c r="AD36" s="375"/>
      <c r="AE36" s="375"/>
      <c r="AF36" s="375"/>
      <c r="AG36" s="375"/>
      <c r="AH36" s="375"/>
      <c r="AI36" s="431"/>
      <c r="AJ36" s="375"/>
      <c r="AK36" s="375"/>
      <c r="AL36" s="432"/>
      <c r="AM36" s="432"/>
      <c r="AN36" s="433"/>
      <c r="AO36" s="435"/>
      <c r="AP36" s="434"/>
      <c r="AQ36" s="434"/>
      <c r="AR36" s="434"/>
      <c r="AS36" s="434"/>
      <c r="AT36" s="434"/>
      <c r="AU36" s="434"/>
      <c r="AV36" s="434"/>
      <c r="AW36" s="434"/>
      <c r="AX36" s="434"/>
      <c r="AY36" s="434"/>
      <c r="AZ36" s="434"/>
      <c r="BA36" s="436"/>
      <c r="BB36" s="463"/>
      <c r="BC36" s="375"/>
      <c r="BD36" s="464"/>
      <c r="BE36" s="436"/>
      <c r="BF36" s="375"/>
      <c r="BG36" s="431"/>
      <c r="BH36" s="431"/>
      <c r="BI36" s="437"/>
      <c r="BJ36" s="431"/>
      <c r="BK36" s="431"/>
      <c r="BL36" s="431"/>
      <c r="BM36" s="431"/>
      <c r="BN36" s="438"/>
      <c r="BO36" s="431"/>
      <c r="BP36" s="431"/>
      <c r="BQ36" s="439"/>
      <c r="BR36" s="439"/>
      <c r="BS36" s="439"/>
      <c r="BT36" s="431"/>
      <c r="BU36" s="437"/>
      <c r="BV36" s="437"/>
      <c r="BW36" s="439"/>
      <c r="BX36" s="431"/>
    </row>
    <row r="37" spans="1:82" s="378" customFormat="1" ht="13.2" x14ac:dyDescent="0.25">
      <c r="A37" s="426"/>
      <c r="B37" s="426"/>
      <c r="C37" s="426"/>
      <c r="D37" s="417"/>
      <c r="E37" s="194"/>
      <c r="F37" s="194"/>
      <c r="G37" s="427"/>
      <c r="H37" s="427"/>
      <c r="I37" s="194"/>
      <c r="J37" s="194"/>
      <c r="K37" s="194"/>
      <c r="L37" s="194"/>
      <c r="M37" s="194"/>
      <c r="N37" s="194"/>
      <c r="O37" s="194"/>
      <c r="P37" s="194"/>
      <c r="Q37" s="194"/>
      <c r="R37" s="194"/>
      <c r="S37" s="194"/>
      <c r="T37" s="194"/>
      <c r="U37" s="194"/>
      <c r="V37" s="375"/>
      <c r="W37" s="375"/>
      <c r="X37" s="375"/>
      <c r="Y37" s="375"/>
      <c r="Z37" s="375"/>
      <c r="AA37" s="375"/>
      <c r="AB37" s="375"/>
      <c r="AC37" s="375"/>
      <c r="AD37" s="375"/>
      <c r="AE37" s="375"/>
      <c r="AF37" s="375"/>
      <c r="AG37" s="375"/>
      <c r="AH37" s="375"/>
      <c r="AI37" s="431"/>
      <c r="AJ37" s="375"/>
      <c r="AK37" s="375"/>
      <c r="AL37" s="432"/>
      <c r="AM37" s="432"/>
      <c r="AN37" s="433"/>
      <c r="AO37" s="435"/>
      <c r="AP37" s="434"/>
      <c r="AQ37" s="434"/>
      <c r="AR37" s="434"/>
      <c r="AS37" s="434"/>
      <c r="AT37" s="434"/>
      <c r="AU37" s="434"/>
      <c r="AV37" s="434"/>
      <c r="AW37" s="434"/>
      <c r="AX37" s="434"/>
      <c r="AY37" s="434"/>
      <c r="AZ37" s="434"/>
      <c r="BA37" s="436"/>
      <c r="BB37" s="463"/>
      <c r="BC37" s="375"/>
      <c r="BD37" s="464"/>
      <c r="BE37" s="436"/>
      <c r="BF37" s="375"/>
      <c r="BG37" s="431"/>
      <c r="BH37" s="431"/>
      <c r="BI37" s="437"/>
      <c r="BJ37" s="431"/>
      <c r="BK37" s="431"/>
      <c r="BL37" s="431"/>
      <c r="BM37" s="431"/>
      <c r="BN37" s="438"/>
      <c r="BO37" s="431"/>
      <c r="BP37" s="431"/>
      <c r="BQ37" s="439"/>
      <c r="BR37" s="439"/>
      <c r="BS37" s="439"/>
      <c r="BT37" s="431"/>
      <c r="BU37" s="437"/>
      <c r="BV37" s="437"/>
      <c r="BW37" s="439"/>
      <c r="BX37" s="431"/>
    </row>
    <row r="38" spans="1:82" s="378" customFormat="1" ht="13.2" x14ac:dyDescent="0.25">
      <c r="A38" s="426"/>
      <c r="B38" s="426"/>
      <c r="C38" s="426"/>
      <c r="D38" s="417"/>
      <c r="E38" s="194"/>
      <c r="F38" s="194"/>
      <c r="G38" s="427"/>
      <c r="H38" s="427"/>
      <c r="I38" s="194"/>
      <c r="J38" s="194"/>
      <c r="K38" s="194"/>
      <c r="L38" s="194"/>
      <c r="M38" s="194"/>
      <c r="N38" s="194"/>
      <c r="O38" s="194"/>
      <c r="P38" s="194"/>
      <c r="Q38" s="194"/>
      <c r="R38" s="194"/>
      <c r="S38" s="194"/>
      <c r="T38" s="194"/>
      <c r="U38" s="194"/>
      <c r="V38" s="375"/>
      <c r="W38" s="375"/>
      <c r="X38" s="375"/>
      <c r="Y38" s="375"/>
      <c r="Z38" s="375"/>
      <c r="AA38" s="375"/>
      <c r="AB38" s="375"/>
      <c r="AC38" s="375"/>
      <c r="AD38" s="375"/>
      <c r="AE38" s="375"/>
      <c r="AF38" s="375"/>
      <c r="AG38" s="375"/>
      <c r="AH38" s="375"/>
      <c r="AI38" s="431"/>
      <c r="AJ38" s="375"/>
      <c r="AK38" s="375"/>
      <c r="AL38" s="432"/>
      <c r="AM38" s="432"/>
      <c r="AN38" s="433"/>
      <c r="AO38" s="435"/>
      <c r="AP38" s="434"/>
      <c r="AQ38" s="434"/>
      <c r="AR38" s="434"/>
      <c r="AS38" s="434"/>
      <c r="AT38" s="434"/>
      <c r="AU38" s="434"/>
      <c r="AV38" s="434"/>
      <c r="AW38" s="434"/>
      <c r="AX38" s="434"/>
      <c r="AY38" s="434"/>
      <c r="AZ38" s="434"/>
      <c r="BA38" s="436"/>
      <c r="BB38" s="463"/>
      <c r="BC38" s="375"/>
      <c r="BD38" s="464"/>
      <c r="BE38" s="436"/>
      <c r="BF38" s="375"/>
      <c r="BG38" s="431"/>
      <c r="BH38" s="431"/>
      <c r="BI38" s="437"/>
      <c r="BJ38" s="431"/>
      <c r="BK38" s="431"/>
      <c r="BL38" s="431"/>
      <c r="BM38" s="431"/>
      <c r="BN38" s="438"/>
      <c r="BO38" s="431"/>
      <c r="BP38" s="431"/>
      <c r="BQ38" s="439"/>
      <c r="BR38" s="439"/>
      <c r="BS38" s="439"/>
      <c r="BT38" s="431"/>
      <c r="BU38" s="437"/>
      <c r="BV38" s="437"/>
      <c r="BW38" s="439"/>
      <c r="BX38" s="431"/>
    </row>
    <row r="39" spans="1:82" s="378" customFormat="1" ht="13.2" x14ac:dyDescent="0.25">
      <c r="A39" s="426"/>
      <c r="B39" s="426"/>
      <c r="C39" s="426"/>
      <c r="D39" s="417"/>
      <c r="E39" s="194"/>
      <c r="F39" s="194"/>
      <c r="G39" s="427"/>
      <c r="H39" s="427"/>
      <c r="I39" s="194"/>
      <c r="J39" s="194"/>
      <c r="K39" s="194"/>
      <c r="L39" s="194"/>
      <c r="M39" s="194"/>
      <c r="N39" s="194"/>
      <c r="O39" s="194"/>
      <c r="P39" s="194"/>
      <c r="Q39" s="194"/>
      <c r="R39" s="194"/>
      <c r="S39" s="194"/>
      <c r="T39" s="194"/>
      <c r="U39" s="194"/>
      <c r="V39" s="375"/>
      <c r="W39" s="375"/>
      <c r="X39" s="375"/>
      <c r="Y39" s="375"/>
      <c r="Z39" s="375"/>
      <c r="AA39" s="375"/>
      <c r="AB39" s="375"/>
      <c r="AC39" s="375"/>
      <c r="AD39" s="375"/>
      <c r="AE39" s="375"/>
      <c r="AF39" s="375"/>
      <c r="AG39" s="375"/>
      <c r="AH39" s="375"/>
      <c r="AI39" s="431"/>
      <c r="AJ39" s="375"/>
      <c r="AK39" s="375"/>
      <c r="AL39" s="432"/>
      <c r="AM39" s="432"/>
      <c r="AN39" s="433"/>
      <c r="AO39" s="435"/>
      <c r="AP39" s="434"/>
      <c r="AQ39" s="434"/>
      <c r="AR39" s="434"/>
      <c r="AS39" s="434"/>
      <c r="AT39" s="434"/>
      <c r="AU39" s="434"/>
      <c r="AV39" s="434"/>
      <c r="AW39" s="434"/>
      <c r="AX39" s="434"/>
      <c r="AY39" s="434"/>
      <c r="AZ39" s="434"/>
      <c r="BA39" s="436"/>
      <c r="BB39" s="463"/>
      <c r="BC39" s="375"/>
      <c r="BD39" s="464"/>
      <c r="BE39" s="436"/>
      <c r="BF39" s="375"/>
      <c r="BG39" s="431"/>
      <c r="BH39" s="431"/>
      <c r="BI39" s="437"/>
      <c r="BJ39" s="431"/>
      <c r="BK39" s="431"/>
      <c r="BL39" s="431"/>
      <c r="BM39" s="431"/>
      <c r="BN39" s="438"/>
      <c r="BO39" s="431"/>
      <c r="BP39" s="431"/>
      <c r="BQ39" s="439"/>
      <c r="BR39" s="439"/>
      <c r="BS39" s="439"/>
      <c r="BT39" s="431"/>
      <c r="BU39" s="437"/>
      <c r="BV39" s="437"/>
      <c r="BW39" s="439"/>
      <c r="BX39" s="431"/>
    </row>
    <row r="40" spans="1:82" s="378" customFormat="1" ht="13.2" x14ac:dyDescent="0.25">
      <c r="A40" s="426"/>
      <c r="B40" s="426"/>
      <c r="C40" s="426"/>
      <c r="D40" s="417"/>
      <c r="E40" s="194"/>
      <c r="F40" s="194"/>
      <c r="G40" s="427"/>
      <c r="H40" s="427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375"/>
      <c r="W40" s="375"/>
      <c r="X40" s="375"/>
      <c r="Y40" s="375"/>
      <c r="Z40" s="375"/>
      <c r="AA40" s="375"/>
      <c r="AB40" s="375"/>
      <c r="AC40" s="375"/>
      <c r="AD40" s="375"/>
      <c r="AE40" s="375"/>
      <c r="AF40" s="375"/>
      <c r="AG40" s="375"/>
      <c r="AH40" s="375"/>
      <c r="AI40" s="431"/>
      <c r="AJ40" s="375"/>
      <c r="AK40" s="375"/>
      <c r="AL40" s="432"/>
      <c r="AM40" s="432"/>
      <c r="AN40" s="433"/>
      <c r="AO40" s="435"/>
      <c r="AP40" s="434"/>
      <c r="AQ40" s="434"/>
      <c r="AR40" s="434"/>
      <c r="AS40" s="434"/>
      <c r="AT40" s="434"/>
      <c r="AU40" s="434"/>
      <c r="AV40" s="434"/>
      <c r="AW40" s="434"/>
      <c r="AX40" s="434"/>
      <c r="AY40" s="434"/>
      <c r="AZ40" s="434"/>
      <c r="BA40" s="436"/>
      <c r="BB40" s="463"/>
      <c r="BC40" s="375"/>
      <c r="BD40" s="464"/>
      <c r="BE40" s="436"/>
      <c r="BF40" s="375"/>
      <c r="BG40" s="431"/>
      <c r="BH40" s="431"/>
      <c r="BI40" s="437"/>
      <c r="BJ40" s="431"/>
      <c r="BK40" s="431"/>
      <c r="BL40" s="431"/>
      <c r="BM40" s="431"/>
      <c r="BN40" s="438"/>
      <c r="BO40" s="431"/>
      <c r="BP40" s="431"/>
      <c r="BQ40" s="439"/>
      <c r="BR40" s="439"/>
      <c r="BS40" s="439"/>
      <c r="BT40" s="431"/>
      <c r="BU40" s="437"/>
      <c r="BV40" s="437"/>
      <c r="BW40" s="439"/>
      <c r="BX40" s="431"/>
    </row>
    <row r="41" spans="1:82" s="378" customFormat="1" ht="13.2" x14ac:dyDescent="0.25">
      <c r="A41" s="426"/>
      <c r="B41" s="426"/>
      <c r="C41" s="426"/>
      <c r="D41" s="417"/>
      <c r="E41" s="194"/>
      <c r="F41" s="194"/>
      <c r="G41" s="427"/>
      <c r="H41" s="427"/>
      <c r="I41" s="194"/>
      <c r="J41" s="194"/>
      <c r="K41" s="194"/>
      <c r="L41" s="194"/>
      <c r="M41" s="194"/>
      <c r="N41" s="194"/>
      <c r="O41" s="194"/>
      <c r="P41" s="194"/>
      <c r="Q41" s="194"/>
      <c r="R41" s="194"/>
      <c r="S41" s="194"/>
      <c r="T41" s="194"/>
      <c r="U41" s="194"/>
      <c r="V41" s="375"/>
      <c r="W41" s="375"/>
      <c r="X41" s="375"/>
      <c r="Y41" s="375"/>
      <c r="Z41" s="375"/>
      <c r="AA41" s="375"/>
      <c r="AB41" s="375"/>
      <c r="AC41" s="375"/>
      <c r="AD41" s="375"/>
      <c r="AE41" s="375"/>
      <c r="AF41" s="375"/>
      <c r="AG41" s="375"/>
      <c r="AH41" s="375"/>
      <c r="AI41" s="431"/>
      <c r="AJ41" s="375"/>
      <c r="AK41" s="375"/>
      <c r="AL41" s="432"/>
      <c r="AM41" s="432"/>
      <c r="AN41" s="433"/>
      <c r="AO41" s="435"/>
      <c r="AP41" s="434"/>
      <c r="AQ41" s="434"/>
      <c r="AR41" s="434"/>
      <c r="AS41" s="434"/>
      <c r="AT41" s="434"/>
      <c r="AU41" s="434"/>
      <c r="AV41" s="434"/>
      <c r="AW41" s="434"/>
      <c r="AX41" s="434"/>
      <c r="AY41" s="434"/>
      <c r="AZ41" s="434"/>
      <c r="BA41" s="436"/>
      <c r="BB41" s="463"/>
      <c r="BC41" s="375"/>
      <c r="BD41" s="464"/>
      <c r="BE41" s="436"/>
      <c r="BF41" s="375"/>
      <c r="BG41" s="431"/>
      <c r="BH41" s="431"/>
      <c r="BI41" s="437"/>
      <c r="BJ41" s="431"/>
      <c r="BK41" s="431"/>
      <c r="BL41" s="431"/>
      <c r="BM41" s="431"/>
      <c r="BN41" s="438"/>
      <c r="BO41" s="431"/>
      <c r="BP41" s="431"/>
      <c r="BQ41" s="439"/>
      <c r="BR41" s="439"/>
      <c r="BS41" s="439"/>
      <c r="BT41" s="431"/>
      <c r="BU41" s="437"/>
      <c r="BV41" s="437"/>
      <c r="BW41" s="439"/>
      <c r="BX41" s="431"/>
    </row>
    <row r="42" spans="1:82" s="378" customFormat="1" ht="13.2" x14ac:dyDescent="0.25">
      <c r="A42" s="426"/>
      <c r="B42" s="426"/>
      <c r="C42" s="426"/>
      <c r="D42" s="417"/>
      <c r="E42" s="194"/>
      <c r="F42" s="194"/>
      <c r="G42" s="427"/>
      <c r="H42" s="427"/>
      <c r="I42" s="194"/>
      <c r="J42" s="194"/>
      <c r="K42" s="194"/>
      <c r="L42" s="194"/>
      <c r="M42" s="194"/>
      <c r="N42" s="194"/>
      <c r="O42" s="194"/>
      <c r="P42" s="194"/>
      <c r="Q42" s="194"/>
      <c r="R42" s="194"/>
      <c r="S42" s="194"/>
      <c r="T42" s="194"/>
      <c r="U42" s="194"/>
      <c r="V42" s="375"/>
      <c r="W42" s="375"/>
      <c r="X42" s="375"/>
      <c r="Y42" s="375"/>
      <c r="Z42" s="375"/>
      <c r="AA42" s="375"/>
      <c r="AB42" s="375"/>
      <c r="AC42" s="375"/>
      <c r="AD42" s="375"/>
      <c r="AE42" s="375"/>
      <c r="AF42" s="375"/>
      <c r="AG42" s="375"/>
      <c r="AH42" s="375"/>
      <c r="AI42" s="431"/>
      <c r="AJ42" s="375"/>
      <c r="AK42" s="375"/>
      <c r="AL42" s="432"/>
      <c r="AM42" s="432"/>
      <c r="AN42" s="433"/>
      <c r="AO42" s="435"/>
      <c r="AP42" s="434"/>
      <c r="AQ42" s="434"/>
      <c r="AR42" s="434"/>
      <c r="AS42" s="434"/>
      <c r="AT42" s="434"/>
      <c r="AU42" s="434"/>
      <c r="AV42" s="434"/>
      <c r="AW42" s="434"/>
      <c r="AX42" s="434"/>
      <c r="AY42" s="434"/>
      <c r="AZ42" s="434"/>
      <c r="BA42" s="436"/>
      <c r="BB42" s="463"/>
      <c r="BC42" s="375"/>
      <c r="BD42" s="464"/>
      <c r="BE42" s="436"/>
      <c r="BF42" s="375"/>
      <c r="BG42" s="431"/>
      <c r="BH42" s="431"/>
      <c r="BI42" s="437"/>
      <c r="BJ42" s="431"/>
      <c r="BK42" s="431"/>
      <c r="BL42" s="431"/>
      <c r="BM42" s="431"/>
      <c r="BN42" s="438"/>
      <c r="BO42" s="431"/>
      <c r="BP42" s="431"/>
      <c r="BQ42" s="439"/>
      <c r="BR42" s="439"/>
      <c r="BS42" s="439"/>
      <c r="BT42" s="431"/>
      <c r="BU42" s="437"/>
      <c r="BV42" s="437"/>
      <c r="BW42" s="439"/>
      <c r="BX42" s="431"/>
    </row>
    <row r="46" spans="1:82" s="426" customFormat="1" ht="15" customHeight="1" x14ac:dyDescent="0.25">
      <c r="D46" s="417"/>
      <c r="E46" s="194"/>
      <c r="F46" s="194"/>
      <c r="G46" s="427"/>
      <c r="H46" s="427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375"/>
      <c r="W46" s="375"/>
      <c r="X46" s="375"/>
      <c r="Y46" s="375"/>
      <c r="Z46" s="375"/>
      <c r="AA46" s="375"/>
      <c r="AB46" s="375"/>
      <c r="AC46" s="375"/>
      <c r="AD46" s="375"/>
      <c r="AE46" s="375"/>
      <c r="AF46" s="375"/>
      <c r="AG46" s="375"/>
      <c r="AH46" s="375"/>
      <c r="AI46" s="431"/>
      <c r="AJ46" s="375"/>
      <c r="AK46" s="375"/>
      <c r="AL46" s="432"/>
      <c r="AM46" s="432"/>
      <c r="AN46" s="433"/>
      <c r="AO46" s="434"/>
      <c r="AP46" s="434"/>
      <c r="AQ46" s="434"/>
      <c r="AR46" s="434"/>
      <c r="AS46" s="434"/>
      <c r="AT46" s="435"/>
      <c r="AU46" s="435"/>
      <c r="AV46" s="434"/>
      <c r="AW46" s="434"/>
      <c r="AX46" s="434"/>
      <c r="AY46" s="434"/>
      <c r="AZ46" s="434"/>
      <c r="BA46" s="434"/>
      <c r="BB46" s="434"/>
      <c r="BC46" s="434"/>
      <c r="BD46" s="434"/>
      <c r="BE46" s="434"/>
      <c r="BF46" s="434"/>
      <c r="BG46" s="436"/>
      <c r="BH46" s="463"/>
      <c r="BI46" s="375"/>
      <c r="BJ46" s="464"/>
      <c r="BK46" s="436"/>
      <c r="BL46" s="375"/>
      <c r="BM46" s="431"/>
      <c r="BN46" s="431"/>
      <c r="BO46" s="437"/>
      <c r="BP46" s="431"/>
      <c r="BQ46" s="431"/>
      <c r="BR46" s="431"/>
      <c r="BS46" s="431"/>
      <c r="BT46" s="431"/>
      <c r="BU46" s="437"/>
      <c r="BV46" s="437"/>
      <c r="BW46" s="431"/>
      <c r="BX46" s="438"/>
      <c r="BY46" s="431"/>
      <c r="BZ46" s="431"/>
      <c r="CA46" s="439"/>
      <c r="CB46" s="431"/>
      <c r="CC46" s="439"/>
      <c r="CD46" s="431"/>
    </row>
    <row r="48" spans="1:82" s="426" customFormat="1" ht="12.75" customHeight="1" x14ac:dyDescent="0.25">
      <c r="D48" s="417"/>
      <c r="E48" s="194"/>
      <c r="F48" s="194"/>
      <c r="G48" s="427"/>
      <c r="H48" s="427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375"/>
      <c r="W48" s="375"/>
      <c r="X48" s="375"/>
      <c r="Y48" s="375"/>
      <c r="Z48" s="375"/>
      <c r="AA48" s="375"/>
      <c r="AB48" s="375"/>
      <c r="AC48" s="375"/>
      <c r="AD48" s="375"/>
      <c r="AE48" s="375"/>
      <c r="AF48" s="375"/>
      <c r="AG48" s="375"/>
      <c r="AH48" s="375"/>
      <c r="AI48" s="431"/>
      <c r="AJ48" s="375"/>
      <c r="AK48" s="375"/>
      <c r="AL48" s="432"/>
      <c r="AM48" s="432"/>
      <c r="AN48" s="433"/>
      <c r="AO48" s="434"/>
      <c r="AP48" s="434"/>
      <c r="AQ48" s="434"/>
      <c r="AR48" s="434"/>
      <c r="AS48" s="434"/>
      <c r="AT48" s="435"/>
      <c r="AU48" s="435"/>
      <c r="AV48" s="434"/>
      <c r="AW48" s="434"/>
      <c r="AX48" s="434"/>
      <c r="AY48" s="434"/>
      <c r="AZ48" s="434"/>
      <c r="BA48" s="434"/>
      <c r="BB48" s="434"/>
      <c r="BC48" s="434"/>
      <c r="BD48" s="434"/>
      <c r="BE48" s="434"/>
      <c r="BF48" s="434"/>
      <c r="BG48" s="436"/>
      <c r="BH48" s="463"/>
      <c r="BI48" s="375"/>
      <c r="BJ48" s="464"/>
      <c r="BK48" s="436"/>
      <c r="BL48" s="375"/>
      <c r="BM48" s="431"/>
      <c r="BN48" s="431"/>
      <c r="BO48" s="437"/>
      <c r="BP48" s="431"/>
      <c r="BQ48" s="431"/>
      <c r="BR48" s="431"/>
      <c r="BS48" s="431"/>
      <c r="BT48" s="431"/>
      <c r="BU48" s="437"/>
      <c r="BV48" s="437"/>
      <c r="BW48" s="431"/>
      <c r="BX48" s="438"/>
      <c r="BY48" s="431"/>
      <c r="BZ48" s="431"/>
      <c r="CA48" s="439"/>
      <c r="CB48" s="431"/>
      <c r="CC48" s="439"/>
      <c r="CD48" s="431"/>
    </row>
  </sheetData>
  <protectedRanges>
    <protectedRange sqref="BX10:BX11" name="Nomina5_1_5"/>
    <protectedRange sqref="AF10:AI11" name="Nomina2_3_5"/>
  </protectedRanges>
  <mergeCells count="88">
    <mergeCell ref="M7:M8"/>
    <mergeCell ref="A2:CD2"/>
    <mergeCell ref="A3:CD3"/>
    <mergeCell ref="A4:CD4"/>
    <mergeCell ref="A7:A9"/>
    <mergeCell ref="B7:B9"/>
    <mergeCell ref="C7:C9"/>
    <mergeCell ref="D7:D9"/>
    <mergeCell ref="E7:E9"/>
    <mergeCell ref="F7:F9"/>
    <mergeCell ref="G7:G9"/>
    <mergeCell ref="H7:H8"/>
    <mergeCell ref="I7:I8"/>
    <mergeCell ref="J7:J8"/>
    <mergeCell ref="K7:K8"/>
    <mergeCell ref="L7:L8"/>
    <mergeCell ref="Z7:Z9"/>
    <mergeCell ref="N7:N8"/>
    <mergeCell ref="O7:O8"/>
    <mergeCell ref="P7:P9"/>
    <mergeCell ref="Q7:Q9"/>
    <mergeCell ref="R7:R8"/>
    <mergeCell ref="S7:S8"/>
    <mergeCell ref="T7:T8"/>
    <mergeCell ref="U7:U8"/>
    <mergeCell ref="V7:V8"/>
    <mergeCell ref="W7:W8"/>
    <mergeCell ref="Y7:Y8"/>
    <mergeCell ref="X7:X8"/>
    <mergeCell ref="BC7:BC9"/>
    <mergeCell ref="AM7:AM9"/>
    <mergeCell ref="AA7:AA9"/>
    <mergeCell ref="AB7:AB9"/>
    <mergeCell ref="AC7:AC9"/>
    <mergeCell ref="AE7:AE9"/>
    <mergeCell ref="AF7:AF9"/>
    <mergeCell ref="AG7:AG9"/>
    <mergeCell ref="AH7:AH9"/>
    <mergeCell ref="AI7:AI9"/>
    <mergeCell ref="AJ7:AJ9"/>
    <mergeCell ref="AK7:AK9"/>
    <mergeCell ref="AL7:AL9"/>
    <mergeCell ref="AX7:AX9"/>
    <mergeCell ref="AY7:AY9"/>
    <mergeCell ref="AZ7:AZ9"/>
    <mergeCell ref="BA7:BA9"/>
    <mergeCell ref="BB7:BB9"/>
    <mergeCell ref="AN7:AN9"/>
    <mergeCell ref="AT7:AT9"/>
    <mergeCell ref="AU7:AU9"/>
    <mergeCell ref="AV7:AV9"/>
    <mergeCell ref="AW7:AW9"/>
    <mergeCell ref="BM7:BM9"/>
    <mergeCell ref="BN7:BN9"/>
    <mergeCell ref="BO7:BO9"/>
    <mergeCell ref="BP7:BP9"/>
    <mergeCell ref="BD7:BD9"/>
    <mergeCell ref="BG7:BG9"/>
    <mergeCell ref="BH7:BH9"/>
    <mergeCell ref="BI7:BI9"/>
    <mergeCell ref="BJ7:BJ9"/>
    <mergeCell ref="BK7:BL8"/>
    <mergeCell ref="BD20:BP20"/>
    <mergeCell ref="CD7:CD9"/>
    <mergeCell ref="BR7:BR9"/>
    <mergeCell ref="BT7:BT9"/>
    <mergeCell ref="BU7:BU9"/>
    <mergeCell ref="BV7:BV9"/>
    <mergeCell ref="BW7:BW9"/>
    <mergeCell ref="BX7:BX9"/>
    <mergeCell ref="BY7:BY9"/>
    <mergeCell ref="BZ7:BZ9"/>
    <mergeCell ref="CA7:CA9"/>
    <mergeCell ref="CB7:CB9"/>
    <mergeCell ref="CC7:CC9"/>
    <mergeCell ref="BQ7:BQ9"/>
    <mergeCell ref="BE7:BE9"/>
    <mergeCell ref="BF7:BF9"/>
    <mergeCell ref="BG18:BM18"/>
    <mergeCell ref="E19:G19"/>
    <mergeCell ref="I19:M19"/>
    <mergeCell ref="V19:AJ19"/>
    <mergeCell ref="BG19:BM19"/>
    <mergeCell ref="E20:G20"/>
    <mergeCell ref="I20:M20"/>
    <mergeCell ref="U20:AK20"/>
    <mergeCell ref="E18:O18"/>
    <mergeCell ref="V18:AJ18"/>
  </mergeCells>
  <conditionalFormatting sqref="L10:L11">
    <cfRule type="cellIs" dxfId="2" priority="1" operator="equal">
      <formula>0</formula>
    </cfRule>
  </conditionalFormatting>
  <conditionalFormatting sqref="Q10:Q11">
    <cfRule type="cellIs" dxfId="1" priority="2" operator="equal">
      <formula>0</formula>
    </cfRule>
  </conditionalFormatting>
  <conditionalFormatting sqref="U10:U11">
    <cfRule type="cellIs" dxfId="0" priority="3" operator="equal">
      <formula>0</formula>
    </cfRule>
  </conditionalFormatting>
  <pageMargins left="0" right="0" top="2.1259842519685042" bottom="0.74803149606299213" header="0.31496062992125984" footer="0.31496062992125984"/>
  <pageSetup paperSize="5" scale="56" fitToHeight="0" orientation="landscape" horizontalDpi="120" verticalDpi="72" r:id="rId1"/>
  <rowBreaks count="1" manualBreakCount="1">
    <brk id="22" max="16383" man="1"/>
  </rowBreaks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18BB-1FF1-4170-9C0C-59ED9A7C7C14}">
  <sheetPr transitionEvaluation="1">
    <tabColor rgb="FFFFFF00"/>
    <pageSetUpPr fitToPage="1"/>
  </sheetPr>
  <dimension ref="A2:AI41"/>
  <sheetViews>
    <sheetView showGridLines="0" zoomScale="87" zoomScaleNormal="87" workbookViewId="0">
      <selection activeCell="O9" sqref="O9"/>
    </sheetView>
  </sheetViews>
  <sheetFormatPr baseColWidth="10" defaultColWidth="9.85546875" defaultRowHeight="14.4" x14ac:dyDescent="0.2"/>
  <cols>
    <col min="1" max="1" width="5.42578125" style="1" bestFit="1" customWidth="1"/>
    <col min="2" max="2" width="4.140625" style="1" hidden="1" customWidth="1"/>
    <col min="3" max="3" width="16.42578125" style="1" hidden="1" customWidth="1"/>
    <col min="4" max="4" width="28.28515625" style="1" customWidth="1"/>
    <col min="5" max="5" width="5.28515625" style="1" customWidth="1"/>
    <col min="6" max="6" width="6" style="5" bestFit="1" customWidth="1"/>
    <col min="7" max="7" width="23.28515625" style="5" hidden="1" customWidth="1"/>
    <col min="8" max="8" width="12.42578125" style="5" hidden="1" customWidth="1"/>
    <col min="9" max="9" width="12.42578125" style="575" hidden="1" customWidth="1"/>
    <col min="10" max="10" width="15.140625" style="1" customWidth="1"/>
    <col min="11" max="11" width="17.42578125" style="1" bestFit="1" customWidth="1"/>
    <col min="12" max="12" width="12.42578125" style="6" bestFit="1" customWidth="1"/>
    <col min="13" max="13" width="9" style="6" hidden="1" customWidth="1"/>
    <col min="14" max="14" width="12" style="6" hidden="1" customWidth="1"/>
    <col min="15" max="15" width="8.85546875" style="6" customWidth="1"/>
    <col min="16" max="16" width="15.42578125" style="1" customWidth="1"/>
    <col min="17" max="17" width="13.7109375" style="1" customWidth="1"/>
    <col min="18" max="18" width="14.28515625" style="1" customWidth="1"/>
    <col min="19" max="19" width="16.85546875" style="1" bestFit="1" customWidth="1"/>
    <col min="20" max="20" width="13.28515625" style="1" hidden="1" customWidth="1"/>
    <col min="21" max="21" width="12.42578125" style="1" customWidth="1"/>
    <col min="22" max="22" width="8.42578125" style="1" customWidth="1"/>
    <col min="23" max="23" width="10.42578125" style="1" customWidth="1"/>
    <col min="24" max="24" width="14.85546875" style="1" bestFit="1" customWidth="1"/>
    <col min="25" max="25" width="15.85546875" style="1" customWidth="1"/>
    <col min="26" max="26" width="13.42578125" style="1" customWidth="1"/>
    <col min="27" max="27" width="12.42578125" style="1" customWidth="1"/>
    <col min="28" max="28" width="17.85546875" style="1" customWidth="1"/>
    <col min="29" max="29" width="54" style="1" customWidth="1"/>
    <col min="30" max="30" width="13.140625" style="1" hidden="1" customWidth="1"/>
    <col min="31" max="31" width="17.140625" style="1" hidden="1" customWidth="1"/>
    <col min="32" max="32" width="38.85546875" style="1" customWidth="1"/>
    <col min="33" max="33" width="3.85546875" style="1" customWidth="1"/>
    <col min="34" max="34" width="8.85546875" style="1" customWidth="1"/>
    <col min="35" max="36" width="1.85546875" style="1" customWidth="1"/>
    <col min="37" max="37" width="13.85546875" style="1" customWidth="1"/>
    <col min="38" max="38" width="6.85546875" style="1" customWidth="1"/>
    <col min="39" max="39" width="5.85546875" style="1" customWidth="1"/>
    <col min="40" max="40" width="7.85546875" style="1" customWidth="1"/>
    <col min="41" max="41" width="1.85546875" style="1" customWidth="1"/>
    <col min="42" max="42" width="38.85546875" style="1" customWidth="1"/>
    <col min="43" max="43" width="3.85546875" style="1" customWidth="1"/>
    <col min="44" max="44" width="8.85546875" style="1" customWidth="1"/>
    <col min="45" max="45" width="1.85546875" style="1" customWidth="1"/>
    <col min="46" max="16384" width="9.85546875" style="1"/>
  </cols>
  <sheetData>
    <row r="2" spans="1:35" s="15" customFormat="1" ht="17.25" customHeight="1" x14ac:dyDescent="0.2">
      <c r="A2" s="1177" t="s">
        <v>321</v>
      </c>
      <c r="B2" s="1177"/>
      <c r="C2" s="1177"/>
      <c r="D2" s="1177"/>
      <c r="E2" s="1177"/>
      <c r="F2" s="1177"/>
      <c r="G2" s="1177"/>
      <c r="H2" s="1177"/>
      <c r="I2" s="1177"/>
      <c r="J2" s="1177"/>
      <c r="K2" s="1177"/>
      <c r="L2" s="1177"/>
      <c r="M2" s="1177"/>
      <c r="N2" s="1177"/>
      <c r="O2" s="1177"/>
      <c r="P2" s="1177"/>
      <c r="Q2" s="1177"/>
      <c r="R2" s="1177"/>
      <c r="S2" s="1177"/>
      <c r="T2" s="1177"/>
      <c r="U2" s="1177"/>
      <c r="V2" s="1177"/>
      <c r="W2" s="1177"/>
      <c r="X2" s="1177"/>
      <c r="Y2" s="1177"/>
      <c r="Z2" s="1177"/>
      <c r="AA2" s="1177"/>
      <c r="AB2" s="1177"/>
      <c r="AC2" s="1177"/>
      <c r="AD2" s="1177"/>
      <c r="AE2" s="1177"/>
    </row>
    <row r="3" spans="1:35" s="15" customFormat="1" ht="17.25" customHeight="1" x14ac:dyDescent="0.2">
      <c r="A3" s="1177" t="s">
        <v>322</v>
      </c>
      <c r="B3" s="1177"/>
      <c r="C3" s="1177"/>
      <c r="D3" s="1177"/>
      <c r="E3" s="1177"/>
      <c r="F3" s="1177"/>
      <c r="G3" s="1177"/>
      <c r="H3" s="1177"/>
      <c r="I3" s="1177"/>
      <c r="J3" s="1177"/>
      <c r="K3" s="1177"/>
      <c r="L3" s="1177"/>
      <c r="M3" s="1177"/>
      <c r="N3" s="1177"/>
      <c r="O3" s="1177"/>
      <c r="P3" s="1177"/>
      <c r="Q3" s="1177"/>
      <c r="R3" s="1177"/>
      <c r="S3" s="1177"/>
      <c r="T3" s="1177"/>
      <c r="U3" s="1177"/>
      <c r="V3" s="1177"/>
      <c r="W3" s="1177"/>
      <c r="X3" s="1177"/>
      <c r="Y3" s="1177"/>
      <c r="Z3" s="1177"/>
      <c r="AA3" s="1177"/>
      <c r="AB3" s="1177"/>
      <c r="AC3" s="1177"/>
      <c r="AD3" s="1177"/>
      <c r="AE3" s="1177"/>
    </row>
    <row r="4" spans="1:35" s="15" customFormat="1" ht="17.25" customHeight="1" x14ac:dyDescent="0.3">
      <c r="A4" s="1178" t="str">
        <f>+TECNICOS!A4</f>
        <v>QUINCENA DEL 16  AL 30  DE ABRIL - 2026</v>
      </c>
      <c r="B4" s="1178"/>
      <c r="C4" s="1178"/>
      <c r="D4" s="1178"/>
      <c r="E4" s="1178"/>
      <c r="F4" s="1178"/>
      <c r="G4" s="1178"/>
      <c r="H4" s="1178"/>
      <c r="I4" s="1178"/>
      <c r="J4" s="1178"/>
      <c r="K4" s="1178"/>
      <c r="L4" s="1178"/>
      <c r="M4" s="1178"/>
      <c r="N4" s="1178"/>
      <c r="O4" s="1178"/>
      <c r="P4" s="1178"/>
      <c r="Q4" s="1178"/>
      <c r="R4" s="1178"/>
      <c r="S4" s="1178"/>
      <c r="T4" s="1178"/>
      <c r="U4" s="1178"/>
      <c r="V4" s="1178"/>
      <c r="W4" s="1178"/>
      <c r="X4" s="1178"/>
      <c r="Y4" s="1178"/>
      <c r="Z4" s="1178"/>
      <c r="AA4" s="1178"/>
      <c r="AB4" s="1178"/>
      <c r="AC4" s="1178"/>
      <c r="AD4" s="1178"/>
      <c r="AE4" s="1178"/>
    </row>
    <row r="5" spans="1:35" s="15" customFormat="1" ht="18" customHeight="1" thickBot="1" x14ac:dyDescent="0.35">
      <c r="A5" s="74"/>
      <c r="B5" s="75"/>
      <c r="C5" s="74"/>
      <c r="D5" s="74"/>
      <c r="E5" s="74"/>
      <c r="F5" s="74"/>
      <c r="G5" s="74"/>
      <c r="H5" s="74"/>
      <c r="I5" s="590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26"/>
      <c r="AD5" s="26"/>
      <c r="AE5" s="26"/>
    </row>
    <row r="6" spans="1:35" s="11" customFormat="1" ht="15" customHeight="1" thickTop="1" thickBot="1" x14ac:dyDescent="0.25">
      <c r="A6" s="1143" t="s">
        <v>2</v>
      </c>
      <c r="B6" s="1143" t="s">
        <v>3</v>
      </c>
      <c r="C6" s="1143" t="s">
        <v>4</v>
      </c>
      <c r="D6" s="1143" t="s">
        <v>6</v>
      </c>
      <c r="E6" s="1179" t="s">
        <v>187</v>
      </c>
      <c r="F6" s="1143" t="s">
        <v>7</v>
      </c>
      <c r="G6" s="1144" t="s">
        <v>126</v>
      </c>
      <c r="H6" s="1182" t="s">
        <v>125</v>
      </c>
      <c r="I6" s="1511" t="s">
        <v>82</v>
      </c>
      <c r="J6" s="1143" t="s">
        <v>8</v>
      </c>
      <c r="K6" s="1151" t="s">
        <v>9</v>
      </c>
      <c r="L6" s="1151"/>
      <c r="M6" s="1151"/>
      <c r="N6" s="1151"/>
      <c r="O6" s="1151"/>
      <c r="P6" s="1151"/>
      <c r="Q6" s="351"/>
      <c r="R6" s="351"/>
      <c r="S6" s="1143" t="s">
        <v>10</v>
      </c>
      <c r="T6" s="1143"/>
      <c r="U6" s="1143"/>
      <c r="V6" s="1143"/>
      <c r="W6" s="1143"/>
      <c r="X6" s="1143"/>
      <c r="Y6" s="1335" t="s">
        <v>29</v>
      </c>
      <c r="Z6" s="1143" t="s">
        <v>31</v>
      </c>
      <c r="AA6" s="1157" t="s">
        <v>99</v>
      </c>
      <c r="AB6" s="1143" t="s">
        <v>11</v>
      </c>
      <c r="AC6" s="1173" t="s">
        <v>12</v>
      </c>
      <c r="AD6" s="1143"/>
      <c r="AE6" s="1143"/>
    </row>
    <row r="7" spans="1:35" s="13" customFormat="1" ht="21.75" customHeight="1" thickTop="1" thickBot="1" x14ac:dyDescent="0.25">
      <c r="A7" s="1143"/>
      <c r="B7" s="1143"/>
      <c r="C7" s="1143"/>
      <c r="D7" s="1143"/>
      <c r="E7" s="1180"/>
      <c r="F7" s="1143"/>
      <c r="G7" s="1144"/>
      <c r="H7" s="1182"/>
      <c r="I7" s="1512"/>
      <c r="J7" s="1143"/>
      <c r="K7" s="1143" t="s">
        <v>177</v>
      </c>
      <c r="L7" s="1155" t="s">
        <v>16</v>
      </c>
      <c r="M7" s="1168" t="s">
        <v>196</v>
      </c>
      <c r="N7" s="1168" t="s">
        <v>197</v>
      </c>
      <c r="O7" s="1333" t="s">
        <v>195</v>
      </c>
      <c r="P7" s="1143" t="s">
        <v>200</v>
      </c>
      <c r="Q7" s="1335" t="s">
        <v>199</v>
      </c>
      <c r="R7" s="1335" t="s">
        <v>53</v>
      </c>
      <c r="S7" s="1143" t="s">
        <v>29</v>
      </c>
      <c r="T7" s="1335"/>
      <c r="U7" s="1335" t="s">
        <v>3</v>
      </c>
      <c r="V7" s="1143" t="s">
        <v>19</v>
      </c>
      <c r="W7" s="1143" t="s">
        <v>94</v>
      </c>
      <c r="X7" s="1143" t="s">
        <v>20</v>
      </c>
      <c r="Y7" s="1337"/>
      <c r="Z7" s="1143"/>
      <c r="AA7" s="1157"/>
      <c r="AB7" s="1143"/>
      <c r="AC7" s="1173"/>
      <c r="AD7" s="1143"/>
      <c r="AE7" s="1143"/>
      <c r="AF7" s="12"/>
      <c r="AG7" s="12"/>
      <c r="AH7" s="12"/>
      <c r="AI7" s="12"/>
    </row>
    <row r="8" spans="1:35" s="13" customFormat="1" ht="43.65" customHeight="1" thickTop="1" thickBot="1" x14ac:dyDescent="0.25">
      <c r="A8" s="1143"/>
      <c r="B8" s="1143"/>
      <c r="C8" s="1143"/>
      <c r="D8" s="1143"/>
      <c r="E8" s="1181"/>
      <c r="F8" s="1143"/>
      <c r="G8" s="1144"/>
      <c r="H8" s="1182"/>
      <c r="I8" s="1513"/>
      <c r="J8" s="1143"/>
      <c r="K8" s="1143"/>
      <c r="L8" s="1155"/>
      <c r="M8" s="1169"/>
      <c r="N8" s="1169"/>
      <c r="O8" s="1334"/>
      <c r="P8" s="1143"/>
      <c r="Q8" s="1336"/>
      <c r="R8" s="1336"/>
      <c r="S8" s="1143"/>
      <c r="T8" s="1336"/>
      <c r="U8" s="1336"/>
      <c r="V8" s="1143"/>
      <c r="W8" s="1143"/>
      <c r="X8" s="1143"/>
      <c r="Y8" s="1336"/>
      <c r="Z8" s="1143"/>
      <c r="AA8" s="1157"/>
      <c r="AB8" s="1143"/>
      <c r="AC8" s="1173"/>
      <c r="AD8" s="1143"/>
      <c r="AE8" s="1143"/>
    </row>
    <row r="9" spans="1:35" s="326" customFormat="1" ht="85.2" customHeight="1" thickTop="1" thickBot="1" x14ac:dyDescent="0.25">
      <c r="A9" s="319">
        <v>1</v>
      </c>
      <c r="B9" s="320">
        <v>1</v>
      </c>
      <c r="C9" s="334"/>
      <c r="D9" s="633" t="s">
        <v>274</v>
      </c>
      <c r="E9" s="211" t="s">
        <v>32</v>
      </c>
      <c r="F9" s="352" t="s">
        <v>264</v>
      </c>
      <c r="G9" s="78"/>
      <c r="H9" s="79"/>
      <c r="I9" s="567">
        <v>202</v>
      </c>
      <c r="J9" s="583">
        <v>8250</v>
      </c>
      <c r="K9" s="583">
        <f>(J9/30)*L9</f>
        <v>0</v>
      </c>
      <c r="L9" s="628">
        <v>0</v>
      </c>
      <c r="M9" s="328">
        <f>+N9*O9</f>
        <v>0</v>
      </c>
      <c r="N9" s="584">
        <f>I9*60%</f>
        <v>121.19999999999999</v>
      </c>
      <c r="O9" s="328">
        <v>0</v>
      </c>
      <c r="P9" s="585">
        <f>+K9-Q9-R9</f>
        <v>0</v>
      </c>
      <c r="Q9" s="585">
        <f>+K9/12</f>
        <v>0</v>
      </c>
      <c r="R9" s="585">
        <f>+Q9</f>
        <v>0</v>
      </c>
      <c r="S9" s="583">
        <f>+R9+P9+Q9</f>
        <v>0</v>
      </c>
      <c r="T9" s="321">
        <f>P9+Q9</f>
        <v>0</v>
      </c>
      <c r="U9" s="321"/>
      <c r="V9" s="321"/>
      <c r="W9" s="321"/>
      <c r="X9" s="324">
        <f>U9</f>
        <v>0</v>
      </c>
      <c r="Y9" s="585">
        <f>-X9+P9+Q9+R9</f>
        <v>0</v>
      </c>
      <c r="Z9" s="324">
        <v>0</v>
      </c>
      <c r="AA9" s="324">
        <v>0</v>
      </c>
      <c r="AB9" s="355">
        <f>Y9+Z9-AA9</f>
        <v>0</v>
      </c>
      <c r="AC9" s="325"/>
      <c r="AD9" s="325">
        <v>0.155</v>
      </c>
      <c r="AE9" s="325">
        <f>S9-R9</f>
        <v>0</v>
      </c>
    </row>
    <row r="10" spans="1:35" s="7" customFormat="1" ht="75" customHeight="1" thickTop="1" thickBot="1" x14ac:dyDescent="0.25">
      <c r="A10" s="1162" t="s">
        <v>95</v>
      </c>
      <c r="B10" s="1163"/>
      <c r="C10" s="1163"/>
      <c r="D10" s="1164"/>
      <c r="E10" s="211"/>
      <c r="F10" s="210"/>
      <c r="G10" s="85" t="e">
        <f>SUM(#REF!)</f>
        <v>#REF!</v>
      </c>
      <c r="H10" s="85"/>
      <c r="I10" s="591" t="e">
        <f>SUM(#REF!)</f>
        <v>#REF!</v>
      </c>
      <c r="J10" s="86">
        <f t="shared" ref="J10:AB10" si="0">SUM(J9:J9)</f>
        <v>8250</v>
      </c>
      <c r="K10" s="86">
        <f t="shared" si="0"/>
        <v>0</v>
      </c>
      <c r="L10" s="86">
        <f t="shared" si="0"/>
        <v>0</v>
      </c>
      <c r="M10" s="86">
        <f t="shared" si="0"/>
        <v>0</v>
      </c>
      <c r="N10" s="86">
        <f t="shared" si="0"/>
        <v>121.19999999999999</v>
      </c>
      <c r="O10" s="86">
        <f t="shared" si="0"/>
        <v>0</v>
      </c>
      <c r="P10" s="86">
        <f t="shared" si="0"/>
        <v>0</v>
      </c>
      <c r="Q10" s="86">
        <f t="shared" si="0"/>
        <v>0</v>
      </c>
      <c r="R10" s="86">
        <f t="shared" si="0"/>
        <v>0</v>
      </c>
      <c r="S10" s="86">
        <f t="shared" si="0"/>
        <v>0</v>
      </c>
      <c r="T10" s="86">
        <f t="shared" si="0"/>
        <v>0</v>
      </c>
      <c r="U10" s="86">
        <f t="shared" si="0"/>
        <v>0</v>
      </c>
      <c r="V10" s="86">
        <f t="shared" si="0"/>
        <v>0</v>
      </c>
      <c r="W10" s="86">
        <f t="shared" si="0"/>
        <v>0</v>
      </c>
      <c r="X10" s="86">
        <f t="shared" si="0"/>
        <v>0</v>
      </c>
      <c r="Y10" s="86">
        <f t="shared" si="0"/>
        <v>0</v>
      </c>
      <c r="Z10" s="86">
        <f t="shared" si="0"/>
        <v>0</v>
      </c>
      <c r="AA10" s="86">
        <f t="shared" si="0"/>
        <v>0</v>
      </c>
      <c r="AB10" s="163">
        <f t="shared" si="0"/>
        <v>0</v>
      </c>
      <c r="AC10" s="87" t="s">
        <v>105</v>
      </c>
      <c r="AD10" s="86" t="e">
        <f>SUM(#REF!)</f>
        <v>#REF!</v>
      </c>
      <c r="AE10" s="86" t="e">
        <f>SUM(#REF!)</f>
        <v>#REF!</v>
      </c>
    </row>
    <row r="11" spans="1:35" s="14" customFormat="1" ht="19.5" customHeight="1" thickTop="1" x14ac:dyDescent="0.2">
      <c r="A11" s="27"/>
      <c r="B11" s="27"/>
      <c r="C11" s="27"/>
      <c r="D11" s="27"/>
      <c r="E11" s="27"/>
      <c r="F11" s="28"/>
      <c r="G11" s="28"/>
      <c r="H11" s="28"/>
      <c r="I11" s="568"/>
      <c r="J11" s="27"/>
      <c r="K11" s="27"/>
      <c r="L11" s="29"/>
      <c r="M11" s="29"/>
      <c r="N11" s="29"/>
      <c r="O11" s="29"/>
      <c r="P11" s="27" t="s">
        <v>5</v>
      </c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</row>
    <row r="12" spans="1:35" s="14" customFormat="1" ht="19.5" customHeight="1" x14ac:dyDescent="0.2">
      <c r="A12" s="27"/>
      <c r="B12" s="27"/>
      <c r="C12" s="27"/>
      <c r="D12" s="27"/>
      <c r="E12" s="27"/>
      <c r="F12" s="28"/>
      <c r="G12" s="28"/>
      <c r="H12" s="28"/>
      <c r="I12" s="568"/>
      <c r="J12" s="27"/>
      <c r="K12" s="27"/>
      <c r="L12" s="29"/>
      <c r="M12" s="29"/>
      <c r="N12" s="29"/>
      <c r="O12" s="29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</row>
    <row r="13" spans="1:35" s="14" customFormat="1" ht="19.5" customHeight="1" x14ac:dyDescent="0.2">
      <c r="A13" s="27"/>
      <c r="B13" s="27"/>
      <c r="C13" s="27"/>
      <c r="D13" s="27"/>
      <c r="E13" s="27"/>
      <c r="F13" s="28"/>
      <c r="G13" s="28"/>
      <c r="H13" s="28"/>
      <c r="I13" s="568"/>
      <c r="J13" s="27"/>
      <c r="K13" s="27"/>
      <c r="L13" s="29"/>
      <c r="M13" s="29"/>
      <c r="N13" s="29"/>
      <c r="O13" s="29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</row>
    <row r="14" spans="1:35" s="14" customFormat="1" ht="19.5" customHeight="1" x14ac:dyDescent="0.2">
      <c r="A14" s="27"/>
      <c r="B14" s="27"/>
      <c r="C14" s="27"/>
      <c r="D14" s="27"/>
      <c r="E14" s="27"/>
      <c r="F14" s="28"/>
      <c r="G14" s="28"/>
      <c r="H14" s="28"/>
      <c r="I14" s="569"/>
      <c r="J14" s="338"/>
      <c r="K14" s="27"/>
      <c r="L14" s="29"/>
      <c r="M14" s="29"/>
      <c r="N14" s="29"/>
      <c r="O14" s="29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</row>
    <row r="15" spans="1:35" s="11" customFormat="1" x14ac:dyDescent="0.2">
      <c r="A15" s="27"/>
      <c r="B15" s="27"/>
      <c r="C15" s="27"/>
      <c r="D15" s="27"/>
      <c r="E15" s="27"/>
      <c r="F15" s="28"/>
      <c r="G15" s="28"/>
      <c r="H15" s="28"/>
      <c r="I15" s="568"/>
      <c r="J15" s="27"/>
      <c r="K15" s="27"/>
      <c r="L15" s="29"/>
      <c r="M15" s="29"/>
      <c r="N15" s="29"/>
      <c r="O15" s="29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</row>
    <row r="16" spans="1:35" s="11" customFormat="1" x14ac:dyDescent="0.2">
      <c r="A16" s="30"/>
      <c r="B16" s="27"/>
      <c r="C16" s="30"/>
      <c r="D16" s="27"/>
      <c r="E16" s="27"/>
      <c r="F16" s="28"/>
      <c r="G16" s="28"/>
      <c r="H16" s="28"/>
      <c r="I16" s="568"/>
      <c r="J16" s="27"/>
      <c r="K16" s="27"/>
      <c r="L16" s="29"/>
      <c r="M16" s="29"/>
      <c r="N16" s="29"/>
      <c r="O16" s="29"/>
      <c r="P16" s="30"/>
      <c r="Q16" s="30"/>
      <c r="R16" s="30"/>
      <c r="S16" s="27"/>
      <c r="T16" s="27"/>
      <c r="U16" s="27"/>
      <c r="V16" s="27"/>
      <c r="W16" s="31"/>
      <c r="X16" s="27"/>
      <c r="Y16" s="27"/>
      <c r="Z16" s="27"/>
      <c r="AA16" s="27"/>
      <c r="AB16" s="30"/>
      <c r="AC16" s="27"/>
      <c r="AD16" s="27"/>
      <c r="AE16" s="27"/>
    </row>
    <row r="17" spans="1:31" s="11" customFormat="1" x14ac:dyDescent="0.2">
      <c r="A17" s="30"/>
      <c r="B17" s="27"/>
      <c r="C17" s="30"/>
      <c r="D17" s="27"/>
      <c r="E17" s="27"/>
      <c r="F17" s="28"/>
      <c r="G17" s="28"/>
      <c r="H17" s="28"/>
      <c r="I17" s="568"/>
      <c r="J17" s="27"/>
      <c r="K17" s="27"/>
      <c r="L17" s="29"/>
      <c r="M17" s="29"/>
      <c r="N17" s="29"/>
      <c r="O17" s="29"/>
      <c r="P17" s="30"/>
      <c r="Q17" s="30"/>
      <c r="R17" s="30"/>
      <c r="S17" s="27"/>
      <c r="T17" s="27"/>
      <c r="U17" s="27"/>
      <c r="V17" s="27"/>
      <c r="W17" s="32"/>
      <c r="X17" s="27"/>
      <c r="Y17" s="27"/>
      <c r="Z17" s="27"/>
      <c r="AA17" s="27"/>
      <c r="AB17" s="30"/>
      <c r="AC17" s="27"/>
      <c r="AD17" s="27"/>
      <c r="AE17" s="27"/>
    </row>
    <row r="18" spans="1:31" s="11" customFormat="1" x14ac:dyDescent="0.2">
      <c r="A18" s="30"/>
      <c r="B18" s="27"/>
      <c r="C18" s="1165"/>
      <c r="D18" s="1165"/>
      <c r="E18" s="1165"/>
      <c r="F18" s="1165"/>
      <c r="G18" s="49"/>
      <c r="H18" s="49"/>
      <c r="I18" s="570"/>
      <c r="J18" s="27"/>
      <c r="K18" s="27"/>
      <c r="L18" s="538"/>
      <c r="M18" s="538"/>
      <c r="N18" s="538"/>
      <c r="O18" s="538"/>
      <c r="P18" s="538"/>
      <c r="Q18" s="536"/>
      <c r="R18" s="536"/>
      <c r="S18" s="536"/>
      <c r="T18" s="536"/>
      <c r="U18" s="536"/>
      <c r="V18" s="538"/>
      <c r="W18" s="538"/>
      <c r="X18" s="538"/>
      <c r="Y18" s="29"/>
      <c r="Z18" s="27"/>
      <c r="AA18" s="27"/>
      <c r="AB18" s="1165"/>
      <c r="AC18" s="1165"/>
      <c r="AD18" s="1165"/>
      <c r="AE18" s="1165"/>
    </row>
    <row r="19" spans="1:31" s="11" customFormat="1" ht="13.5" customHeight="1" x14ac:dyDescent="0.2">
      <c r="A19" s="27"/>
      <c r="B19" s="27"/>
      <c r="C19" s="1167" t="s">
        <v>23</v>
      </c>
      <c r="D19" s="1167"/>
      <c r="E19" s="1167"/>
      <c r="F19" s="1167"/>
      <c r="G19" s="52"/>
      <c r="H19" s="52"/>
      <c r="I19" s="571"/>
      <c r="J19" s="27"/>
      <c r="K19" s="27"/>
      <c r="L19" s="1160" t="s">
        <v>24</v>
      </c>
      <c r="M19" s="1160"/>
      <c r="N19" s="1160"/>
      <c r="O19" s="1160"/>
      <c r="P19" s="1160"/>
      <c r="Q19" s="1160"/>
      <c r="R19" s="1160"/>
      <c r="S19" s="1160"/>
      <c r="T19" s="1160"/>
      <c r="U19" s="1160"/>
      <c r="V19" s="1160"/>
      <c r="W19" s="1160"/>
      <c r="X19" s="1160"/>
      <c r="Y19" s="52"/>
      <c r="Z19" s="27"/>
      <c r="AA19" s="27"/>
      <c r="AB19" s="1167" t="s">
        <v>25</v>
      </c>
      <c r="AC19" s="1167"/>
      <c r="AD19" s="1167"/>
      <c r="AE19" s="1167"/>
    </row>
    <row r="20" spans="1:31" s="11" customFormat="1" x14ac:dyDescent="0.2">
      <c r="A20" s="30"/>
      <c r="B20" s="27"/>
      <c r="C20" s="1159" t="str">
        <f>+'ADMON COM. '!C50:F50</f>
        <v>Jose Martin Conrrado</v>
      </c>
      <c r="D20" s="1159"/>
      <c r="E20" s="1159"/>
      <c r="F20" s="1159"/>
      <c r="G20" s="48"/>
      <c r="H20" s="48"/>
      <c r="I20" s="572"/>
      <c r="J20" s="27"/>
      <c r="K20" s="30"/>
      <c r="L20" s="1159" t="s">
        <v>271</v>
      </c>
      <c r="M20" s="1159"/>
      <c r="N20" s="1159"/>
      <c r="O20" s="1159"/>
      <c r="P20" s="1159"/>
      <c r="Q20" s="1159"/>
      <c r="R20" s="1159"/>
      <c r="S20" s="1159"/>
      <c r="T20" s="1159"/>
      <c r="U20" s="1159"/>
      <c r="V20" s="1159"/>
      <c r="W20" s="1159"/>
      <c r="X20" s="1159"/>
      <c r="Y20" s="48"/>
      <c r="Z20" s="33"/>
      <c r="AA20" s="33"/>
      <c r="AB20" s="1160" t="s">
        <v>27</v>
      </c>
      <c r="AC20" s="1160"/>
      <c r="AD20" s="1160"/>
      <c r="AE20" s="1160"/>
    </row>
    <row r="21" spans="1:31" s="11" customFormat="1" x14ac:dyDescent="0.2">
      <c r="A21" s="8"/>
      <c r="B21" s="8"/>
      <c r="C21" s="1161"/>
      <c r="D21" s="1161"/>
      <c r="E21" s="25"/>
      <c r="F21" s="25"/>
      <c r="G21" s="25"/>
      <c r="H21" s="25"/>
      <c r="I21" s="573"/>
      <c r="J21" s="8"/>
      <c r="K21" s="8"/>
      <c r="L21" s="9"/>
      <c r="M21" s="9"/>
      <c r="N21" s="9"/>
      <c r="O21" s="9"/>
      <c r="P21" s="1161"/>
      <c r="Q21" s="1161"/>
      <c r="R21" s="1161"/>
      <c r="S21" s="1161"/>
      <c r="T21" s="1161"/>
      <c r="U21" s="1161"/>
      <c r="V21" s="1161"/>
      <c r="W21" s="25"/>
      <c r="X21" s="25"/>
      <c r="Y21" s="25"/>
      <c r="Z21" s="25"/>
      <c r="AA21" s="25"/>
      <c r="AB21" s="8"/>
      <c r="AC21" s="8"/>
      <c r="AD21" s="8"/>
      <c r="AE21" s="8"/>
    </row>
    <row r="22" spans="1:31" x14ac:dyDescent="0.2">
      <c r="A22" s="3"/>
      <c r="B22" s="3"/>
      <c r="C22" s="3"/>
      <c r="D22" s="3"/>
      <c r="E22" s="3"/>
      <c r="F22" s="4"/>
      <c r="G22" s="4"/>
      <c r="H22" s="4"/>
      <c r="I22" s="574"/>
      <c r="J22" s="3"/>
      <c r="K22" s="3"/>
      <c r="L22" s="2"/>
      <c r="M22" s="2"/>
      <c r="N22" s="2"/>
      <c r="O22" s="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">
      <c r="A23" s="3"/>
      <c r="B23" s="3"/>
      <c r="C23" s="3"/>
      <c r="D23" s="3"/>
      <c r="E23" s="3"/>
      <c r="F23" s="4"/>
      <c r="G23" s="4"/>
      <c r="H23" s="4"/>
      <c r="I23" s="574"/>
      <c r="J23" s="3"/>
      <c r="K23" s="3"/>
      <c r="L23" s="2"/>
      <c r="M23" s="2"/>
      <c r="N23" s="2"/>
      <c r="O23" s="2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31" x14ac:dyDescent="0.2">
      <c r="A24" s="3"/>
      <c r="B24" s="3"/>
      <c r="C24" s="3"/>
      <c r="D24" s="3"/>
      <c r="E24" s="3"/>
      <c r="F24" s="4"/>
      <c r="G24" s="4"/>
      <c r="H24" s="4"/>
      <c r="I24" s="574"/>
      <c r="J24" s="3"/>
      <c r="K24" s="3"/>
      <c r="L24" s="2"/>
      <c r="M24" s="2"/>
      <c r="N24" s="2"/>
      <c r="O24" s="2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2">
      <c r="A25" s="3"/>
      <c r="B25" s="3"/>
      <c r="C25" s="3"/>
      <c r="D25" s="3"/>
      <c r="E25" s="3"/>
      <c r="F25" s="4"/>
      <c r="G25" s="4"/>
      <c r="H25" s="4"/>
      <c r="I25" s="574"/>
      <c r="J25" s="3"/>
      <c r="K25" s="3"/>
      <c r="L25" s="2"/>
      <c r="M25" s="2"/>
      <c r="N25" s="2"/>
      <c r="O25" s="2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2">
      <c r="A26" s="3"/>
      <c r="B26" s="3"/>
      <c r="C26" s="3"/>
      <c r="D26" s="3"/>
      <c r="E26" s="3"/>
      <c r="F26" s="4"/>
      <c r="G26" s="4"/>
      <c r="H26" s="4"/>
      <c r="I26" s="574"/>
      <c r="J26" s="3"/>
      <c r="K26" s="3"/>
      <c r="L26" s="2"/>
      <c r="M26" s="2"/>
      <c r="N26" s="2"/>
      <c r="O26" s="2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spans="1:31" x14ac:dyDescent="0.2">
      <c r="A27" s="3"/>
      <c r="B27" s="3"/>
      <c r="C27" s="3"/>
      <c r="D27" s="3"/>
      <c r="E27" s="3"/>
      <c r="F27" s="4"/>
      <c r="G27" s="4"/>
      <c r="H27" s="4"/>
      <c r="I27" s="574"/>
      <c r="J27" s="3"/>
      <c r="K27" s="3"/>
      <c r="L27" s="2"/>
      <c r="M27" s="2"/>
      <c r="N27" s="2"/>
      <c r="O27" s="2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38" spans="1:31" x14ac:dyDescent="0.2">
      <c r="A38" s="3"/>
      <c r="B38" s="3"/>
      <c r="C38" s="3"/>
      <c r="D38" s="3"/>
      <c r="E38" s="3"/>
      <c r="F38" s="4"/>
      <c r="G38" s="4"/>
      <c r="H38" s="4"/>
      <c r="I38" s="574"/>
      <c r="J38" s="3"/>
      <c r="K38" s="3"/>
      <c r="L38" s="2"/>
      <c r="M38" s="2"/>
      <c r="N38" s="2"/>
      <c r="O38" s="2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x14ac:dyDescent="0.2">
      <c r="A39" s="3"/>
      <c r="B39" s="3"/>
      <c r="C39" s="3"/>
      <c r="D39" s="3"/>
      <c r="E39" s="3"/>
      <c r="F39" s="4"/>
      <c r="G39" s="4"/>
      <c r="H39" s="4"/>
      <c r="I39" s="574"/>
      <c r="J39" s="3"/>
      <c r="K39" s="3"/>
      <c r="L39" s="2"/>
      <c r="M39" s="2"/>
      <c r="N39" s="2"/>
      <c r="O39" s="2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31" x14ac:dyDescent="0.2">
      <c r="A40" s="3"/>
      <c r="B40" s="3"/>
      <c r="C40" s="3"/>
      <c r="D40" s="3"/>
      <c r="E40" s="3"/>
      <c r="F40" s="4"/>
      <c r="G40" s="4"/>
      <c r="H40" s="4"/>
      <c r="I40" s="574"/>
      <c r="J40" s="3"/>
      <c r="K40" s="3"/>
      <c r="L40" s="2"/>
      <c r="M40" s="2"/>
      <c r="N40" s="2"/>
      <c r="O40" s="2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1:31" x14ac:dyDescent="0.2">
      <c r="A41" s="3"/>
      <c r="B41" s="3"/>
      <c r="C41" s="3"/>
      <c r="D41" s="3"/>
      <c r="E41" s="3"/>
      <c r="F41" s="4"/>
      <c r="G41" s="4"/>
      <c r="H41" s="4"/>
      <c r="I41" s="574"/>
      <c r="J41" s="3"/>
      <c r="K41" s="3"/>
      <c r="L41" s="2"/>
      <c r="M41" s="2"/>
      <c r="N41" s="2"/>
      <c r="O41" s="2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</sheetData>
  <mergeCells count="47">
    <mergeCell ref="A2:AE2"/>
    <mergeCell ref="A3:AE3"/>
    <mergeCell ref="A4:AE4"/>
    <mergeCell ref="A6:A8"/>
    <mergeCell ref="B6:B8"/>
    <mergeCell ref="C6:C8"/>
    <mergeCell ref="D6:D8"/>
    <mergeCell ref="E6:E8"/>
    <mergeCell ref="F6:F8"/>
    <mergeCell ref="G6:G8"/>
    <mergeCell ref="AE6:AE8"/>
    <mergeCell ref="H6:H8"/>
    <mergeCell ref="I6:I8"/>
    <mergeCell ref="J6:J8"/>
    <mergeCell ref="K6:P6"/>
    <mergeCell ref="S6:X6"/>
    <mergeCell ref="Y6:Y8"/>
    <mergeCell ref="K7:K8"/>
    <mergeCell ref="L7:L8"/>
    <mergeCell ref="M7:M8"/>
    <mergeCell ref="N7:N8"/>
    <mergeCell ref="U7:U8"/>
    <mergeCell ref="V7:V8"/>
    <mergeCell ref="W7:W8"/>
    <mergeCell ref="X7:X8"/>
    <mergeCell ref="S7:S8"/>
    <mergeCell ref="T7:T8"/>
    <mergeCell ref="Z6:Z8"/>
    <mergeCell ref="AA6:AA8"/>
    <mergeCell ref="AB6:AB8"/>
    <mergeCell ref="AC6:AC8"/>
    <mergeCell ref="AD6:AD8"/>
    <mergeCell ref="A10:D10"/>
    <mergeCell ref="O7:O8"/>
    <mergeCell ref="P7:P8"/>
    <mergeCell ref="Q7:Q8"/>
    <mergeCell ref="R7:R8"/>
    <mergeCell ref="C21:D21"/>
    <mergeCell ref="P21:V21"/>
    <mergeCell ref="AB18:AE18"/>
    <mergeCell ref="C19:F19"/>
    <mergeCell ref="L19:X19"/>
    <mergeCell ref="AB19:AE19"/>
    <mergeCell ref="C20:F20"/>
    <mergeCell ref="L20:X20"/>
    <mergeCell ref="AB20:AE20"/>
    <mergeCell ref="C18:F18"/>
  </mergeCells>
  <printOptions horizontalCentered="1" verticalCentered="1"/>
  <pageMargins left="0" right="0" top="0.78740157480314965" bottom="0" header="0" footer="0"/>
  <pageSetup paperSize="5" scale="61" orientation="landscape" r:id="rId1"/>
  <headerFooter alignWithMargins="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AAD6-4E75-43CF-BEAE-23FEFBB5AEA6}">
  <sheetPr>
    <tabColor rgb="FF92D050"/>
  </sheetPr>
  <dimension ref="A4:G35"/>
  <sheetViews>
    <sheetView workbookViewId="0">
      <selection activeCell="J11" sqref="J11"/>
    </sheetView>
  </sheetViews>
  <sheetFormatPr baseColWidth="10" defaultRowHeight="10.199999999999999" x14ac:dyDescent="0.2"/>
  <cols>
    <col min="1" max="1" width="8.28515625" customWidth="1"/>
    <col min="2" max="2" width="33.28515625" customWidth="1"/>
    <col min="3" max="3" width="14" customWidth="1"/>
    <col min="4" max="4" width="12.42578125" bestFit="1" customWidth="1"/>
    <col min="5" max="5" width="17.7109375" customWidth="1"/>
    <col min="6" max="6" width="17.42578125" customWidth="1"/>
    <col min="7" max="7" width="31.85546875" customWidth="1"/>
  </cols>
  <sheetData>
    <row r="4" spans="1:7" ht="21" x14ac:dyDescent="0.4">
      <c r="B4" s="339"/>
      <c r="C4" s="694"/>
      <c r="D4" s="695"/>
      <c r="E4" s="696" t="s">
        <v>0</v>
      </c>
      <c r="F4" s="697"/>
    </row>
    <row r="5" spans="1:7" ht="15.6" x14ac:dyDescent="0.3">
      <c r="C5" s="698" t="s">
        <v>353</v>
      </c>
      <c r="D5" s="698"/>
      <c r="E5" s="698"/>
      <c r="F5" s="699"/>
    </row>
    <row r="6" spans="1:7" ht="15.6" x14ac:dyDescent="0.3">
      <c r="C6" s="700" t="s">
        <v>387</v>
      </c>
      <c r="D6" s="700"/>
      <c r="E6" s="700"/>
      <c r="F6" s="700"/>
      <c r="G6" s="701"/>
    </row>
    <row r="7" spans="1:7" ht="10.8" thickBot="1" x14ac:dyDescent="0.25"/>
    <row r="8" spans="1:7" ht="10.8" thickTop="1" x14ac:dyDescent="0.2">
      <c r="A8" s="1629" t="s">
        <v>342</v>
      </c>
      <c r="B8" s="1629" t="s">
        <v>6</v>
      </c>
      <c r="C8" s="1632" t="s">
        <v>354</v>
      </c>
      <c r="D8" s="1634" t="s">
        <v>128</v>
      </c>
      <c r="E8" s="1636" t="s">
        <v>355</v>
      </c>
      <c r="F8" s="1638" t="s">
        <v>193</v>
      </c>
      <c r="G8" s="1629" t="s">
        <v>345</v>
      </c>
    </row>
    <row r="9" spans="1:7" ht="10.8" thickBot="1" x14ac:dyDescent="0.25">
      <c r="A9" s="1631"/>
      <c r="B9" s="1631"/>
      <c r="C9" s="1633"/>
      <c r="D9" s="1635"/>
      <c r="E9" s="1637"/>
      <c r="F9" s="1639"/>
      <c r="G9" s="1630"/>
    </row>
    <row r="10" spans="1:7" ht="18.600000000000001" thickTop="1" x14ac:dyDescent="0.35">
      <c r="A10" s="711">
        <v>1</v>
      </c>
      <c r="B10" s="711" t="s">
        <v>386</v>
      </c>
      <c r="C10" s="703">
        <v>0</v>
      </c>
      <c r="D10" s="703">
        <v>385.7</v>
      </c>
      <c r="E10" s="703">
        <f t="shared" ref="E10" si="0">D10/8*2</f>
        <v>96.424999999999997</v>
      </c>
      <c r="F10" s="704">
        <f t="shared" ref="F10" si="1">C10*E10</f>
        <v>0</v>
      </c>
      <c r="G10" s="348"/>
    </row>
    <row r="11" spans="1:7" ht="18" x14ac:dyDescent="0.35">
      <c r="A11" s="702"/>
      <c r="B11" s="702"/>
      <c r="C11" s="703"/>
      <c r="D11" s="703"/>
      <c r="E11" s="703"/>
      <c r="F11" s="704"/>
      <c r="G11" s="348"/>
    </row>
    <row r="12" spans="1:7" ht="18" x14ac:dyDescent="0.35">
      <c r="A12" s="702"/>
      <c r="B12" s="702"/>
      <c r="C12" s="703"/>
      <c r="D12" s="703"/>
      <c r="E12" s="703"/>
      <c r="F12" s="704"/>
      <c r="G12" s="348"/>
    </row>
    <row r="13" spans="1:7" ht="18" x14ac:dyDescent="0.35">
      <c r="A13" s="702"/>
      <c r="B13" s="702"/>
      <c r="C13" s="703"/>
      <c r="D13" s="703"/>
      <c r="E13" s="703"/>
      <c r="F13" s="704"/>
      <c r="G13" s="348"/>
    </row>
    <row r="14" spans="1:7" ht="18" x14ac:dyDescent="0.35">
      <c r="A14" s="702"/>
      <c r="B14" s="702"/>
      <c r="C14" s="703"/>
      <c r="D14" s="703"/>
      <c r="E14" s="703"/>
      <c r="F14" s="704"/>
      <c r="G14" s="348"/>
    </row>
    <row r="15" spans="1:7" ht="18" x14ac:dyDescent="0.35">
      <c r="A15" s="702"/>
      <c r="B15" s="702"/>
      <c r="C15" s="703"/>
      <c r="D15" s="703"/>
      <c r="E15" s="703"/>
      <c r="F15" s="704"/>
      <c r="G15" s="348"/>
    </row>
    <row r="16" spans="1:7" ht="18" x14ac:dyDescent="0.35">
      <c r="A16" s="702"/>
      <c r="B16" s="702"/>
      <c r="C16" s="703"/>
      <c r="D16" s="703"/>
      <c r="E16" s="703"/>
      <c r="F16" s="704"/>
      <c r="G16" s="348"/>
    </row>
    <row r="17" spans="1:7" ht="15.75" customHeight="1" x14ac:dyDescent="0.2">
      <c r="A17" s="702"/>
      <c r="B17" s="702"/>
      <c r="C17" s="702"/>
      <c r="D17" s="702"/>
      <c r="E17" s="702"/>
      <c r="F17" s="705"/>
      <c r="G17" s="348"/>
    </row>
    <row r="18" spans="1:7" ht="18" customHeight="1" x14ac:dyDescent="0.2">
      <c r="A18" s="702"/>
      <c r="B18" s="702"/>
      <c r="C18" s="702"/>
      <c r="D18" s="702"/>
      <c r="E18" s="702"/>
      <c r="F18" s="705"/>
      <c r="G18" s="348"/>
    </row>
    <row r="19" spans="1:7" ht="18" customHeight="1" x14ac:dyDescent="0.2">
      <c r="A19" s="702"/>
      <c r="B19" s="702"/>
      <c r="C19" s="702"/>
      <c r="D19" s="702"/>
      <c r="E19" s="702"/>
      <c r="F19" s="705"/>
      <c r="G19" s="348"/>
    </row>
    <row r="20" spans="1:7" ht="18.75" customHeight="1" thickBot="1" x14ac:dyDescent="0.25">
      <c r="A20" s="702"/>
      <c r="B20" s="702"/>
      <c r="C20" s="702"/>
      <c r="D20" s="702"/>
      <c r="E20" s="702"/>
      <c r="F20" s="705"/>
      <c r="G20" s="348"/>
    </row>
    <row r="21" spans="1:7" ht="18" hidden="1" customHeight="1" x14ac:dyDescent="0.2">
      <c r="A21" s="702"/>
      <c r="B21" s="702"/>
      <c r="C21" s="702"/>
      <c r="D21" s="702"/>
      <c r="E21" s="702"/>
      <c r="F21" s="705"/>
      <c r="G21" s="348"/>
    </row>
    <row r="22" spans="1:7" ht="20.25" hidden="1" customHeight="1" x14ac:dyDescent="0.2">
      <c r="A22" s="702"/>
      <c r="B22" s="702"/>
      <c r="C22" s="702"/>
      <c r="D22" s="702"/>
      <c r="E22" s="702"/>
      <c r="F22" s="705"/>
      <c r="G22" s="348"/>
    </row>
    <row r="23" spans="1:7" ht="20.25" hidden="1" customHeight="1" x14ac:dyDescent="0.2">
      <c r="A23" s="702"/>
      <c r="B23" s="702"/>
      <c r="C23" s="702"/>
      <c r="D23" s="702"/>
      <c r="E23" s="702"/>
      <c r="F23" s="705"/>
      <c r="G23" s="348"/>
    </row>
    <row r="24" spans="1:7" ht="18" hidden="1" customHeight="1" x14ac:dyDescent="0.2">
      <c r="A24" s="702"/>
      <c r="B24" s="702"/>
      <c r="C24" s="702"/>
      <c r="D24" s="702"/>
      <c r="E24" s="702"/>
      <c r="F24" s="705"/>
      <c r="G24" s="348"/>
    </row>
    <row r="25" spans="1:7" ht="19.5" hidden="1" customHeight="1" x14ac:dyDescent="0.2">
      <c r="A25" s="702"/>
      <c r="B25" s="702"/>
      <c r="C25" s="702"/>
      <c r="D25" s="702"/>
      <c r="E25" s="702"/>
      <c r="F25" s="705"/>
      <c r="G25" s="348"/>
    </row>
    <row r="26" spans="1:7" ht="20.25" hidden="1" customHeight="1" thickBot="1" x14ac:dyDescent="0.25">
      <c r="A26" s="702"/>
      <c r="B26" s="702"/>
      <c r="C26" s="702"/>
      <c r="D26" s="702"/>
      <c r="E26" s="702"/>
      <c r="F26" s="705"/>
      <c r="G26" s="348"/>
    </row>
    <row r="27" spans="1:7" ht="22.2" thickTop="1" thickBot="1" x14ac:dyDescent="0.45">
      <c r="A27" s="706"/>
      <c r="B27" s="707" t="s">
        <v>95</v>
      </c>
      <c r="C27" s="708">
        <f>SUM(C10:C26)</f>
        <v>0</v>
      </c>
      <c r="D27" s="708">
        <f>+D10</f>
        <v>385.7</v>
      </c>
      <c r="E27" s="708">
        <f>+E10</f>
        <v>96.424999999999997</v>
      </c>
      <c r="F27" s="709">
        <f>SUM(F10:F26)</f>
        <v>0</v>
      </c>
      <c r="G27" s="710"/>
    </row>
    <row r="28" spans="1:7" ht="10.8" thickTop="1" x14ac:dyDescent="0.2"/>
    <row r="33" spans="2:7" x14ac:dyDescent="0.2">
      <c r="B33" t="s">
        <v>356</v>
      </c>
      <c r="D33" t="s">
        <v>384</v>
      </c>
      <c r="F33" t="s">
        <v>357</v>
      </c>
    </row>
    <row r="34" spans="2:7" ht="14.4" x14ac:dyDescent="0.3">
      <c r="B34" s="694" t="s">
        <v>358</v>
      </c>
      <c r="C34" s="694"/>
      <c r="D34" s="694" t="s">
        <v>383</v>
      </c>
      <c r="E34" s="694"/>
      <c r="F34" s="694" t="s">
        <v>359</v>
      </c>
      <c r="G34" s="694"/>
    </row>
    <row r="35" spans="2:7" ht="14.4" x14ac:dyDescent="0.3">
      <c r="B35" s="694" t="s">
        <v>385</v>
      </c>
      <c r="C35" s="694"/>
      <c r="D35" s="694" t="s">
        <v>382</v>
      </c>
      <c r="E35" s="694"/>
      <c r="F35" s="694" t="s">
        <v>305</v>
      </c>
      <c r="G35" s="694"/>
    </row>
  </sheetData>
  <mergeCells count="7">
    <mergeCell ref="G8:G9"/>
    <mergeCell ref="A8:A9"/>
    <mergeCell ref="B8:B9"/>
    <mergeCell ref="C8:C9"/>
    <mergeCell ref="D8:D9"/>
    <mergeCell ref="E8:E9"/>
    <mergeCell ref="F8:F9"/>
  </mergeCells>
  <pageMargins left="1.1811023622047245" right="1.6929133858267718" top="0.74803149606299213" bottom="0.74803149606299213" header="0.31496062992125984" footer="0.31496062992125984"/>
  <pageSetup paperSize="5" orientation="landscape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B0A3-B50C-4343-A040-61FF245FB798}">
  <sheetPr>
    <tabColor rgb="FF99FFCC"/>
  </sheetPr>
  <dimension ref="A4:G29"/>
  <sheetViews>
    <sheetView workbookViewId="0">
      <selection activeCell="E17" sqref="E17"/>
    </sheetView>
  </sheetViews>
  <sheetFormatPr baseColWidth="10" defaultRowHeight="10.199999999999999" x14ac:dyDescent="0.2"/>
  <cols>
    <col min="1" max="1" width="8.28515625" customWidth="1"/>
    <col min="2" max="2" width="33.28515625" customWidth="1"/>
    <col min="3" max="3" width="14" customWidth="1"/>
    <col min="5" max="5" width="17.7109375" customWidth="1"/>
    <col min="6" max="6" width="17.42578125" customWidth="1"/>
    <col min="7" max="7" width="31.85546875" customWidth="1"/>
  </cols>
  <sheetData>
    <row r="4" spans="1:7" ht="21" x14ac:dyDescent="0.4">
      <c r="B4" s="339"/>
      <c r="C4" s="694"/>
      <c r="D4" s="695"/>
      <c r="E4" s="696" t="s">
        <v>0</v>
      </c>
      <c r="F4" s="697"/>
    </row>
    <row r="5" spans="1:7" ht="15.6" x14ac:dyDescent="0.3">
      <c r="C5" s="698" t="s">
        <v>361</v>
      </c>
      <c r="D5" s="698"/>
      <c r="E5" s="698"/>
      <c r="F5" s="699"/>
    </row>
    <row r="6" spans="1:7" ht="15.6" x14ac:dyDescent="0.3">
      <c r="C6" s="700" t="s">
        <v>375</v>
      </c>
      <c r="D6" s="700"/>
      <c r="E6" s="700"/>
      <c r="F6" s="700"/>
      <c r="G6" s="701"/>
    </row>
    <row r="7" spans="1:7" ht="10.8" thickBot="1" x14ac:dyDescent="0.25"/>
    <row r="8" spans="1:7" ht="10.8" thickTop="1" x14ac:dyDescent="0.2">
      <c r="A8" s="1629" t="s">
        <v>342</v>
      </c>
      <c r="B8" s="1629" t="s">
        <v>6</v>
      </c>
      <c r="C8" s="1632" t="s">
        <v>354</v>
      </c>
      <c r="D8" s="1634" t="s">
        <v>128</v>
      </c>
      <c r="E8" s="1636" t="s">
        <v>355</v>
      </c>
      <c r="F8" s="1638" t="s">
        <v>193</v>
      </c>
      <c r="G8" s="1629" t="s">
        <v>345</v>
      </c>
    </row>
    <row r="9" spans="1:7" ht="10.8" thickBot="1" x14ac:dyDescent="0.25">
      <c r="A9" s="1631"/>
      <c r="B9" s="1631"/>
      <c r="C9" s="1633"/>
      <c r="D9" s="1635"/>
      <c r="E9" s="1637"/>
      <c r="F9" s="1639"/>
      <c r="G9" s="1630"/>
    </row>
    <row r="10" spans="1:7" ht="18.600000000000001" thickTop="1" x14ac:dyDescent="0.35">
      <c r="A10" s="716">
        <v>1</v>
      </c>
      <c r="B10" s="702" t="s">
        <v>362</v>
      </c>
      <c r="C10" s="703">
        <v>0</v>
      </c>
      <c r="D10" s="703">
        <v>330</v>
      </c>
      <c r="E10" s="703">
        <f t="shared" ref="E10:E15" si="0">D10/8*2</f>
        <v>82.5</v>
      </c>
      <c r="F10" s="704">
        <f t="shared" ref="F10:F15" si="1">C10*E10</f>
        <v>0</v>
      </c>
      <c r="G10" s="348"/>
    </row>
    <row r="11" spans="1:7" ht="18" x14ac:dyDescent="0.35">
      <c r="A11" s="716">
        <v>2</v>
      </c>
      <c r="B11" s="702" t="s">
        <v>363</v>
      </c>
      <c r="C11" s="703">
        <v>0</v>
      </c>
      <c r="D11" s="703">
        <v>315</v>
      </c>
      <c r="E11" s="703">
        <f t="shared" si="0"/>
        <v>78.75</v>
      </c>
      <c r="F11" s="704">
        <f t="shared" si="1"/>
        <v>0</v>
      </c>
      <c r="G11" s="348"/>
    </row>
    <row r="12" spans="1:7" ht="18" x14ac:dyDescent="0.35">
      <c r="A12" s="716">
        <v>3</v>
      </c>
      <c r="B12" s="702" t="s">
        <v>298</v>
      </c>
      <c r="C12" s="703">
        <v>0</v>
      </c>
      <c r="D12" s="703">
        <v>300</v>
      </c>
      <c r="E12" s="703">
        <f t="shared" si="0"/>
        <v>75</v>
      </c>
      <c r="F12" s="704">
        <f t="shared" si="1"/>
        <v>0</v>
      </c>
      <c r="G12" s="348"/>
    </row>
    <row r="13" spans="1:7" ht="18" x14ac:dyDescent="0.35">
      <c r="A13" s="716">
        <v>4</v>
      </c>
      <c r="B13" s="702" t="s">
        <v>364</v>
      </c>
      <c r="C13" s="703">
        <v>0</v>
      </c>
      <c r="D13" s="703">
        <v>300</v>
      </c>
      <c r="E13" s="703">
        <f t="shared" si="0"/>
        <v>75</v>
      </c>
      <c r="F13" s="704">
        <f t="shared" si="1"/>
        <v>0</v>
      </c>
      <c r="G13" s="348"/>
    </row>
    <row r="14" spans="1:7" ht="18" x14ac:dyDescent="0.35">
      <c r="A14" s="716">
        <v>5</v>
      </c>
      <c r="B14" s="702" t="s">
        <v>338</v>
      </c>
      <c r="C14" s="703">
        <v>0</v>
      </c>
      <c r="D14" s="703">
        <v>300</v>
      </c>
      <c r="E14" s="703">
        <f t="shared" si="0"/>
        <v>75</v>
      </c>
      <c r="F14" s="704">
        <f t="shared" si="1"/>
        <v>0</v>
      </c>
      <c r="G14" s="348"/>
    </row>
    <row r="15" spans="1:7" ht="18" x14ac:dyDescent="0.35">
      <c r="A15" s="716">
        <v>6</v>
      </c>
      <c r="B15" s="702" t="s">
        <v>360</v>
      </c>
      <c r="C15" s="703">
        <v>0</v>
      </c>
      <c r="D15" s="703">
        <v>300</v>
      </c>
      <c r="E15" s="703">
        <f t="shared" si="0"/>
        <v>75</v>
      </c>
      <c r="F15" s="704">
        <f t="shared" si="1"/>
        <v>0</v>
      </c>
      <c r="G15" s="348"/>
    </row>
    <row r="16" spans="1:7" ht="20.25" customHeight="1" x14ac:dyDescent="0.2">
      <c r="A16" s="702"/>
      <c r="B16" s="702"/>
      <c r="C16" s="702"/>
      <c r="D16" s="702"/>
      <c r="E16" s="702"/>
      <c r="F16" s="705"/>
      <c r="G16" s="348"/>
    </row>
    <row r="17" spans="1:7" ht="20.25" customHeight="1" x14ac:dyDescent="0.2">
      <c r="A17" s="702"/>
      <c r="B17" s="702"/>
      <c r="C17" s="702"/>
      <c r="D17" s="702"/>
      <c r="E17" s="702"/>
      <c r="F17" s="705"/>
      <c r="G17" s="348"/>
    </row>
    <row r="18" spans="1:7" ht="18" customHeight="1" x14ac:dyDescent="0.2">
      <c r="A18" s="702"/>
      <c r="B18" s="702"/>
      <c r="C18" s="702"/>
      <c r="D18" s="702"/>
      <c r="E18" s="702"/>
      <c r="F18" s="705"/>
      <c r="G18" s="348"/>
    </row>
    <row r="19" spans="1:7" ht="19.5" customHeight="1" x14ac:dyDescent="0.2">
      <c r="A19" s="702"/>
      <c r="B19" s="702"/>
      <c r="C19" s="702"/>
      <c r="D19" s="702"/>
      <c r="E19" s="702"/>
      <c r="F19" s="705"/>
      <c r="G19" s="348"/>
    </row>
    <row r="20" spans="1:7" ht="20.25" customHeight="1" thickBot="1" x14ac:dyDescent="0.25">
      <c r="A20" s="702"/>
      <c r="B20" s="702"/>
      <c r="C20" s="702"/>
      <c r="D20" s="702"/>
      <c r="E20" s="702"/>
      <c r="F20" s="705"/>
      <c r="G20" s="348"/>
    </row>
    <row r="21" spans="1:7" ht="22.2" thickTop="1" thickBot="1" x14ac:dyDescent="0.45">
      <c r="A21" s="706"/>
      <c r="B21" s="707" t="s">
        <v>95</v>
      </c>
      <c r="C21" s="708">
        <f>SUM(C10:C20)</f>
        <v>0</v>
      </c>
      <c r="D21" s="708">
        <v>0</v>
      </c>
      <c r="E21" s="708">
        <v>0</v>
      </c>
      <c r="F21" s="709">
        <f>SUM(F10:F20)</f>
        <v>0</v>
      </c>
      <c r="G21" s="710"/>
    </row>
    <row r="22" spans="1:7" ht="10.8" thickTop="1" x14ac:dyDescent="0.2"/>
    <row r="27" spans="1:7" x14ac:dyDescent="0.2">
      <c r="B27" t="s">
        <v>356</v>
      </c>
      <c r="F27" t="s">
        <v>357</v>
      </c>
    </row>
    <row r="28" spans="1:7" ht="14.4" x14ac:dyDescent="0.3">
      <c r="B28" s="694" t="s">
        <v>358</v>
      </c>
      <c r="C28" s="694"/>
      <c r="D28" s="694"/>
      <c r="E28" s="694"/>
      <c r="F28" s="694" t="s">
        <v>359</v>
      </c>
      <c r="G28" s="694"/>
    </row>
    <row r="29" spans="1:7" ht="14.4" x14ac:dyDescent="0.3">
      <c r="B29" s="694" t="s">
        <v>378</v>
      </c>
      <c r="C29" s="694"/>
      <c r="D29" s="694"/>
      <c r="E29" s="694"/>
      <c r="F29" s="694" t="s">
        <v>305</v>
      </c>
      <c r="G29" s="694"/>
    </row>
  </sheetData>
  <mergeCells count="7">
    <mergeCell ref="G8:G9"/>
    <mergeCell ref="A8:A9"/>
    <mergeCell ref="B8:B9"/>
    <mergeCell ref="C8:C9"/>
    <mergeCell ref="D8:D9"/>
    <mergeCell ref="E8:E9"/>
    <mergeCell ref="F8:F9"/>
  </mergeCells>
  <pageMargins left="0.7" right="0.7" top="0.75" bottom="0.75" header="0.3" footer="0.3"/>
  <pageSetup orientation="landscape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32">
    <pageSetUpPr fitToPage="1"/>
  </sheetPr>
  <dimension ref="B4:E34"/>
  <sheetViews>
    <sheetView workbookViewId="0">
      <selection activeCell="G35" sqref="G35"/>
    </sheetView>
  </sheetViews>
  <sheetFormatPr baseColWidth="10" defaultRowHeight="10.199999999999999" x14ac:dyDescent="0.2"/>
  <cols>
    <col min="2" max="2" width="53" bestFit="1" customWidth="1"/>
    <col min="3" max="3" width="20.42578125" style="329" bestFit="1" customWidth="1"/>
    <col min="4" max="4" width="17.42578125" style="329" customWidth="1"/>
    <col min="5" max="5" width="18.42578125" style="329" bestFit="1" customWidth="1"/>
    <col min="7" max="7" width="53" bestFit="1" customWidth="1"/>
    <col min="8" max="8" width="20.42578125" bestFit="1" customWidth="1"/>
    <col min="9" max="10" width="18.42578125" bestFit="1" customWidth="1"/>
  </cols>
  <sheetData>
    <row r="4" spans="2:5" ht="44.4" customHeight="1" x14ac:dyDescent="0.25">
      <c r="B4" s="665" t="str">
        <f>+'DETALLE ADMON.'!A2</f>
        <v>QUINCENA DEL 16  AL 30  DE ABRIL 2026</v>
      </c>
      <c r="C4" s="336" t="s">
        <v>200</v>
      </c>
      <c r="D4" s="336" t="s">
        <v>199</v>
      </c>
      <c r="E4" s="336" t="s">
        <v>29</v>
      </c>
    </row>
    <row r="5" spans="2:5" ht="13.2" x14ac:dyDescent="0.25">
      <c r="B5" s="335" t="s">
        <v>232</v>
      </c>
      <c r="C5" s="336"/>
      <c r="D5" s="336"/>
      <c r="E5" s="336"/>
    </row>
    <row r="6" spans="2:5" ht="13.2" x14ac:dyDescent="0.25">
      <c r="B6" s="330" t="str">
        <f>+'ADMON COM. '!D18</f>
        <v>ARMANDO JOSE IGLESIAS</v>
      </c>
      <c r="C6" s="331">
        <f>+'ADMON COM. '!L18</f>
        <v>9156.0749999999989</v>
      </c>
      <c r="D6" s="331"/>
      <c r="E6" s="332">
        <f>+C6+D6</f>
        <v>9156.0749999999989</v>
      </c>
    </row>
    <row r="7" spans="2:5" ht="13.2" x14ac:dyDescent="0.25">
      <c r="B7" s="330" t="str">
        <f>+'ADMON COM. '!D19</f>
        <v>VICENTE ALBERTO GADEA</v>
      </c>
      <c r="C7" s="331">
        <f>+'ADMON COM. '!L19</f>
        <v>9156.0749999999989</v>
      </c>
      <c r="D7" s="331"/>
      <c r="E7" s="332">
        <f t="shared" ref="E7:E13" si="0">+C7+D7</f>
        <v>9156.0749999999989</v>
      </c>
    </row>
    <row r="8" spans="2:5" ht="13.2" x14ac:dyDescent="0.25">
      <c r="B8" s="330" t="str">
        <f>+'ADMON COM. '!D27</f>
        <v xml:space="preserve">CESAR AUGUSTO ALEMAN </v>
      </c>
      <c r="C8" s="331">
        <f>+'ADMON COM. '!L27</f>
        <v>4692.8549999999996</v>
      </c>
      <c r="D8" s="331"/>
      <c r="E8" s="332">
        <f t="shared" si="0"/>
        <v>4692.8549999999996</v>
      </c>
    </row>
    <row r="9" spans="2:5" ht="13.2" x14ac:dyDescent="0.25">
      <c r="B9" s="330" t="e">
        <f>+'ADMON COM. '!#REF!</f>
        <v>#REF!</v>
      </c>
      <c r="C9" s="331" t="e">
        <f>+'ADMON COM. '!#REF!</f>
        <v>#REF!</v>
      </c>
      <c r="D9" s="331"/>
      <c r="E9" s="332" t="e">
        <f t="shared" si="0"/>
        <v>#REF!</v>
      </c>
    </row>
    <row r="10" spans="2:5" ht="13.2" x14ac:dyDescent="0.25">
      <c r="B10" s="330" t="e">
        <f>+'ADMON COM. '!#REF!</f>
        <v>#REF!</v>
      </c>
      <c r="C10" s="331" t="e">
        <f>+'ADMON COM. '!#REF!</f>
        <v>#REF!</v>
      </c>
      <c r="D10" s="331"/>
      <c r="E10" s="332" t="e">
        <f t="shared" si="0"/>
        <v>#REF!</v>
      </c>
    </row>
    <row r="11" spans="2:5" ht="13.2" x14ac:dyDescent="0.25">
      <c r="B11" s="330" t="e">
        <f>+'ADMON COM. '!#REF!</f>
        <v>#REF!</v>
      </c>
      <c r="C11" s="331" t="e">
        <f>+'ADMON COM. '!#REF!</f>
        <v>#REF!</v>
      </c>
      <c r="D11" s="331"/>
      <c r="E11" s="332" t="e">
        <f t="shared" si="0"/>
        <v>#REF!</v>
      </c>
    </row>
    <row r="12" spans="2:5" ht="13.2" x14ac:dyDescent="0.25">
      <c r="B12" s="330" t="e">
        <f>+'ADMON COM. '!#REF!</f>
        <v>#REF!</v>
      </c>
      <c r="C12" s="331" t="e">
        <f>+'ADMON COM. '!#REF!</f>
        <v>#REF!</v>
      </c>
      <c r="D12" s="331"/>
      <c r="E12" s="332" t="e">
        <f t="shared" si="0"/>
        <v>#REF!</v>
      </c>
    </row>
    <row r="13" spans="2:5" ht="13.2" x14ac:dyDescent="0.25">
      <c r="B13" s="330" t="str">
        <f>+'ADMON COM. '!D29</f>
        <v>SANDRO OSMANY GUITIERREZ</v>
      </c>
      <c r="C13" s="331">
        <f>+'ADMON COM. '!L29</f>
        <v>2548.4416666666666</v>
      </c>
      <c r="D13" s="331"/>
      <c r="E13" s="332">
        <f t="shared" si="0"/>
        <v>2548.4416666666666</v>
      </c>
    </row>
    <row r="14" spans="2:5" ht="13.2" x14ac:dyDescent="0.25">
      <c r="B14" s="337" t="s">
        <v>233</v>
      </c>
      <c r="D14" s="331"/>
      <c r="E14" s="332"/>
    </row>
    <row r="15" spans="2:5" ht="13.2" x14ac:dyDescent="0.25">
      <c r="B15" s="330" t="str">
        <f>+TECNICOS!D9</f>
        <v>LUIS FERNANDO PALACIOS RIOS</v>
      </c>
      <c r="C15" s="331">
        <f>+TECNICOS!P9</f>
        <v>0</v>
      </c>
      <c r="D15" s="331"/>
      <c r="E15" s="332">
        <f t="shared" ref="E15" si="1">+C15+D15</f>
        <v>0</v>
      </c>
    </row>
    <row r="16" spans="2:5" ht="13.2" x14ac:dyDescent="0.25">
      <c r="B16" s="330" t="str">
        <f>+TECNICOS!D10</f>
        <v>YANT CARLO FERRUFINO PINEDA</v>
      </c>
      <c r="C16" s="331">
        <f>+TECNICOS!P10</f>
        <v>0</v>
      </c>
      <c r="D16" s="331"/>
      <c r="E16" s="332">
        <f t="shared" ref="E16:E20" si="2">+C16+D16</f>
        <v>0</v>
      </c>
    </row>
    <row r="17" spans="2:5" ht="13.2" x14ac:dyDescent="0.25">
      <c r="B17" s="330" t="str">
        <f>+TECNICOS!D11</f>
        <v>JACKS HERRY TORRES PEREZ</v>
      </c>
      <c r="C17" s="331">
        <f>+TECNICOS!P11</f>
        <v>0</v>
      </c>
      <c r="D17" s="331"/>
      <c r="E17" s="332">
        <f t="shared" si="2"/>
        <v>0</v>
      </c>
    </row>
    <row r="18" spans="2:5" ht="13.2" x14ac:dyDescent="0.25">
      <c r="B18" s="330" t="str">
        <f>+TECNICOS!D12</f>
        <v>CESAR AUGUSTO ZEAS</v>
      </c>
      <c r="C18" s="331">
        <f>+TECNICOS!P12</f>
        <v>0</v>
      </c>
      <c r="D18" s="331"/>
      <c r="E18" s="332">
        <f t="shared" si="2"/>
        <v>0</v>
      </c>
    </row>
    <row r="19" spans="2:5" ht="13.2" x14ac:dyDescent="0.25">
      <c r="B19" s="330" t="str">
        <f>+TECNICOS!D13</f>
        <v>KEYLING JOHANA PEREZ MARTINEZ</v>
      </c>
      <c r="C19" s="331">
        <f>+TECNICOS!P13</f>
        <v>0</v>
      </c>
      <c r="D19" s="331"/>
      <c r="E19" s="332">
        <f t="shared" si="2"/>
        <v>0</v>
      </c>
    </row>
    <row r="20" spans="2:5" ht="13.2" x14ac:dyDescent="0.25">
      <c r="B20" s="330" t="str">
        <f>+TECNICOS!D14</f>
        <v>JOSE MANUEL MORAGA</v>
      </c>
      <c r="C20" s="331">
        <f>+TECNICOS!P14</f>
        <v>0</v>
      </c>
      <c r="D20" s="331"/>
      <c r="E20" s="332">
        <f t="shared" si="2"/>
        <v>0</v>
      </c>
    </row>
    <row r="21" spans="2:5" ht="12.6" customHeight="1" x14ac:dyDescent="0.25">
      <c r="B21" s="337" t="s">
        <v>234</v>
      </c>
      <c r="C21" s="331"/>
      <c r="D21" s="331"/>
      <c r="E21" s="332"/>
    </row>
    <row r="22" spans="2:5" ht="13.2" x14ac:dyDescent="0.25">
      <c r="B22" s="330" t="str">
        <f>+'ABEL ABISINIA INSS'!B12</f>
        <v>MARIA ULDA GARCIA RIVAS</v>
      </c>
      <c r="C22" s="331">
        <f>+'ABISINIA INSS'!N10</f>
        <v>0</v>
      </c>
      <c r="D22" s="331"/>
      <c r="E22" s="332">
        <f t="shared" ref="E22:E23" si="3">+C22+D22</f>
        <v>0</v>
      </c>
    </row>
    <row r="23" spans="2:5" ht="13.2" x14ac:dyDescent="0.25">
      <c r="B23" s="330" t="str">
        <f>+'ABEL ABISINIA INSS'!B13</f>
        <v>JOLMAN ARCENIO HIDALGO GONZALEZ</v>
      </c>
      <c r="C23" s="331">
        <f>+'ABISINIA INSS'!N11</f>
        <v>3857.4000000000005</v>
      </c>
      <c r="D23" s="331">
        <f>+'ABISINIA INSS'!O11</f>
        <v>0</v>
      </c>
      <c r="E23" s="332">
        <f t="shared" si="3"/>
        <v>3857.4000000000005</v>
      </c>
    </row>
    <row r="24" spans="2:5" ht="13.2" x14ac:dyDescent="0.25">
      <c r="B24" s="337" t="s">
        <v>99</v>
      </c>
      <c r="C24" s="331"/>
      <c r="D24" s="331"/>
      <c r="E24" s="332"/>
    </row>
    <row r="25" spans="2:5" ht="13.2" x14ac:dyDescent="0.25">
      <c r="B25" s="330" t="str">
        <f>+'COMISARIATO INSS'!D9</f>
        <v>ZOILA YESENIA BALTODANO PALACIOS</v>
      </c>
      <c r="C25" s="331">
        <f>+'COMISARIATO INSS'!P9</f>
        <v>5040</v>
      </c>
      <c r="D25" s="331">
        <f>+'COMISARIATO INSS'!Q9</f>
        <v>0</v>
      </c>
      <c r="E25" s="332">
        <f>+C25</f>
        <v>5040</v>
      </c>
    </row>
    <row r="26" spans="2:5" ht="13.2" x14ac:dyDescent="0.25">
      <c r="B26" s="330" t="str">
        <f>+'COMISARIATO INSS'!D10</f>
        <v>MARVIN CRUZ TALAVERA</v>
      </c>
      <c r="C26" s="331">
        <f>+'COMISARIATO INSS'!P10</f>
        <v>2750</v>
      </c>
      <c r="D26" s="331">
        <f>+'COMISARIATO INSS'!Q10</f>
        <v>275</v>
      </c>
      <c r="E26" s="332">
        <f t="shared" ref="E26:E30" si="4">+C26+D26</f>
        <v>3025</v>
      </c>
    </row>
    <row r="27" spans="2:5" ht="13.2" x14ac:dyDescent="0.25">
      <c r="B27" s="330" t="str">
        <f>+'COMISARIATO INSS'!D11</f>
        <v>EDWIN DE JESUS MARTINEZ PICADO</v>
      </c>
      <c r="C27" s="331">
        <f>+'COMISARIATO INSS'!P11</f>
        <v>4125</v>
      </c>
      <c r="D27" s="331">
        <f>+'COMISARIATO INSS'!Q11</f>
        <v>412.5</v>
      </c>
      <c r="E27" s="332">
        <f t="shared" si="4"/>
        <v>4537.5</v>
      </c>
    </row>
    <row r="28" spans="2:5" ht="13.2" x14ac:dyDescent="0.25">
      <c r="B28" s="330" t="str">
        <f>+'COMISARIATO INSS'!D12</f>
        <v>LESLIER ALEJANDRO PALACIOS</v>
      </c>
      <c r="C28" s="331">
        <f>+'COMISARIATO INSS'!P12</f>
        <v>0</v>
      </c>
      <c r="D28" s="331">
        <f>+'COMISARIATO INSS'!Q12</f>
        <v>0</v>
      </c>
      <c r="E28" s="332">
        <f t="shared" si="4"/>
        <v>0</v>
      </c>
    </row>
    <row r="29" spans="2:5" ht="13.2" x14ac:dyDescent="0.25">
      <c r="B29" s="337" t="s">
        <v>114</v>
      </c>
      <c r="C29" s="331"/>
      <c r="D29" s="331"/>
      <c r="E29" s="332"/>
    </row>
    <row r="30" spans="2:5" ht="13.2" x14ac:dyDescent="0.25">
      <c r="B30" s="330" t="str">
        <f>'FINCA INSS '!D11</f>
        <v>WILFREDO ARGEÑAL BLANDON</v>
      </c>
      <c r="C30" s="331">
        <f>'FINCA INSS '!N11</f>
        <v>0</v>
      </c>
      <c r="D30" s="331">
        <f>'FINCA INSS '!O11</f>
        <v>0</v>
      </c>
      <c r="E30" s="332">
        <f t="shared" si="4"/>
        <v>0</v>
      </c>
    </row>
    <row r="31" spans="2:5" ht="13.2" x14ac:dyDescent="0.25">
      <c r="B31" s="330" t="str">
        <f>+'FINCA INSS '!D13</f>
        <v>ANGEL JAVIER GARCIA</v>
      </c>
      <c r="C31" s="331">
        <f>+'FINCA INSS '!N13</f>
        <v>0</v>
      </c>
      <c r="D31" s="331">
        <f>+'FINCA INSS '!O13</f>
        <v>0</v>
      </c>
      <c r="E31" s="332">
        <f>+C31+D31</f>
        <v>0</v>
      </c>
    </row>
    <row r="32" spans="2:5" ht="13.2" x14ac:dyDescent="0.25">
      <c r="B32" s="330" t="str">
        <f>+'FINCA INSS '!D14</f>
        <v>ALBA SUYEN RODA PASOS</v>
      </c>
      <c r="C32" s="331">
        <f>+'FINCA INSS '!N14</f>
        <v>0</v>
      </c>
      <c r="D32" s="331">
        <f>+'FINCA INSS '!O14</f>
        <v>0</v>
      </c>
      <c r="E32" s="332">
        <f t="shared" ref="E32:E33" si="5">+C32+D32</f>
        <v>0</v>
      </c>
    </row>
    <row r="33" spans="2:5" ht="13.2" x14ac:dyDescent="0.25">
      <c r="B33" s="330" t="e">
        <f>+'FINCA INSS '!#REF!</f>
        <v>#REF!</v>
      </c>
      <c r="C33" s="331" t="e">
        <f>+'FINCA INSS '!#REF!</f>
        <v>#REF!</v>
      </c>
      <c r="D33" s="331" t="e">
        <f>+'FINCA INSS '!#REF!</f>
        <v>#REF!</v>
      </c>
      <c r="E33" s="332" t="e">
        <f t="shared" si="5"/>
        <v>#REF!</v>
      </c>
    </row>
    <row r="34" spans="2:5" ht="13.2" x14ac:dyDescent="0.25">
      <c r="B34" s="330"/>
      <c r="C34" s="331"/>
      <c r="D34" s="331"/>
      <c r="E34" s="350" t="e">
        <f>SUM(E6:E33)</f>
        <v>#REF!</v>
      </c>
    </row>
  </sheetData>
  <pageMargins left="0" right="0" top="0.74803149606299213" bottom="0" header="0.31496062992125984" footer="0.31496062992125984"/>
  <pageSetup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53</vt:i4>
      </vt:variant>
      <vt:variant>
        <vt:lpstr>Rangos con nombre</vt:lpstr>
      </vt:variant>
      <vt:variant>
        <vt:i4>43</vt:i4>
      </vt:variant>
    </vt:vector>
  </HeadingPairs>
  <TitlesOfParts>
    <vt:vector size="96" baseType="lpstr">
      <vt:lpstr>DETALLE ADMON.</vt:lpstr>
      <vt:lpstr>Cambio del dia</vt:lpstr>
      <vt:lpstr>FINCA</vt:lpstr>
      <vt:lpstr>H</vt:lpstr>
      <vt:lpstr>ADMON</vt:lpstr>
      <vt:lpstr>Hoja2</vt:lpstr>
      <vt:lpstr>ADMON COM. </vt:lpstr>
      <vt:lpstr>TECNICOS</vt:lpstr>
      <vt:lpstr>FINANCIAMIENTO INSS</vt:lpstr>
      <vt:lpstr>Holman</vt:lpstr>
      <vt:lpstr>FINCA SIN INSS</vt:lpstr>
      <vt:lpstr>FINCA INSS </vt:lpstr>
      <vt:lpstr>BENEFICIO SECO</vt:lpstr>
      <vt:lpstr>Hoja3</vt:lpstr>
      <vt:lpstr>COMPLEMENTO DE SALARIO</vt:lpstr>
      <vt:lpstr>VIATICOS PERS ACOPIO</vt:lpstr>
      <vt:lpstr>BODEGA-ACOPIO</vt:lpstr>
      <vt:lpstr>ACOPIOst</vt:lpstr>
      <vt:lpstr>COMI</vt:lpstr>
      <vt:lpstr>Martin</vt:lpstr>
      <vt:lpstr>PERS-ACOPIO STA ISABEL</vt:lpstr>
      <vt:lpstr>EVENTUAL</vt:lpstr>
      <vt:lpstr>ABISINIA INSS</vt:lpstr>
      <vt:lpstr>ACOP MONTECRISTO</vt:lpstr>
      <vt:lpstr>ACOP LAS MORENAS</vt:lpstr>
      <vt:lpstr>ACOP ABISINIA SIN INSS</vt:lpstr>
      <vt:lpstr>ACOP ESCAMBRAY</vt:lpstr>
      <vt:lpstr>VIATICOS ACOPIO</vt:lpstr>
      <vt:lpstr>ACOP EL CONSUELO</vt:lpstr>
      <vt:lpstr>ACOP LA UNION</vt:lpstr>
      <vt:lpstr>BODEG STA Isabel</vt:lpstr>
      <vt:lpstr>COMISARIATO INSS</vt:lpstr>
      <vt:lpstr>COMISARIATO CON INSS</vt:lpstr>
      <vt:lpstr>COMISARIATO SIN INSS</vt:lpstr>
      <vt:lpstr>HORAS EXTRA </vt:lpstr>
      <vt:lpstr>PARA PAGAR</vt:lpstr>
      <vt:lpstr>HORAS EXTRAS</vt:lpstr>
      <vt:lpstr>ACOPIO STA ISABEL</vt:lpstr>
      <vt:lpstr>COMPLEMENTO COMISARIATO</vt:lpstr>
      <vt:lpstr>Hoja1</vt:lpstr>
      <vt:lpstr>ABEL ABISINIA INSS</vt:lpstr>
      <vt:lpstr>DONAL ESCAMBAY</vt:lpstr>
      <vt:lpstr>ACOPIO ABISINIA</vt:lpstr>
      <vt:lpstr>ACOPIO ESCAMBRAY</vt:lpstr>
      <vt:lpstr>ACOPIO MONTECRISTO</vt:lpstr>
      <vt:lpstr>ACOPIO EL CONSUELO</vt:lpstr>
      <vt:lpstr>ACOPIO LAS MORENAS</vt:lpstr>
      <vt:lpstr>DENISSA  MORENAS (2)</vt:lpstr>
      <vt:lpstr>ABEL ABISINIA</vt:lpstr>
      <vt:lpstr>ACOPIO LAS MORENAS 2</vt:lpstr>
      <vt:lpstr>H-Santa Isabel</vt:lpstr>
      <vt:lpstr>Hora Cmto</vt:lpstr>
      <vt:lpstr>INSS</vt:lpstr>
      <vt:lpstr>'ABISINIA INSS'!A1.</vt:lpstr>
      <vt:lpstr>'ACOPIO ABISINIA'!A1.</vt:lpstr>
      <vt:lpstr>'ACOPIO EL CONSUELO'!A1.</vt:lpstr>
      <vt:lpstr>'ACOPIO ESCAMBRAY'!A1.</vt:lpstr>
      <vt:lpstr>'ACOPIO LAS MORENAS 2'!A1.</vt:lpstr>
      <vt:lpstr>'ACOPIO MONTECRISTO'!A1.</vt:lpstr>
      <vt:lpstr>'ACOPIO STA ISABEL'!A1.</vt:lpstr>
      <vt:lpstr>'ADMON COM. '!A1.</vt:lpstr>
      <vt:lpstr>'BODEG STA Isabel'!A1.</vt:lpstr>
      <vt:lpstr>'BODEGA-ACOPIO'!A1.</vt:lpstr>
      <vt:lpstr>'COMISARIATO INSS'!A1.</vt:lpstr>
      <vt:lpstr>'COMISARIATO SIN INSS'!A1.</vt:lpstr>
      <vt:lpstr>'FINANCIAMIENTO INSS'!A1.</vt:lpstr>
      <vt:lpstr>FINCA!A1.</vt:lpstr>
      <vt:lpstr>'FINCA INSS '!A1.</vt:lpstr>
      <vt:lpstr>'FINCA SIN INSS'!A1.</vt:lpstr>
      <vt:lpstr>'PERS-ACOPIO STA ISABEL'!A1.</vt:lpstr>
      <vt:lpstr>TECNICOS!A1.</vt:lpstr>
      <vt:lpstr>'ABEL ABISINIA'!Área_de_impresión</vt:lpstr>
      <vt:lpstr>'ABISINIA INSS'!Área_de_impresión</vt:lpstr>
      <vt:lpstr>'ACOPIO ABISINIA'!Área_de_impresión</vt:lpstr>
      <vt:lpstr>'ACOPIO EL CONSUELO'!Área_de_impresión</vt:lpstr>
      <vt:lpstr>'ACOPIO ESCAMBRAY'!Área_de_impresión</vt:lpstr>
      <vt:lpstr>'ACOPIO LAS MORENAS 2'!Área_de_impresión</vt:lpstr>
      <vt:lpstr>'ACOPIO MONTECRISTO'!Área_de_impresión</vt:lpstr>
      <vt:lpstr>'ACOPIO STA ISABEL'!Área_de_impresión</vt:lpstr>
      <vt:lpstr>'ADMON COM. '!Área_de_impresión</vt:lpstr>
      <vt:lpstr>'BODEG STA Isabel'!Área_de_impresión</vt:lpstr>
      <vt:lpstr>'BODEGA-ACOPIO'!Área_de_impresión</vt:lpstr>
      <vt:lpstr>'COMISARIATO CON INSS'!Área_de_impresión</vt:lpstr>
      <vt:lpstr>'COMISARIATO INSS'!Área_de_impresión</vt:lpstr>
      <vt:lpstr>'COMISARIATO SIN INSS'!Área_de_impresión</vt:lpstr>
      <vt:lpstr>'DENISSA  MORENAS (2)'!Área_de_impresión</vt:lpstr>
      <vt:lpstr>'DETALLE ADMON.'!Área_de_impresión</vt:lpstr>
      <vt:lpstr>'DONAL ESCAMBAY'!Área_de_impresión</vt:lpstr>
      <vt:lpstr>'FINANCIAMIENTO INSS'!Área_de_impresión</vt:lpstr>
      <vt:lpstr>FINCA!Área_de_impresión</vt:lpstr>
      <vt:lpstr>'FINCA INSS '!Área_de_impresión</vt:lpstr>
      <vt:lpstr>'FINCA SIN INSS'!Área_de_impresión</vt:lpstr>
      <vt:lpstr>'HORAS EXTRA '!Área_de_impresión</vt:lpstr>
      <vt:lpstr>'PERS-ACOPIO STA ISABEL'!Área_de_impresión</vt:lpstr>
      <vt:lpstr>TECNICOS!Área_de_impresión</vt:lpstr>
      <vt:lpstr>'COMISARIATO CON INSS'!Títulos_a_imprimir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Ana Yubelka Estrada Sevilla</cp:lastModifiedBy>
  <cp:lastPrinted>2026-04-30T14:52:04Z</cp:lastPrinted>
  <dcterms:created xsi:type="dcterms:W3CDTF">2014-04-01T18:51:16Z</dcterms:created>
  <dcterms:modified xsi:type="dcterms:W3CDTF">2026-04-30T15:06:36Z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96 96 1440 900</vt:lpwstr>
  </property>
</Properties>
</file>